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6"/>
  </bookViews>
  <sheets>
    <sheet name="样品及辅助设备需求" sheetId="8" r:id="rId1"/>
    <sheet name="费用预估" sheetId="1" r:id="rId2"/>
    <sheet name="SGS" sheetId="2" r:id="rId3"/>
    <sheet name="华测" sheetId="3" r:id="rId4"/>
    <sheet name="苏勃" sheetId="4" r:id="rId5"/>
    <sheet name="费用对比" sheetId="5" r:id="rId6"/>
    <sheet name="特殊项目费用" sheetId="6" r:id="rId7"/>
    <sheet name="费用规则校验" sheetId="7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  <definedNames>
    <definedName name="_PT_META_OEM" hidden="1">'费用预估'!$B$2</definedName>
    <definedName name="_PT_META_PLATFORM" hidden="1">'费用预估'!$D$2</definedName>
    <definedName name="_PT_META_PROJECT_CODE" hidden="1">'费用预估'!$B$3</definedName>
    <definedName name="_PT_META_STEERING" hidden="1">'费用预估'!$D$3</definedName>
    <definedName name="_PT_META_PROJECT_TYPE" hidden="1">'费用预估'!$B$4</definedName>
    <definedName name="_PT_META_EXPORT_SCOPE" hidden="1">'费用预估'!$D$4</definedName>
    <definedName name="_PT_META_FULL_REUSE" hidden="1">'费用预估'!$B$5</definedName>
    <definedName name="_PT_META_ENV_TEMPLATE" hidden="1">'费用预估'!$D$5</definedName>
    <definedName name="_PT_SAMPLE_DYNAMIC_START" hidden="1">'样品及辅助设备需求'!$A$6</definedName>
    <definedName name="_PT_SAMPLE_DYNAMIC_END" hidden="1">'样品及辅助设备需求'!$AS$159</definedName>
    <definedName name="_PT_SAMPLE_PROTO_SUMMARY" hidden="1">'样品及辅助设备需求'!$A$6:$AS$6</definedName>
    <definedName name="_PT_SAMPLE_PROTO_DETAIL_GROUP" hidden="1">'样品及辅助设备需求'!$A$24:$V$24</definedName>
    <definedName name="_PT_SAMPLE_PROTO_DETAIL_HEADER" hidden="1">'样品及辅助设备需求'!$A$25:$V$25</definedName>
    <definedName name="_PT_SAMPLE_PROTO_DETAIL_DATA" hidden="1">'样品及辅助设备需求'!$A$26:$V$26</definedName>
    <definedName name="_PT_SAMPLE_PROTO_DETAIL_TOTAL" hidden="1">'样品及辅助设备需求'!$A$48:$V$48</definedName>
    <definedName name="_PT_FORECAST_DYNAMIC_START" hidden="1">'费用预估'!$A$10</definedName>
    <definedName name="_PT_FORECAST_DYNAMIC_END" hidden="1">'费用预估'!$W$281</definedName>
    <definedName name="_PT_FORECAST_PROTO_PHASE" hidden="1">'费用预估'!$A$10:$W$10</definedName>
    <definedName name="_PT_FORECAST_PROTO_GROUP" hidden="1">'费用预估'!$A$11:$W$11</definedName>
    <definedName name="_PT_FORECAST_PROTO_HEADER" hidden="1">'费用预估'!$A$12:$W$12</definedName>
    <definedName name="_PT_FORECAST_PROTO_DATA" hidden="1">'费用预估'!$A$13:$W$13</definedName>
    <definedName name="_PT_FORECAST_PROTO_LAST_DATA" hidden="1">'费用预估'!$A$30:$W$30</definedName>
    <definedName name="_PT_FORECAST_PROTO_TOTAL" hidden="1">'费用预估'!$A$34:$W$34</definedName>
    <definedName name="_PT_FORECAST_PROTO_ADDITIONAL" hidden="1">'费用预估'!$A$135:$W$135</definedName>
    <definedName name="_PT_SGS_DYNAMIC_START" hidden="1">'SGS'!$A$6</definedName>
    <definedName name="_PT_SGS_DYNAMIC_END" hidden="1">'SGS'!$R$175</definedName>
    <definedName name="_PT_SGS_PROTO_PHASE" hidden="1">'SGS'!$A$6:$R$6</definedName>
    <definedName name="_PT_SGS_PROTO_GROUP" hidden="1">'SGS'!$A$7:$R$7</definedName>
    <definedName name="_PT_SGS_PROTO_HEADER" hidden="1">'SGS'!$A$8:$R$8</definedName>
    <definedName name="_PT_SGS_PROTO_DATA" hidden="1">'SGS'!$A$9:$R$9</definedName>
    <definedName name="_PT_SGS_PROTO_TOTAL" hidden="1">'SGS'!$A$27:$R$27</definedName>
    <definedName name="_PT_CTI_DYNAMIC_START" hidden="1">'华测'!$A$6</definedName>
    <definedName name="_PT_CTI_DYNAMIC_END" hidden="1">'华测'!$R$174</definedName>
    <definedName name="_PT_CTI_PROTO_PHASE" hidden="1">'华测'!$A$6:$R$6</definedName>
    <definedName name="_PT_CTI_PROTO_GROUP" hidden="1">'华测'!$A$7:$R$7</definedName>
    <definedName name="_PT_CTI_PROTO_HEADER" hidden="1">'华测'!$A$8:$R$8</definedName>
    <definedName name="_PT_CTI_PROTO_DATA" hidden="1">'华测'!$A$9:$R$9</definedName>
    <definedName name="_PT_CTI_PROTO_TOTAL" hidden="1">'华测'!$A$27:$R$27</definedName>
    <definedName name="_PT_SUBO_DYNAMIC_START" hidden="1">'苏勃'!$A$6</definedName>
    <definedName name="_PT_SUBO_DYNAMIC_END" hidden="1">'苏勃'!$R$174</definedName>
    <definedName name="_PT_SUBO_PROTO_PHASE" hidden="1">'苏勃'!$A$6:$R$6</definedName>
    <definedName name="_PT_SUBO_PROTO_GROUP" hidden="1">'苏勃'!$A$7:$R$7</definedName>
    <definedName name="_PT_SUBO_PROTO_HEADER" hidden="1">'苏勃'!$A$8:$R$8</definedName>
    <definedName name="_PT_SUBO_PROTO_DATA" hidden="1">'苏勃'!$A$9:$R$9</definedName>
    <definedName name="_PT_SUBO_PROTO_TOTAL" hidden="1">'苏勃'!$A$27:$R$27</definedName>
    <definedName name="_PT_COMPARE_DYNAMIC_START" hidden="1">'费用对比'!$A$9</definedName>
    <definedName name="_PT_COMPARE_DYNAMIC_END" hidden="1">'费用对比'!$R$37</definedName>
    <definedName name="_PT_COMPARE_PROTO_PHASE" hidden="1">'费用对比'!$A$9:$R$9</definedName>
    <definedName name="_PT_COMPARE_PROTO_HEADER" hidden="1">'费用对比'!$A$11:$R$11</definedName>
    <definedName name="_PT_COMPARE_PROTO_DATA" hidden="1">'费用对比'!$A$12:$R$12</definedName>
    <definedName name="_PT_COMPARE_HELPER_RANGE" hidden="1">'费用对比'!$S$1:$X$15</definedName>
    <definedName name="_PT_SPECIAL_DYNAMIC_START" hidden="1">'特殊项目费用'!$A$9</definedName>
    <definedName name="_PT_SPECIAL_DYNAMIC_END" hidden="1">'特殊项目费用'!$M$37</definedName>
    <definedName name="_PT_SPECIAL_PROTO_PHASE" hidden="1">'特殊项目费用'!$A$9:$M$9</definedName>
    <definedName name="_PT_SPECIAL_PROTO_DATA" hidden="1">'特殊项目费用'!$A$12:$M$12</definedName>
    <definedName name="_PT_SPECIAL_PROTO_TOTAL" hidden="1">'特殊项目费用'!$A$38:$M$38</definedName>
    <definedName name="_PT_VALIDATION_DYNAMIC_START" hidden="1">'费用规则校验'!$A$1</definedName>
    <definedName name="_PT_VALIDATION_DYNAMIC_END" hidden="1">'费用规则校验'!$M$340</definedName>
    <definedName name="_PT_VALIDATION_PROTO_HEADER" hidden="1">'费用规则校验'!$A$1:$M$1</definedName>
    <definedName name="_PT_VALIDATION_PROTO_DATA" hidden="1">'费用规则校验'!$A$2:$M$2</definedName>
  </definedNames>
</workbook>
</file>

<file path=xl/sharedStrings.xml><?xml version="1.0" encoding="utf-8"?>
<sst xmlns="http://schemas.openxmlformats.org/spreadsheetml/2006/main" count="12503" uniqueCount="580">
  <si>
    <t>MLA DV样品及辅助设备需求汇总</t>
  </si>
  <si>
    <t>MLA PV样品及辅助设备需求汇总</t>
  </si>
  <si>
    <t>组内测试按顺序执行：样品及耗材按组内峰值准备；工装跨时段复用并按Phase峰值申请；DV与PV独立计算。</t>
  </si>
  <si>
    <t>组别</t>
  </si>
  <si>
    <t>样品需求</t>
  </si>
  <si>
    <t>工装需求</t>
  </si>
  <si>
    <t>投图板周边</t>
  </si>
  <si>
    <t>HUD周边</t>
  </si>
  <si>
    <t>Sensor周边</t>
  </si>
  <si>
    <t>备注/特殊要求</t>
  </si>
  <si>
    <t>HUD</t>
  </si>
  <si>
    <t>PCBA</t>
  </si>
  <si>
    <t>振动/冲击工装</t>
  </si>
  <si>
    <t>防尘防水工装</t>
  </si>
  <si>
    <t>视频源板</t>
  </si>
  <si>
    <t>视频源板电源线</t>
  </si>
  <si>
    <t>视频源板与PC串口线</t>
  </si>
  <si>
    <t>HUD电源线 2m</t>
  </si>
  <si>
    <t>HUD电源线 3m</t>
  </si>
  <si>
    <t>FPD LINK线 2m</t>
  </si>
  <si>
    <t>FPD LINK线 3m</t>
  </si>
  <si>
    <t>HUB</t>
  </si>
  <si>
    <t>USB延长线</t>
  </si>
  <si>
    <t>Sensor</t>
  </si>
  <si>
    <t>Sensor小板</t>
  </si>
  <si>
    <t>Sensor线</t>
  </si>
  <si>
    <t>Group A</t>
  </si>
  <si>
    <t>Group B</t>
  </si>
  <si>
    <t>MLA平台项目K22需要额外的3个带cover lens的top housing；K18测试线束必须为全新的</t>
  </si>
  <si>
    <t>Group C</t>
  </si>
  <si>
    <t>Group D-1</t>
  </si>
  <si>
    <t>Group D-2</t>
  </si>
  <si>
    <t>Group D-3</t>
  </si>
  <si>
    <t>需要额外提供8套PGU模组/电机组件用于测试功能</t>
  </si>
  <si>
    <t>Group D-4</t>
  </si>
  <si>
    <t>需要额外提供6套PGU模组/电机组件/开孔bottom housing用于测试功能</t>
  </si>
  <si>
    <t>Group D-5</t>
  </si>
  <si>
    <t>Group D-6</t>
  </si>
  <si>
    <t>Group D-7</t>
  </si>
  <si>
    <t>Group D-9</t>
  </si>
  <si>
    <t>Group D-8</t>
  </si>
  <si>
    <t>Group E-1</t>
  </si>
  <si>
    <t>样品可以为故障状态</t>
  </si>
  <si>
    <t>Group E-2</t>
  </si>
  <si>
    <t>样品无需满足光学性能</t>
  </si>
  <si>
    <t>备样</t>
  </si>
  <si>
    <t>全部组别合计</t>
  </si>
  <si>
    <t>需求细则</t>
  </si>
  <si>
    <t>Group A Sequence Tests</t>
  </si>
  <si>
    <t>sensor周边</t>
  </si>
  <si>
    <t>特殊要求</t>
  </si>
  <si>
    <t>组别顺序</t>
  </si>
  <si>
    <t>组内顺序</t>
  </si>
  <si>
    <t>测试编号</t>
  </si>
  <si>
    <t>测试项目</t>
  </si>
  <si>
    <t>振动工装</t>
  </si>
  <si>
    <t>视频源板与PC--串口线</t>
  </si>
  <si>
    <t>HUD电源线
2m</t>
  </si>
  <si>
    <t>HUD电源线
3m</t>
  </si>
  <si>
    <t>FPD LINK线
2m</t>
  </si>
  <si>
    <t>FPD LINK线
3m</t>
  </si>
  <si>
    <t>sensor</t>
  </si>
  <si>
    <t>sensor
小板</t>
  </si>
  <si>
    <t>sensor线</t>
  </si>
  <si>
    <t>Optical</t>
  </si>
  <si>
    <t>Optical Test</t>
  </si>
  <si>
    <t>L1&amp;L4</t>
  </si>
  <si>
    <t>L1&amp;L4 Performance Evaluation &amp; Functional Evaluation</t>
  </si>
  <si>
    <t>Particle</t>
  </si>
  <si>
    <t>Particle Exposure</t>
  </si>
  <si>
    <t>K1</t>
  </si>
  <si>
    <t>K1 Low Temperature Exposure</t>
  </si>
  <si>
    <t>K2</t>
  </si>
  <si>
    <t>K2 High Temperature Exposure</t>
  </si>
  <si>
    <t>K3</t>
  </si>
  <si>
    <t>K3 Low Temperature Operation</t>
  </si>
  <si>
    <t>K4</t>
  </si>
  <si>
    <t>K4 High Temperature Operation</t>
  </si>
  <si>
    <t>K5</t>
  </si>
  <si>
    <t>K5 Temperature Step Test</t>
  </si>
  <si>
    <t>K6</t>
  </si>
  <si>
    <t>K6 Power Thermal Cycle</t>
  </si>
  <si>
    <t>K7</t>
  </si>
  <si>
    <t>K7 Thermal Shock in Air</t>
  </si>
  <si>
    <t>K15</t>
  </si>
  <si>
    <t>K15 Vibration</t>
  </si>
  <si>
    <t>K16.1</t>
  </si>
  <si>
    <t>K16.1 Mechanical Shock Package Drop</t>
  </si>
  <si>
    <t>K16.4</t>
  </si>
  <si>
    <t>K16.4 Mechanical Shock Low</t>
  </si>
  <si>
    <t>K17</t>
  </si>
  <si>
    <t>K17 Audible Noise</t>
  </si>
  <si>
    <t>K9</t>
  </si>
  <si>
    <t>K9 Temperature/Humidity Cycle</t>
  </si>
  <si>
    <t>K10</t>
  </si>
  <si>
    <t>K10 Water/Fluid Ingress Test</t>
  </si>
  <si>
    <t>K13</t>
  </si>
  <si>
    <t>K13 Dust Ingress</t>
  </si>
  <si>
    <t>K14</t>
  </si>
  <si>
    <t>K14 Dust Blowing Test</t>
  </si>
  <si>
    <t>L6-photo&amp;xray</t>
  </si>
  <si>
    <t>Max</t>
  </si>
  <si>
    <t>Group B Sequence Tests</t>
  </si>
  <si>
    <t>K22</t>
  </si>
  <si>
    <t>K22 Chemical Resistance</t>
  </si>
  <si>
    <t>MLA平台项目K22需要额外的3个带cover lens的top housing</t>
  </si>
  <si>
    <t>K18</t>
  </si>
  <si>
    <t>K18 Connector and lead/lock strength</t>
  </si>
  <si>
    <t>线束必须为全新的</t>
  </si>
  <si>
    <t>Group C Sequence Tests</t>
  </si>
  <si>
    <t>K15 Vibartion</t>
  </si>
  <si>
    <t>K26</t>
  </si>
  <si>
    <t>K26 Mechanical Wear-Out</t>
  </si>
  <si>
    <t>Group D Parallel Tests / D-1 Corrosive Gases</t>
  </si>
  <si>
    <t>K21</t>
  </si>
  <si>
    <t>K21 Corrosive Gases</t>
  </si>
  <si>
    <t>Group D Parallel Tests / D-2 Solar Radiation</t>
  </si>
  <si>
    <t>K20</t>
  </si>
  <si>
    <t>K20 Solar Radiation</t>
  </si>
  <si>
    <t>Group D Parallel Tests / D-3 Thermal Shock Endurance --PCBA</t>
  </si>
  <si>
    <t>K23</t>
  </si>
  <si>
    <t>K23 Thermal Shock Endurance</t>
  </si>
  <si>
    <t>需要额外提供8套PGU模组/电机组件用于测试功能；PCBA测试前需要进行X-RAY，确保没有隐性问题</t>
  </si>
  <si>
    <t>L6-SEM&amp;SECTION</t>
  </si>
  <si>
    <t>Group D Parallel Tests / D-4 Dewing Test-- PCBA</t>
  </si>
  <si>
    <t>K8</t>
  </si>
  <si>
    <t>K8 Dewing Test</t>
  </si>
  <si>
    <t>Group D Parallel Tests / D-5 Life Test-1</t>
  </si>
  <si>
    <t>K24</t>
  </si>
  <si>
    <t>K24 High Temperature Endurance</t>
  </si>
  <si>
    <t>Group D Parallel Tests / D-6 Life Test-2-1</t>
  </si>
  <si>
    <t>K27</t>
  </si>
  <si>
    <t>K27 85/85 High Temperature -High Humidity Endurance</t>
  </si>
  <si>
    <t>Group D Parallel Tests / D-7 Life Test-2-2</t>
  </si>
  <si>
    <t>K27 60/95 High Temperature -High Humidity Endurance</t>
  </si>
  <si>
    <t>Group D-9：PV / Group D Parallel Tests / D-9</t>
  </si>
  <si>
    <t>Group D Parallel Tests / D-8</t>
  </si>
  <si>
    <t>K52.351</t>
  </si>
  <si>
    <t>Condensing humidity</t>
  </si>
  <si>
    <t>K28</t>
  </si>
  <si>
    <t>K28 HALT Cold</t>
  </si>
  <si>
    <t>K28 HALT Hot</t>
  </si>
  <si>
    <t>K28 HALT Thermal Shock</t>
  </si>
  <si>
    <t>K28 HALT Vibration</t>
  </si>
  <si>
    <t>K28 HALT TST &amp; Vibration</t>
  </si>
  <si>
    <t>Group E-1：PV / Group F Other Tests / Restricted Substance</t>
  </si>
  <si>
    <t>E-1</t>
  </si>
  <si>
    <t>E-1 Restricted Substance Management</t>
  </si>
  <si>
    <t>Group E-2：PV / Group F Other Tests / Noise test</t>
  </si>
  <si>
    <t>E-2</t>
  </si>
  <si>
    <t>E-2 Operating Noise &amp; Transient Noise</t>
  </si>
  <si>
    <t>项目概要</t>
  </si>
  <si>
    <t>OEM</t>
  </si>
  <si>
    <t>JLR</t>
  </si>
  <si>
    <t>平台</t>
  </si>
  <si>
    <t>MLA</t>
  </si>
  <si>
    <t>项目类型</t>
  </si>
  <si>
    <t>新增项目</t>
  </si>
  <si>
    <t>项目名称/编号</t>
  </si>
  <si>
    <t>L463</t>
  </si>
  <si>
    <t>导出范围</t>
  </si>
  <si>
    <t>DV + PV</t>
  </si>
  <si>
    <t>是否完全复用</t>
  </si>
  <si>
    <t>是</t>
  </si>
  <si>
    <t>环境模板</t>
  </si>
  <si>
    <t>完全复用</t>
  </si>
  <si>
    <t>驾驶方向</t>
  </si>
  <si>
    <t>LHD</t>
  </si>
  <si>
    <t>DV 组别顺序</t>
  </si>
  <si>
    <t>Group A -&gt; Group B -&gt; Group C -&gt; Group D-1 -&gt; Group D-2 -&gt; Group D-3 -&gt; Group D-4 -&gt; Group D-5 -&gt; Group D-6 -&gt; Group D-7 -&gt; Group D-9 -&gt; Group E-1 -&gt; Group E-2</t>
  </si>
  <si>
    <t>费用汇总</t>
  </si>
  <si>
    <t>Group A：DV / Group A Sequence Tests</t>
  </si>
  <si>
    <t>DV</t>
  </si>
  <si>
    <t>DV内部费用</t>
  </si>
  <si>
    <t>DV委外费用</t>
  </si>
  <si>
    <t>PV</t>
  </si>
  <si>
    <t>PV内部费用</t>
  </si>
  <si>
    <t>PV委外费用</t>
  </si>
  <si>
    <t>Phase</t>
  </si>
  <si>
    <t>样品范围</t>
  </si>
  <si>
    <t>计费基数</t>
  </si>
  <si>
    <t>测试时间</t>
  </si>
  <si>
    <t>计费方式</t>
  </si>
  <si>
    <t>费用归属</t>
  </si>
  <si>
    <t>内部费用</t>
  </si>
  <si>
    <t>委外费用</t>
  </si>
  <si>
    <t>费用合计</t>
  </si>
  <si>
    <t>费用计算公式</t>
  </si>
  <si>
    <t>备注</t>
  </si>
  <si>
    <t>1-14</t>
  </si>
  <si>
    <t>14 个样品</t>
  </si>
  <si>
    <t>168 h</t>
  </si>
  <si>
    <t>按样品数量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</si>
  <si>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+ 13台×19点位(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+ 2,730 = 3,190</t>
    </r>
  </si>
  <si>
    <t>Optical Test: 1 台按 51 点位，其余按 19 点位计费</t>
  </si>
  <si>
    <t>72 h</t>
  </si>
  <si>
    <t>14个 × 400/个 = 5,600</t>
  </si>
  <si>
    <t>1-12</t>
  </si>
  <si>
    <t>120 h</t>
  </si>
  <si>
    <t>按批次</t>
  </si>
  <si>
    <t>中位数/华测口径：4批 × 1,500/批 + 粉尘费 6,000 + 清洁费 12,000 = 24,000</t>
  </si>
  <si>
    <t>Particle Exposure：中位数实验室为华测；此处已拆出批次单价、粉尘费、清洁费</t>
  </si>
  <si>
    <t>24 h</t>
  </si>
  <si>
    <t>按小时</t>
  </si>
  <si>
    <t>24h × 30/h = 720</t>
  </si>
  <si>
    <t>96 h</t>
  </si>
  <si>
    <t>96h × 30/h = 2,880</t>
  </si>
  <si>
    <t>1 批</t>
  </si>
  <si>
    <t>48 h</t>
  </si>
  <si>
    <t>1批 × 5000/批 = 5,000</t>
  </si>
  <si>
    <t>240 h</t>
  </si>
  <si>
    <t>240h × 30/h = 7,200</t>
  </si>
  <si>
    <t>105 h</t>
  </si>
  <si>
    <t>105h × 100/h = 10,500</t>
  </si>
  <si>
    <t>N/A</t>
  </si>
  <si>
    <t>48h × 500/h = 24,000</t>
  </si>
  <si>
    <t>14个 × 300/个 = 4,200</t>
  </si>
  <si>
    <t>12 个样品</t>
  </si>
  <si>
    <t>12个 × 300/个 = 3,600</t>
  </si>
  <si>
    <t>3个方向×12台×4000/台=120,000</t>
  </si>
  <si>
    <t>K17 Audible Noise 按 MLA 三个方向的组合单价 × 样机数计算</t>
  </si>
  <si>
    <t>Computer fee</t>
  </si>
  <si>
    <t>264 h</t>
  </si>
  <si>
    <t>264h × 30/h = 7,920</t>
  </si>
  <si>
    <t>Report fee</t>
  </si>
  <si>
    <t>12个 × 500/个 = 6,000</t>
  </si>
  <si>
    <t>测试费用合计</t>
  </si>
  <si>
    <t>4 批</t>
  </si>
  <si>
    <t>4批 × 1500/批 = 6,000</t>
  </si>
  <si>
    <t>4批 × 3000/批 = 12,000</t>
  </si>
  <si>
    <t>K14 Dust Blowing 指定国测，按 3000/批计算；每批 3 台样品</t>
  </si>
  <si>
    <t>L6-photo&amp;xray 固定单价 400/个样品；不按实验室报价中值计算</t>
  </si>
  <si>
    <t>Group A Total Cost</t>
  </si>
  <si>
    <t>Group B：DV / Group B Sequence Tests</t>
  </si>
  <si>
    <t>15-26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</si>
  <si>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+ 11台×19点位(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+ 2,310 = 2,770</t>
    </r>
  </si>
  <si>
    <t>12个 × 400/个 = 4,800</t>
  </si>
  <si>
    <t>15种×650/种 + 72h×20/h = 11,190</t>
  </si>
  <si>
    <t>K22 Chemical Resistance 按 MLA 条件 1 的 15 种试剂；试剂数量 × 各实验室试剂单价 + 测试时间 × 时间单价 计算</t>
  </si>
  <si>
    <t>4项×12台×325/项 + 微应力3400 = 19,000</t>
  </si>
  <si>
    <t>K18.1-K18.4 四项 × 12 台样机 × 单价 + K18.1 微应力费用</t>
  </si>
  <si>
    <t>Group B Total Cost</t>
  </si>
  <si>
    <t>Group C：DV / Group C Sequence Tests</t>
  </si>
  <si>
    <t>27-32</t>
  </si>
  <si>
    <t>6 个样品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</si>
  <si>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+ 1,050 = 1,510</t>
    </r>
  </si>
  <si>
    <t>6个 × 400/个 = 2,400</t>
  </si>
  <si>
    <t>A组已计入粉尘费/清洁费，当前仅计批次费：2批 × 1,500/批 = 3,000</t>
  </si>
  <si>
    <t>Particle Exposure：A组已覆盖粉尘费/清洁费，Group C 仅计新增批次费</t>
  </si>
  <si>
    <t>24h × 500/h = 12,000</t>
  </si>
  <si>
    <t>2 批</t>
  </si>
  <si>
    <t>2批 × 1500/批 = 3,000</t>
  </si>
  <si>
    <t>2批 × 3000/批 = 6,000</t>
  </si>
  <si>
    <t>500 h</t>
  </si>
  <si>
    <t>334h×10 + 83h×23 + 83h×23 = 7,158</t>
  </si>
  <si>
    <t>K26 Mechanical Wear-Out 按 334h 常温 + 83h 低温 + 83h 高温分别计费，采用当前实验室总价</t>
  </si>
  <si>
    <t>Group C Total Cost</t>
  </si>
  <si>
    <t>Group D-1：DV / Group D Parallel Tests / D-1 Corrosive Gases</t>
  </si>
  <si>
    <t>33-38</t>
  </si>
  <si>
    <t>336 h</t>
  </si>
  <si>
    <t>336h × 120/h = 40,320</t>
  </si>
  <si>
    <t>Group D-1 Total Cost</t>
  </si>
  <si>
    <t>Group D-2：DV / Group D Parallel Tests / D-2 Solar Radiation</t>
  </si>
  <si>
    <t>39-44</t>
  </si>
  <si>
    <t>720 h</t>
  </si>
  <si>
    <t>720h × 145/h = 104,400</t>
  </si>
  <si>
    <t>Group D-2 Total Cost</t>
  </si>
  <si>
    <t>Group D-3：DV / Group D Parallel Tests / D-3 PCBA</t>
  </si>
  <si>
    <t>45-52</t>
  </si>
  <si>
    <t>8 个样品</t>
  </si>
  <si>
    <t>8个 × 300/个 = 2,400</t>
  </si>
  <si>
    <t>1017 h</t>
  </si>
  <si>
    <t>1017h × 50/h = 50,850</t>
  </si>
  <si>
    <t>8个 × 400/个 = 3,200</t>
  </si>
  <si>
    <t>33 个点位</t>
  </si>
  <si>
    <t>480 h</t>
  </si>
  <si>
    <t>33个 × 650/个 = 21,450</t>
  </si>
  <si>
    <t>L6-SEM&amp;SECTION 委外组合报价：SEM &amp; Sectioning 按 33 个测试点位采用当前实验室总价</t>
  </si>
  <si>
    <t>Group D-3 Total Cost</t>
  </si>
  <si>
    <t>Group D-4：DV / Group D Parallel Tests / D-4 PCBA</t>
  </si>
  <si>
    <t>53-58</t>
  </si>
  <si>
    <t>Group D-4 Total Cost</t>
  </si>
  <si>
    <t>Group D-5：DV / Group D Parallel Tests / D-5 Life Test-1</t>
  </si>
  <si>
    <t>59-64</t>
  </si>
  <si>
    <t>1000 h</t>
  </si>
  <si>
    <t>1000h × 23/h = 23,000</t>
  </si>
  <si>
    <t>Group D-5 Total Cost</t>
  </si>
  <si>
    <t>Group D-6：DV / Group D Parallel Tests / D-6 Life Test-2-1</t>
  </si>
  <si>
    <t>65-70</t>
  </si>
  <si>
    <t>Group D-6 Total Cost</t>
  </si>
  <si>
    <t>Group D-7：DV / Group D Parallel Tests / D-7 Life Test-2-2</t>
  </si>
  <si>
    <t>71-76</t>
  </si>
  <si>
    <t>1100 h</t>
  </si>
  <si>
    <t>1100h × 23/h = 25,300</t>
  </si>
  <si>
    <t>Group D-7 Total Cost</t>
  </si>
  <si>
    <t>Group D-9：DV / Group D Parallel Tests / D-9</t>
  </si>
  <si>
    <t>77-82</t>
  </si>
  <si>
    <t>K52.351 Condensing humidity</t>
  </si>
  <si>
    <t>120h × 55/h = 6,600</t>
  </si>
  <si>
    <t>Group D-9 Total Cost</t>
  </si>
  <si>
    <t>Group E-1：DV / Group F Other Tests / Restricted Substance</t>
  </si>
  <si>
    <t>1 个样品</t>
  </si>
  <si>
    <t>960 h</t>
  </si>
  <si>
    <t>固定总价</t>
  </si>
  <si>
    <t>固定总价 20000 (含评估费 1500)</t>
  </si>
  <si>
    <t>禁限用物质总价 20000，其中 1500 为评估费</t>
  </si>
  <si>
    <t>Group E-1 Total Cost</t>
  </si>
  <si>
    <t>Group E-2：DV / Group F Other Tests / Noise test</t>
  </si>
  <si>
    <t>84-108</t>
  </si>
  <si>
    <t>25 个样品</t>
  </si>
  <si>
    <t>25台样机 × 1700/台 = 42,500</t>
  </si>
  <si>
    <t>操作噪声暂按 SGS 合作价 1700/台样机计算</t>
  </si>
  <si>
    <t>Group E-2 Total Cost</t>
  </si>
  <si>
    <t>DV附加费用</t>
  </si>
  <si>
    <t>明细</t>
  </si>
  <si>
    <t>48 月/台系数</t>
  </si>
  <si>
    <t>按系数</t>
  </si>
  <si>
    <t/>
  </si>
  <si>
    <t>SGS 250/月/台 × 48 = 12,000</t>
  </si>
  <si>
    <t>Computer Fee 当前按 SGS 报价计入</t>
  </si>
  <si>
    <t>13份报告</t>
  </si>
  <si>
    <t>按报告份数</t>
  </si>
  <si>
    <t>苏勃 150/份 × 13 份 = 1,950</t>
  </si>
  <si>
    <t>Report Fee 当前按苏勃报价计入</t>
  </si>
  <si>
    <t>PV 组别顺序</t>
  </si>
  <si>
    <t>Group A -&gt; Group B -&gt; Group C -&gt; Group D-1 -&gt; Group D-2 -&gt; Group D-3 -&gt; Group D-4 -&gt; Group D-5 -&gt; Group D-6 -&gt; Group D-7 -&gt; Group D-8 -&gt; Group D-9 -&gt; Group E-1 -&gt; Group E-2</t>
  </si>
  <si>
    <t>Group A：PV / Group A Sequence Tests</t>
  </si>
  <si>
    <t>Group B：PV / Group B Sequence Tests</t>
  </si>
  <si>
    <t>Group C：PV / Group C Sequence Tests</t>
  </si>
  <si>
    <t>Group D-1：PV / Group D Parallel Tests / D-1 Corrosive Gases</t>
  </si>
  <si>
    <t>Group D-2：PV / Group D Parallel Tests / D-2 Solar Radiation</t>
  </si>
  <si>
    <t>Group D-3：PV / Group D Parallel Tests / D-3 Thermal Shock Endurance --PCBA</t>
  </si>
  <si>
    <t>待确认</t>
  </si>
  <si>
    <t>33 个样品</t>
  </si>
  <si>
    <t>Group D-4：PV / Group D Parallel Tests / D-4 Dewing Test-- PCBA</t>
  </si>
  <si>
    <t>Group D-5：PV / Group D Parallel Tests / D-5 Life Test-1</t>
  </si>
  <si>
    <t>Group D-6：PV / Group D Parallel Tests / D-6 Life Test-2-1</t>
  </si>
  <si>
    <t>Group D-7：PV / Group D Parallel Tests / D-7 Life Test-2-2</t>
  </si>
  <si>
    <t>Group D-8：PV / Group D Parallel Tests / D-8</t>
  </si>
  <si>
    <t>77-91</t>
  </si>
  <si>
    <t>15 个样品</t>
  </si>
  <si>
    <r>
      <rPr>
        <sz val="10"/>
        <rFont val="黑体"/>
        <charset val="134"/>
      </rPr>
      <t>15台×19点位(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285 × 210 = 3,150</t>
    </r>
  </si>
  <si>
    <t>Optical Test: 全部按 19 点位计费</t>
  </si>
  <si>
    <t>15个 × 400/个 = 6,000</t>
  </si>
  <si>
    <t>8 h</t>
  </si>
  <si>
    <t>8h × 800/h = 6,400</t>
  </si>
  <si>
    <t>9 个样品</t>
  </si>
  <si>
    <t>9个 × 400/个 = 3,600</t>
  </si>
  <si>
    <r>
      <rPr>
        <sz val="10"/>
        <rFont val="黑体"/>
        <charset val="134"/>
      </rPr>
      <t>9台×19点位(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171 × 210 = 1,890</t>
    </r>
  </si>
  <si>
    <t>Group D-8 Total Cost</t>
  </si>
  <si>
    <t>92-97</t>
  </si>
  <si>
    <t>99-123</t>
  </si>
  <si>
    <t>PV附加费用</t>
  </si>
  <si>
    <t>14 份报告</t>
  </si>
  <si>
    <t>苏勃 150/份 × 14 份 = 2,100</t>
  </si>
  <si>
    <t>SGS 实验室费用明细</t>
  </si>
  <si>
    <t>Group A -&gt; Group B -&gt; Group C -&gt; Group D-1 -&gt; Group D-2 -&gt; Group D-3 -&gt; Group D-4 -&gt; Group D-5 -&gt; Group D-6 -&gt; Group D-7 -&gt; Group D-9</t>
  </si>
  <si>
    <t>Group</t>
  </si>
  <si>
    <t>单价</t>
  </si>
  <si>
    <t>费用</t>
  </si>
  <si>
    <t>400/个</t>
  </si>
  <si>
    <t>2,500/批；
粉尘费 8,000；
清洁费 0</t>
  </si>
  <si>
    <t>2批 × 2,500/批 + 粉尘费 8,000 + 清洁费 0 = 13,000</t>
  </si>
  <si>
    <t>Particle Exposure：全额报价已拆分为批次单价、粉尘费、清洁费</t>
  </si>
  <si>
    <t>30/h</t>
  </si>
  <si>
    <t>24h × 30/h = 720（大环境箱单价）</t>
  </si>
  <si>
    <t>96h × 30/h = 2,880（大环境箱单价）</t>
  </si>
  <si>
    <t>3,360/批</t>
  </si>
  <si>
    <t>1批 × 3,360/批 = 3,360</t>
  </si>
  <si>
    <t>240h × 30/h = 7,200（大环境箱单价）</t>
  </si>
  <si>
    <t>100/h</t>
  </si>
  <si>
    <t>500/h</t>
  </si>
  <si>
    <t>300/个</t>
  </si>
  <si>
    <t>333/个</t>
  </si>
  <si>
    <t>12个 × 333/个 = 3,996</t>
  </si>
  <si>
    <t>12,000/个</t>
  </si>
  <si>
    <t>12个 × 12,000/个 = 144,000</t>
  </si>
  <si>
    <t>264h × 30/h = 7,920（大环境箱单价）</t>
  </si>
  <si>
    <t>500/个</t>
  </si>
  <si>
    <t>1,500/批</t>
  </si>
  <si>
    <t>4批 × 1,500/批 = 6,000</t>
  </si>
  <si>
    <t>650/种试剂；20/h</t>
  </si>
  <si>
    <t>SGS: 15 种试剂 × 650 + 72 h × 20 = 11190；</t>
  </si>
  <si>
    <t>325/项；微应力 3400</t>
  </si>
  <si>
    <t>SGS: 四项单价 325；微应力 3400 = 19000；</t>
  </si>
  <si>
    <t>2,500/批</t>
  </si>
  <si>
    <t>A组已计入粉尘费/清洁费，当前仅计批次费：1批 × 2,500/批 = 2,500</t>
  </si>
  <si>
    <t>Particle Exposure：A组已覆盖粉尘/清洁，当前只计新增批次费</t>
  </si>
  <si>
    <t>2批 × 1,500/批 = 3,000</t>
  </si>
  <si>
    <t>总价 7158</t>
  </si>
  <si>
    <t>SGS: 334 h × 10 + 83 h × 23 + 83 h × 23 = 7158；</t>
  </si>
  <si>
    <t>110/h</t>
  </si>
  <si>
    <t>336h × 110/h = 36,960</t>
  </si>
  <si>
    <t>145/h</t>
  </si>
  <si>
    <t>Group D Parallel Tests / D-3 PCBA</t>
  </si>
  <si>
    <t>40/h</t>
  </si>
  <si>
    <t>1,017h × 40/h = 40,680</t>
  </si>
  <si>
    <t>650/个</t>
  </si>
  <si>
    <t>Group D-4：DV / Group D Parallel Tests / D-4 Dewing Test PCBA</t>
  </si>
  <si>
    <t>Group D Parallel Tests / D-4 Dewing Test</t>
  </si>
  <si>
    <t>4,100/批</t>
  </si>
  <si>
    <t>1批 × 4,100/批 = 4,100</t>
  </si>
  <si>
    <t>23/h</t>
  </si>
  <si>
    <t>1,000h × 23/h = 23,000</t>
  </si>
  <si>
    <t>1,100h × 23/h = 25,300</t>
  </si>
  <si>
    <t>Group D Parallel Tests / D-9</t>
  </si>
  <si>
    <t>55/h</t>
  </si>
  <si>
    <t>Additional Fee</t>
  </si>
  <si>
    <t>费用汇总附加费用</t>
  </si>
  <si>
    <t>250/月/台</t>
  </si>
  <si>
    <t>0/份</t>
  </si>
  <si>
    <t>SGS 0/份 × 13 份 = 0</t>
  </si>
  <si>
    <t>Report Fee 当前按 SGS 报价计入</t>
  </si>
  <si>
    <t>Group A -&gt; Group B -&gt; Group C -&gt; Group D-1 -&gt; Group D-2 -&gt; Group D-3 -&gt; Group D-4 -&gt; Group D-5 -&gt; Group D-6 -&gt; Group D-7 -&gt; Group D-8 -&gt; Group D-9</t>
  </si>
  <si>
    <t>2,500/批；粉尘费 8,000；清洁费 0</t>
  </si>
  <si>
    <t>Group D-3：PV / Group D Parallel Tests / D-3 PCBA</t>
  </si>
  <si>
    <t>Group D-4：PV / Group D Parallel Tests / D-4 Dewing Test PCBA</t>
  </si>
  <si>
    <t>800/h</t>
  </si>
  <si>
    <t>SGS 0/份 × 14 份 = 0</t>
  </si>
  <si>
    <t>华测 实验室费用明细</t>
  </si>
  <si>
    <t>700/个</t>
  </si>
  <si>
    <t>14个 × 700/个 = 9,800</t>
  </si>
  <si>
    <t>1,500/批；粉尘费 6,000；清洁费 12,000</t>
  </si>
  <si>
    <t>4批 × 1,500/批 + 粉尘费 6,000 + 清洁费 12,000 = 24,000</t>
  </si>
  <si>
    <t>25/h</t>
  </si>
  <si>
    <t>24h × 25/h = 600（大环境箱单价）</t>
  </si>
  <si>
    <t>96h × 25/h = 2,400（大环境箱单价）</t>
  </si>
  <si>
    <t>5,000/批</t>
  </si>
  <si>
    <t>1批 × 5,000/批 = 5,000</t>
  </si>
  <si>
    <t>240h × 25/h = 6,000（大环境箱单价）</t>
  </si>
  <si>
    <t>70/h</t>
  </si>
  <si>
    <t>105h × 70/h = 7,350</t>
  </si>
  <si>
    <t>400/h</t>
  </si>
  <si>
    <t>48h × 400/h = 19,200</t>
  </si>
  <si>
    <t>120/个</t>
  </si>
  <si>
    <t>14个 × 120/个 = 1,680</t>
  </si>
  <si>
    <t>167/个</t>
  </si>
  <si>
    <t>12个 × 167/个 = 2,004</t>
  </si>
  <si>
    <t>10,000/个</t>
  </si>
  <si>
    <t>12个 × 10,000/个 = 120,000</t>
  </si>
  <si>
    <t>264h × 25/h = 6,600（大环境箱单价）</t>
  </si>
  <si>
    <t>12个 × 700/个 = 8,400</t>
  </si>
  <si>
    <t>组合总价（见费用规则）</t>
  </si>
  <si>
    <t>特殊组合计费，按规则表总价 = 12,300</t>
  </si>
  <si>
    <t>特殊组合计费，按规则表总价 = 27,500</t>
  </si>
  <si>
    <t>6个 × 700/个 = 4,200</t>
  </si>
  <si>
    <t>24h × 400/h = 9,600</t>
  </si>
  <si>
    <t>特殊组合计费，按规则表总价 = 6,488</t>
  </si>
  <si>
    <t>120/h</t>
  </si>
  <si>
    <t>720h × 400/h = 288,000</t>
  </si>
  <si>
    <t>50/h</t>
  </si>
  <si>
    <t>1,017h × 50/h = 50,850</t>
  </si>
  <si>
    <t>33个 × 500/个 = 16,500</t>
  </si>
  <si>
    <t>Group D-4：DV / Group D Parallel Tests / D-4 Dewing Test</t>
  </si>
  <si>
    <t>15/h</t>
  </si>
  <si>
    <t>1,000h × 15/h = 15,000</t>
  </si>
  <si>
    <t>20/h</t>
  </si>
  <si>
    <t>1,000h × 20/h = 20,000</t>
  </si>
  <si>
    <t>1,100h × 20/h = 22,000</t>
  </si>
  <si>
    <t>60/h</t>
  </si>
  <si>
    <t>120h × 60/h = 7,200</t>
  </si>
  <si>
    <t>450/月/台</t>
  </si>
  <si>
    <t>华测 450/月/台 × 48 = 21,600</t>
  </si>
  <si>
    <t>Computer Fee 当前按 华测 报价计入</t>
  </si>
  <si>
    <t>华测 0/份 × 13 份 = 0</t>
  </si>
  <si>
    <t>Report Fee 当前按 华测 报价计入</t>
  </si>
  <si>
    <t>Group D-4：PV / Group D Parallel Tests / D-4 Dewing Test</t>
  </si>
  <si>
    <t>15个 × 700/个 = 10,500</t>
  </si>
  <si>
    <t>600/h</t>
  </si>
  <si>
    <t>8h × 600/h = 4,800</t>
  </si>
  <si>
    <t>9个 × 700/个 = 6,300</t>
  </si>
  <si>
    <t>华测 0/份 × 14 份 = 0</t>
  </si>
  <si>
    <t>苏勃 实验室费用明细</t>
  </si>
  <si>
    <t>6,500/批；粉尘费 5,000；清洁费 0</t>
  </si>
  <si>
    <t>4批 × 6,500/批 + 粉尘费 5,000 + 清洁费 0 = 31,000</t>
  </si>
  <si>
    <t>24h × 40/h = 960（大环境箱单价）</t>
  </si>
  <si>
    <t>96h × 40/h = 3,840（大环境箱单价）</t>
  </si>
  <si>
    <t>240h × 40/h = 9,600（大环境箱单价）</t>
  </si>
  <si>
    <t>48h × 600/h = 28,800</t>
  </si>
  <si>
    <t>3,000/个</t>
  </si>
  <si>
    <t>12个 × 3,000/个 = 36,000</t>
  </si>
  <si>
    <t>264h × 40/h = 10,560（大环境箱单价）</t>
  </si>
  <si>
    <t>1,800/批</t>
  </si>
  <si>
    <t>4批 × 1,800/批 = 7,200</t>
  </si>
  <si>
    <t>特殊组合计费，按规则表总价 = 6,660</t>
  </si>
  <si>
    <t>特殊组合计费，按规则表总价 = 9,500</t>
  </si>
  <si>
    <t>6,500/批</t>
  </si>
  <si>
    <t>A组已计入粉尘费/清洁费，当前仅计批次费：2批 × 6,500/批 = 13,000</t>
  </si>
  <si>
    <t>24h × 600/h = 14,400</t>
  </si>
  <si>
    <t>2批 × 1,800/批 = 3,600</t>
  </si>
  <si>
    <t>特殊组合计费，按规则表总价 = 11,660</t>
  </si>
  <si>
    <t>150/h</t>
  </si>
  <si>
    <t>336h × 150/h = 50,400</t>
  </si>
  <si>
    <t>80/h</t>
  </si>
  <si>
    <t>720h × 80/h = 57,600</t>
  </si>
  <si>
    <t>1,017h × 55/h = 55,935</t>
  </si>
  <si>
    <t>33个 × 700/个 = 23,100</t>
  </si>
  <si>
    <t>1,000h × 30/h = 30,000</t>
  </si>
  <si>
    <t>1,100h × 30/h = 33,000</t>
  </si>
  <si>
    <t>150/月/台</t>
  </si>
  <si>
    <t>苏勃 150/月/台 × 48 = 7,200</t>
  </si>
  <si>
    <t>Computer Fee 当前按 苏勃 报价计入</t>
  </si>
  <si>
    <t>150/份</t>
  </si>
  <si>
    <t>Report Fee 当前按 苏勃 报价计入</t>
  </si>
  <si>
    <t>1,500/h</t>
  </si>
  <si>
    <t>8h × 1,500/h = 12,000</t>
  </si>
  <si>
    <t>实验室报价 vs 预估</t>
  </si>
  <si>
    <t>整包报价 vs 预估费用 | 按预估费用居中排序</t>
  </si>
  <si>
    <t>测试项目一致性检查</t>
  </si>
  <si>
    <t>图表阶段</t>
  </si>
  <si>
    <t>图表柱项</t>
  </si>
  <si>
    <t>苏勃</t>
  </si>
  <si>
    <t>范围</t>
  </si>
  <si>
    <t>预估费用</t>
  </si>
  <si>
    <t>SGS</t>
  </si>
  <si>
    <t>华测</t>
  </si>
  <si>
    <t>检查项</t>
  </si>
  <si>
    <t>结果</t>
  </si>
  <si>
    <t>说明</t>
  </si>
  <si>
    <t>苏勃
DV</t>
  </si>
  <si>
    <t>三家实验室项目清单</t>
  </si>
  <si>
    <t>一致</t>
  </si>
  <si>
    <t>SGS / 华测 / 苏勃在同一 Phase + Group 下的测试编号一致</t>
  </si>
  <si>
    <t>预估费用
DV</t>
  </si>
  <si>
    <t>预估费用口径</t>
  </si>
  <si>
    <t>已剔除</t>
  </si>
  <si>
    <t>预估费用已扣除内部费用，并剔除特殊测试项目费用</t>
  </si>
  <si>
    <t>SGS
DV</t>
  </si>
  <si>
    <t>DV+PV</t>
  </si>
  <si>
    <t>图表口径</t>
  </si>
  <si>
    <t>按预估居中排序</t>
  </si>
  <si>
    <t>每组中预估费用固定在中间；低于预估的报价放左侧，高于预估的报价按金额从低到高放右侧</t>
  </si>
  <si>
    <t>华测
DV</t>
  </si>
  <si>
    <t>预估费用
PV</t>
  </si>
  <si>
    <t>苏勃
PV</t>
  </si>
  <si>
    <t>Phase: DV</t>
  </si>
  <si>
    <t>SGS
PV</t>
  </si>
  <si>
    <t>最低实验室</t>
  </si>
  <si>
    <t>最高实验室</t>
  </si>
  <si>
    <t>差额</t>
  </si>
  <si>
    <t>SGS-预估</t>
  </si>
  <si>
    <t>华测-预估</t>
  </si>
  <si>
    <t>苏勃-预估</t>
  </si>
  <si>
    <t>最低报价-预估</t>
  </si>
  <si>
    <t>华测
PV</t>
  </si>
  <si>
    <t>苏勃
DV+PV</t>
  </si>
  <si>
    <t>预估费用
DV+PV</t>
  </si>
  <si>
    <t>SGS
DV+PV</t>
  </si>
  <si>
    <t>华测
DV+PV</t>
  </si>
  <si>
    <t>Phase: PV</t>
  </si>
  <si>
    <t>Group A -&gt; Group C -&gt; Group E-1 -&gt; Group E-2</t>
  </si>
  <si>
    <t>当前规则费用</t>
  </si>
  <si>
    <t>实验室/参考口径</t>
  </si>
  <si>
    <t>指定国测</t>
  </si>
  <si>
    <t>Group F Other Tests / Restricted Substance</t>
  </si>
  <si>
    <t>83</t>
  </si>
  <si>
    <t>固定规则</t>
  </si>
  <si>
    <t>Group F Other Tests / Noise test</t>
  </si>
  <si>
    <t>SGS 参考价</t>
  </si>
  <si>
    <t>98</t>
  </si>
  <si>
    <t>特殊项目费用汇总</t>
  </si>
  <si>
    <t>按实验室/参考口径汇总；费用来自本页“当前规则费用”列，电脑及报告费用不计入特殊项目费用。</t>
  </si>
  <si>
    <t>DV 需要测试的项目</t>
  </si>
  <si>
    <t>DV 费用</t>
  </si>
  <si>
    <t>PV 需要测试的项目</t>
  </si>
  <si>
    <t>PV 费用</t>
  </si>
  <si>
    <t>合计费用</t>
  </si>
  <si>
    <t>Group A Sequence Tests - K14 Dust Blowing Test
Group C Sequence Tests - K14 Dust Blowing Test</t>
  </si>
  <si>
    <t>瑞旭</t>
  </si>
  <si>
    <t>Group F Other Tests / Noise test - E-2 Operating Noise &amp; Transient Noise</t>
  </si>
  <si>
    <t>DV合计</t>
  </si>
  <si>
    <t>PV合计</t>
  </si>
  <si>
    <t>实验室</t>
  </si>
  <si>
    <t>Excel行号</t>
  </si>
  <si>
    <t>当前费用</t>
  </si>
  <si>
    <t>规则费用</t>
  </si>
  <si>
    <t>差异</t>
  </si>
  <si>
    <t>校验结果</t>
  </si>
  <si>
    <t>规则/公式说明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</si>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</sst>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58">
    <font>
      <sz val="12"/>
      <name val="宋体"/>
      <charset val="134"/>
    </font>
    <font>
      <sz val="10"/>
      <name val="黑体"/>
      <charset val="134"/>
    </font>
    <font>
      <b/>
      <sz val="10"/>
      <color rgb="FFFFFFFF"/>
      <name val="黑体"/>
      <charset val="134"/>
    </font>
    <font>
      <b/>
      <sz val="10"/>
      <color rgb="FF1E3A8A"/>
      <name val="黑体"/>
      <charset val="134"/>
    </font>
    <font>
      <sz val="10"/>
      <color rgb="FF111827"/>
      <name val="黑体"/>
      <charset val="134"/>
    </font>
    <font>
      <b/>
      <sz val="10"/>
      <color rgb="FF3730A3"/>
      <name val="黑体"/>
      <charset val="134"/>
    </font>
    <font>
      <b/>
      <sz val="14"/>
      <color rgb="FFFFFFFF"/>
      <name val="Aptos"/>
      <charset val="134"/>
    </font>
    <font>
      <sz val="10"/>
      <color rgb="FF1F2937"/>
      <name val="Aptos"/>
      <charset val="134"/>
    </font>
    <font>
      <b/>
      <sz val="10"/>
      <color rgb="FFFFFFFF"/>
      <name val="Aptos"/>
      <charset val="134"/>
    </font>
    <font>
      <b/>
      <sz val="12"/>
      <color rgb="FFFFFFFF"/>
      <name val="宋体"/>
      <charset val="134"/>
    </font>
    <font>
      <b/>
      <sz val="10"/>
      <color rgb="FF12355B"/>
      <name val="Aptos"/>
      <charset val="134"/>
    </font>
    <font>
      <b/>
      <sz val="10"/>
      <color rgb="FF3730A3"/>
      <name val="Aptos"/>
      <charset val="134"/>
    </font>
    <font>
      <sz val="12"/>
      <color rgb="FF1F1F1F"/>
      <name val="宋体"/>
      <charset val="134"/>
    </font>
    <font>
      <i/>
      <sz val="10"/>
      <color rgb="FF9A3412"/>
      <name val="Aptos"/>
      <charset val="134"/>
    </font>
    <font>
      <b/>
      <sz val="12"/>
      <color rgb="FFFFFFFF"/>
      <name val="Aptos"/>
      <charset val="134"/>
    </font>
    <font>
      <b/>
      <sz val="10"/>
      <color rgb="FF375623"/>
      <name val="Aptos"/>
      <charset val="134"/>
    </font>
    <font>
      <sz val="10"/>
      <color rgb="FF9C0006"/>
      <name val="Aptos"/>
      <charset val="134"/>
    </font>
    <font>
      <b/>
      <sz val="10"/>
      <color rgb="FF1F2937"/>
      <name val="Aptos"/>
      <charset val="134"/>
    </font>
    <font>
      <b/>
      <sz val="12"/>
      <color rgb="FF38761D"/>
      <name val="宋体"/>
      <charset val="134"/>
    </font>
    <font>
      <b/>
      <sz val="10"/>
      <name val="黑体"/>
      <charset val="134"/>
    </font>
    <font>
      <b/>
      <sz val="16"/>
      <color rgb="FFFFFFFF"/>
      <name val="Arial"/>
      <charset val="134"/>
    </font>
    <font>
      <b/>
      <sz val="12"/>
      <color rgb="FFFFFFFF"/>
      <name val="黑体"/>
      <charset val="134"/>
    </font>
    <font>
      <b/>
      <sz val="10"/>
      <color rgb="FF1E3A8A"/>
      <name val="Arial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b/>
      <sz val="10"/>
      <color rgb="FF3730A3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FFFFFF"/>
      <name val="宋体-简"/>
      <charset val="134"/>
    </font>
    <font>
      <sz val="12"/>
      <name val="黑体"/>
      <charset val="134"/>
    </font>
    <font>
      <b/>
      <sz val="12"/>
      <name val="黑体"/>
      <charset val="134"/>
    </font>
    <font>
      <b/>
      <sz val="10"/>
      <color rgb="FFFF0000"/>
      <name val="黑体"/>
      <charset val="134"/>
    </font>
    <font>
      <sz val="10"/>
      <color rgb="FFFF0000"/>
      <name val="黑体"/>
      <charset val="134"/>
    </font>
    <font>
      <b/>
      <sz val="15"/>
      <color rgb="FFFFFFFF"/>
      <name val="黑体"/>
      <charset val="134"/>
    </font>
    <font>
      <sz val="10"/>
      <color rgb="FF375623"/>
      <name val="黑体"/>
      <charset val="134"/>
    </font>
    <font>
      <b/>
      <sz val="10"/>
      <color rgb="FF17365D"/>
      <name val="黑体"/>
      <charset val="134"/>
    </font>
    <font>
      <sz val="10"/>
      <color rgb="FF17365D"/>
      <name val="黑体"/>
      <charset val="134"/>
    </font>
    <font>
      <b/>
      <sz val="12"/>
      <color theme="0"/>
      <name val="黑体"/>
      <charset val="134"/>
    </font>
    <font>
      <b/>
      <sz val="10"/>
      <color theme="0"/>
      <name val="黑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7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5F2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DADDE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5D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auto="1"/>
      </right>
      <top style="hair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rgb="FF000000"/>
      </top>
      <bottom style="hair">
        <color auto="1"/>
      </bottom>
      <diagonal/>
    </border>
    <border>
      <left style="hair">
        <color auto="1"/>
      </left>
      <right/>
      <top style="hair">
        <color rgb="FF000000"/>
      </top>
      <bottom style="hair">
        <color auto="1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auto="1"/>
      </right>
      <top style="hair">
        <color rgb="FF000000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9" fillId="0" borderId="0">
      <alignment vertical="center"/>
    </xf>
    <xf numFmtId="44" fontId="39" fillId="0" borderId="0">
      <alignment vertical="center"/>
    </xf>
    <xf numFmtId="9" fontId="39" fillId="0" borderId="0">
      <alignment vertical="center"/>
    </xf>
    <xf numFmtId="41" fontId="39" fillId="0" borderId="0">
      <alignment vertical="center"/>
    </xf>
    <xf numFmtId="42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9" fillId="45" borderId="54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45" fillId="0" borderId="55">
      <alignment vertical="center"/>
    </xf>
    <xf numFmtId="0" fontId="46" fillId="0" borderId="55">
      <alignment vertical="center"/>
    </xf>
    <xf numFmtId="0" fontId="47" fillId="0" borderId="56">
      <alignment vertical="center"/>
    </xf>
    <xf numFmtId="0" fontId="47" fillId="0" borderId="0">
      <alignment vertical="center"/>
    </xf>
    <xf numFmtId="0" fontId="48" fillId="46" borderId="57">
      <alignment vertical="center"/>
    </xf>
    <xf numFmtId="0" fontId="49" fillId="47" borderId="58">
      <alignment vertical="center"/>
    </xf>
    <xf numFmtId="0" fontId="50" fillId="47" borderId="57">
      <alignment vertical="center"/>
    </xf>
    <xf numFmtId="0" fontId="51" fillId="48" borderId="59">
      <alignment vertical="center"/>
    </xf>
    <xf numFmtId="0" fontId="52" fillId="0" borderId="60">
      <alignment vertical="center"/>
    </xf>
    <xf numFmtId="0" fontId="53" fillId="0" borderId="61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6" fillId="51" borderId="0">
      <alignment vertical="center"/>
    </xf>
    <xf numFmtId="0" fontId="57" fillId="52" borderId="0">
      <alignment vertical="center"/>
    </xf>
    <xf numFmtId="0" fontId="39" fillId="53" borderId="0">
      <alignment vertical="center"/>
    </xf>
    <xf numFmtId="0" fontId="39" fillId="54" borderId="0">
      <alignment vertical="center"/>
    </xf>
    <xf numFmtId="0" fontId="57" fillId="55" borderId="0">
      <alignment vertical="center"/>
    </xf>
    <xf numFmtId="0" fontId="57" fillId="56" borderId="0">
      <alignment vertical="center"/>
    </xf>
    <xf numFmtId="0" fontId="39" fillId="57" borderId="0">
      <alignment vertical="center"/>
    </xf>
    <xf numFmtId="0" fontId="39" fillId="58" borderId="0">
      <alignment vertical="center"/>
    </xf>
    <xf numFmtId="0" fontId="57" fillId="59" borderId="0">
      <alignment vertical="center"/>
    </xf>
    <xf numFmtId="0" fontId="57" fillId="60" borderId="0">
      <alignment vertical="center"/>
    </xf>
    <xf numFmtId="0" fontId="39" fillId="61" borderId="0">
      <alignment vertical="center"/>
    </xf>
    <xf numFmtId="0" fontId="39" fillId="62" borderId="0">
      <alignment vertical="center"/>
    </xf>
    <xf numFmtId="0" fontId="57" fillId="63" borderId="0">
      <alignment vertical="center"/>
    </xf>
    <xf numFmtId="0" fontId="57" fillId="27" borderId="0">
      <alignment vertical="center"/>
    </xf>
    <xf numFmtId="0" fontId="39" fillId="64" borderId="0">
      <alignment vertical="center"/>
    </xf>
    <xf numFmtId="0" fontId="39" fillId="65" borderId="0">
      <alignment vertical="center"/>
    </xf>
    <xf numFmtId="0" fontId="57" fillId="66" borderId="0">
      <alignment vertical="center"/>
    </xf>
    <xf numFmtId="0" fontId="57" fillId="67" borderId="0">
      <alignment vertical="center"/>
    </xf>
    <xf numFmtId="0" fontId="39" fillId="68" borderId="0">
      <alignment vertical="center"/>
    </xf>
    <xf numFmtId="0" fontId="39" fillId="69" borderId="0">
      <alignment vertical="center"/>
    </xf>
    <xf numFmtId="0" fontId="57" fillId="70" borderId="0">
      <alignment vertical="center"/>
    </xf>
    <xf numFmtId="0" fontId="57" fillId="71" borderId="0">
      <alignment vertical="center"/>
    </xf>
    <xf numFmtId="0" fontId="39" fillId="72" borderId="0">
      <alignment vertical="center"/>
    </xf>
    <xf numFmtId="0" fontId="39" fillId="73" borderId="0">
      <alignment vertical="center"/>
    </xf>
    <xf numFmtId="0" fontId="57" fillId="74" borderId="0">
      <alignment vertical="center"/>
    </xf>
  </cellStyleXfs>
  <cellXfs count="425"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0" borderId="2" xfId="0" applyFont="1" applyBorder="1" applyAlignment="1"/>
    <xf numFmtId="0" fontId="1" fillId="0" borderId="3" xfId="0" applyFont="1" applyBorder="1" applyAlignment="1"/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6" fillId="9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8" fillId="10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vertical="center" wrapText="1"/>
    </xf>
    <xf numFmtId="0" fontId="12" fillId="14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4" fillId="15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 wrapText="1"/>
    </xf>
    <xf numFmtId="3" fontId="15" fillId="16" borderId="0" xfId="0" applyNumberFormat="1" applyFont="1" applyFill="1" applyAlignment="1">
      <alignment horizontal="center" vertical="center" wrapText="1"/>
    </xf>
    <xf numFmtId="3" fontId="16" fillId="17" borderId="0" xfId="0" applyNumberFormat="1" applyFont="1" applyFill="1" applyAlignment="1">
      <alignment horizontal="center" vertical="center" wrapText="1"/>
    </xf>
    <xf numFmtId="3" fontId="17" fillId="18" borderId="0" xfId="0" applyNumberFormat="1" applyFont="1" applyFill="1" applyAlignment="1">
      <alignment horizontal="center" vertical="center" wrapText="1"/>
    </xf>
    <xf numFmtId="3" fontId="17" fillId="19" borderId="0" xfId="0" applyNumberFormat="1" applyFont="1" applyFill="1" applyAlignment="1">
      <alignment horizontal="center" vertical="center" wrapText="1"/>
    </xf>
    <xf numFmtId="3" fontId="7" fillId="12" borderId="0" xfId="0" applyNumberFormat="1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7" fillId="20" borderId="0" xfId="0" applyFont="1" applyFill="1" applyAlignment="1">
      <alignment horizontal="center" vertical="center" wrapText="1"/>
    </xf>
    <xf numFmtId="0" fontId="7" fillId="20" borderId="0" xfId="0" applyFont="1" applyFill="1" applyAlignment="1">
      <alignment horizontal="left" vertical="center" wrapText="1"/>
    </xf>
    <xf numFmtId="3" fontId="7" fillId="20" borderId="0" xfId="0" applyNumberFormat="1" applyFont="1" applyFill="1" applyAlignment="1">
      <alignment horizontal="center" vertical="center" wrapText="1"/>
    </xf>
    <xf numFmtId="3" fontId="15" fillId="20" borderId="0" xfId="0" applyNumberFormat="1" applyFont="1" applyFill="1" applyAlignment="1">
      <alignment horizontal="center" vertical="center" wrapText="1"/>
    </xf>
    <xf numFmtId="3" fontId="16" fillId="20" borderId="0" xfId="0" applyNumberFormat="1" applyFont="1" applyFill="1" applyAlignment="1">
      <alignment horizontal="center" vertical="center" wrapText="1"/>
    </xf>
    <xf numFmtId="3" fontId="17" fillId="20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ill="1" applyAlignment="1"/>
    <xf numFmtId="0" fontId="14" fillId="15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3" fontId="24" fillId="5" borderId="0" xfId="0" applyNumberFormat="1" applyFont="1" applyFill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7" fontId="19" fillId="21" borderId="1" xfId="0" applyNumberFormat="1" applyFont="1" applyFill="1" applyBorder="1" applyAlignment="1">
      <alignment horizontal="center" vertical="center"/>
    </xf>
    <xf numFmtId="7" fontId="19" fillId="22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6" fillId="8" borderId="1" xfId="0" applyFont="1" applyFill="1" applyBorder="1" applyAlignment="1">
      <alignment horizontal="center" vertical="center" wrapText="1"/>
    </xf>
    <xf numFmtId="3" fontId="26" fillId="8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4" fillId="5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center" vertical="center" wrapText="1"/>
    </xf>
    <xf numFmtId="0" fontId="25" fillId="6" borderId="0" xfId="0" applyFont="1" applyFill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3" fontId="28" fillId="8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27" fillId="23" borderId="1" xfId="0" applyFont="1" applyFill="1" applyBorder="1" applyAlignment="1">
      <alignment horizontal="center" vertical="center" wrapText="1"/>
    </xf>
    <xf numFmtId="3" fontId="27" fillId="23" borderId="1" xfId="0" applyNumberFormat="1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7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19" fillId="24" borderId="1" xfId="0" applyFont="1" applyFill="1" applyBorder="1" applyAlignment="1">
      <alignment horizontal="center" vertical="center"/>
    </xf>
    <xf numFmtId="0" fontId="29" fillId="0" borderId="3" xfId="0" applyFont="1" applyBorder="1" applyAlignment="1"/>
    <xf numFmtId="0" fontId="29" fillId="0" borderId="2" xfId="0" applyFont="1" applyBorder="1" applyAlignment="1"/>
    <xf numFmtId="0" fontId="19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7" fontId="1" fillId="0" borderId="0" xfId="0" applyNumberFormat="1" applyFont="1" applyAlignment="1">
      <alignment horizontal="left" vertical="center"/>
    </xf>
    <xf numFmtId="7" fontId="19" fillId="0" borderId="0" xfId="0" applyNumberFormat="1" applyFont="1" applyAlignment="1">
      <alignment horizontal="right" vertical="center"/>
    </xf>
    <xf numFmtId="0" fontId="19" fillId="25" borderId="4" xfId="0" applyFont="1" applyFill="1" applyBorder="1" applyAlignment="1">
      <alignment horizontal="center" vertical="center"/>
    </xf>
    <xf numFmtId="0" fontId="1" fillId="25" borderId="5" xfId="0" applyFont="1" applyFill="1" applyBorder="1" applyAlignment="1">
      <alignment horizontal="left" vertical="center"/>
    </xf>
    <xf numFmtId="0" fontId="29" fillId="0" borderId="6" xfId="0" applyFont="1" applyBorder="1" applyAlignment="1"/>
    <xf numFmtId="0" fontId="29" fillId="0" borderId="7" xfId="0" applyFont="1" applyBorder="1" applyAlignment="1"/>
    <xf numFmtId="0" fontId="19" fillId="25" borderId="8" xfId="0" applyFont="1" applyFill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7" fontId="19" fillId="0" borderId="1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7" fontId="1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26" borderId="8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vertical="center" wrapText="1"/>
    </xf>
    <xf numFmtId="7" fontId="1" fillId="26" borderId="1" xfId="0" applyNumberFormat="1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left" vertical="center" wrapText="1"/>
    </xf>
    <xf numFmtId="0" fontId="1" fillId="26" borderId="9" xfId="0" applyFont="1" applyFill="1" applyBorder="1" applyAlignment="1">
      <alignment horizontal="left" vertical="center" wrapText="1"/>
    </xf>
    <xf numFmtId="0" fontId="1" fillId="27" borderId="8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7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26" borderId="1" xfId="0" applyNumberFormat="1" applyFont="1" applyFill="1" applyBorder="1" applyAlignment="1">
      <alignment horizontal="center" vertical="center"/>
    </xf>
    <xf numFmtId="0" fontId="19" fillId="25" borderId="14" xfId="0" applyFont="1" applyFill="1" applyBorder="1" applyAlignment="1">
      <alignment horizontal="center" vertical="center"/>
    </xf>
    <xf numFmtId="0" fontId="19" fillId="25" borderId="15" xfId="0" applyFont="1" applyFill="1" applyBorder="1" applyAlignment="1">
      <alignment horizontal="center" vertical="center"/>
    </xf>
    <xf numFmtId="0" fontId="19" fillId="25" borderId="16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25" borderId="17" xfId="0" applyFont="1" applyFill="1" applyBorder="1" applyAlignment="1">
      <alignment horizontal="center" vertical="center"/>
    </xf>
    <xf numFmtId="0" fontId="19" fillId="25" borderId="0" xfId="0" applyFont="1" applyFill="1" applyAlignment="1">
      <alignment horizontal="center" vertical="center"/>
    </xf>
    <xf numFmtId="0" fontId="19" fillId="25" borderId="18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9" fillId="25" borderId="19" xfId="0" applyFont="1" applyFill="1" applyBorder="1" applyAlignment="1">
      <alignment horizontal="center" vertical="center"/>
    </xf>
    <xf numFmtId="0" fontId="19" fillId="25" borderId="20" xfId="0" applyFont="1" applyFill="1" applyBorder="1" applyAlignment="1">
      <alignment horizontal="center" vertical="center"/>
    </xf>
    <xf numFmtId="0" fontId="19" fillId="25" borderId="21" xfId="0" applyFont="1" applyFill="1" applyBorder="1" applyAlignment="1">
      <alignment horizontal="center" vertical="center"/>
    </xf>
    <xf numFmtId="0" fontId="1" fillId="28" borderId="0" xfId="0" applyFont="1" applyFill="1" applyAlignment="1">
      <alignment horizontal="center" vertical="center"/>
    </xf>
    <xf numFmtId="0" fontId="19" fillId="29" borderId="4" xfId="0" applyFont="1" applyFill="1" applyBorder="1" applyAlignment="1">
      <alignment horizontal="center" vertical="center"/>
    </xf>
    <xf numFmtId="0" fontId="1" fillId="29" borderId="5" xfId="0" applyFont="1" applyFill="1" applyBorder="1" applyAlignment="1">
      <alignment horizontal="left" vertical="center"/>
    </xf>
    <xf numFmtId="0" fontId="19" fillId="29" borderId="8" xfId="0" applyFont="1" applyFill="1" applyBorder="1" applyAlignment="1">
      <alignment horizontal="left" vertical="center"/>
    </xf>
    <xf numFmtId="0" fontId="1" fillId="29" borderId="8" xfId="0" applyFont="1" applyFill="1" applyBorder="1" applyAlignment="1">
      <alignment horizontal="right" vertical="center"/>
    </xf>
    <xf numFmtId="0" fontId="29" fillId="29" borderId="2" xfId="0" applyFont="1" applyFill="1" applyBorder="1" applyAlignment="1"/>
    <xf numFmtId="0" fontId="29" fillId="29" borderId="3" xfId="0" applyFont="1" applyFill="1" applyBorder="1" applyAlignment="1"/>
    <xf numFmtId="0" fontId="1" fillId="0" borderId="9" xfId="0" applyFont="1" applyBorder="1" applyAlignment="1">
      <alignment vertical="center" wrapText="1"/>
    </xf>
    <xf numFmtId="0" fontId="19" fillId="29" borderId="14" xfId="0" applyFont="1" applyFill="1" applyBorder="1" applyAlignment="1">
      <alignment horizontal="center" vertical="center"/>
    </xf>
    <xf numFmtId="0" fontId="19" fillId="29" borderId="15" xfId="0" applyFont="1" applyFill="1" applyBorder="1" applyAlignment="1">
      <alignment horizontal="center" vertical="center"/>
    </xf>
    <xf numFmtId="0" fontId="19" fillId="29" borderId="16" xfId="0" applyFont="1" applyFill="1" applyBorder="1" applyAlignment="1">
      <alignment horizontal="center" vertical="center"/>
    </xf>
    <xf numFmtId="0" fontId="19" fillId="29" borderId="1" xfId="0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center" vertical="center"/>
    </xf>
    <xf numFmtId="0" fontId="19" fillId="29" borderId="0" xfId="0" applyFont="1" applyFill="1" applyAlignment="1">
      <alignment horizontal="center" vertical="center"/>
    </xf>
    <xf numFmtId="0" fontId="19" fillId="29" borderId="18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9" fillId="29" borderId="19" xfId="0" applyFont="1" applyFill="1" applyBorder="1" applyAlignment="1">
      <alignment horizontal="center" vertical="center"/>
    </xf>
    <xf numFmtId="0" fontId="19" fillId="29" borderId="20" xfId="0" applyFont="1" applyFill="1" applyBorder="1" applyAlignment="1">
      <alignment horizontal="center" vertical="center"/>
    </xf>
    <xf numFmtId="0" fontId="19" fillId="29" borderId="2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3" borderId="0" xfId="0" applyNumberFormat="1" applyFont="1" applyFill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34" fillId="16" borderId="0" xfId="0" applyNumberFormat="1" applyFont="1" applyFill="1" applyAlignment="1">
      <alignment horizontal="left" vertical="center" wrapText="1"/>
    </xf>
    <xf numFmtId="0" fontId="21" fillId="31" borderId="0" xfId="0" applyNumberFormat="1" applyFont="1" applyFill="1" applyBorder="1" applyAlignment="1">
      <alignment horizontal="center" vertical="center"/>
    </xf>
    <xf numFmtId="0" fontId="21" fillId="31" borderId="0" xfId="0" applyNumberFormat="1" applyFont="1" applyFill="1" applyAlignment="1">
      <alignment horizontal="center" vertical="center" wrapText="1"/>
    </xf>
    <xf numFmtId="0" fontId="21" fillId="31" borderId="0" xfId="0" applyNumberFormat="1" applyFont="1" applyFill="1" applyAlignment="1">
      <alignment horizontal="center" vertical="center"/>
    </xf>
    <xf numFmtId="0" fontId="35" fillId="11" borderId="0" xfId="0" applyNumberFormat="1" applyFont="1" applyFill="1" applyBorder="1" applyAlignment="1">
      <alignment horizontal="center" vertical="center" wrapText="1"/>
    </xf>
    <xf numFmtId="0" fontId="35" fillId="24" borderId="0" xfId="0" applyNumberFormat="1" applyFont="1" applyFill="1" applyBorder="1" applyAlignment="1">
      <alignment horizontal="center" vertical="center" wrapText="1"/>
    </xf>
    <xf numFmtId="0" fontId="35" fillId="32" borderId="0" xfId="0" applyNumberFormat="1" applyFont="1" applyFill="1" applyBorder="1" applyAlignment="1">
      <alignment horizontal="center" vertical="center" wrapText="1"/>
    </xf>
    <xf numFmtId="0" fontId="35" fillId="11" borderId="1" xfId="0" applyNumberFormat="1" applyFont="1" applyFill="1" applyBorder="1" applyAlignment="1">
      <alignment horizontal="center" vertical="center" wrapText="1"/>
    </xf>
    <xf numFmtId="0" fontId="35" fillId="11" borderId="22" xfId="0" applyNumberFormat="1" applyFont="1" applyFill="1" applyBorder="1" applyAlignment="1">
      <alignment horizontal="center" vertical="center" wrapText="1"/>
    </xf>
    <xf numFmtId="0" fontId="36" fillId="11" borderId="0" xfId="0" applyNumberFormat="1" applyFont="1" applyFill="1" applyBorder="1" applyAlignment="1">
      <alignment horizontal="center" vertical="center" wrapText="1"/>
    </xf>
    <xf numFmtId="0" fontId="36" fillId="24" borderId="0" xfId="0" applyNumberFormat="1" applyFont="1" applyFill="1" applyBorder="1" applyAlignment="1">
      <alignment horizontal="center" vertical="center" wrapText="1"/>
    </xf>
    <xf numFmtId="0" fontId="36" fillId="32" borderId="0" xfId="0" applyNumberFormat="1" applyFont="1" applyFill="1" applyBorder="1" applyAlignment="1">
      <alignment horizontal="center" vertical="center" wrapText="1"/>
    </xf>
    <xf numFmtId="0" fontId="36" fillId="11" borderId="23" xfId="0" applyNumberFormat="1" applyFont="1" applyFill="1" applyBorder="1" applyAlignment="1">
      <alignment horizontal="center" vertical="center" wrapText="1"/>
    </xf>
    <xf numFmtId="0" fontId="1" fillId="0" borderId="24" xfId="0" applyNumberFormat="1" applyFont="1" applyFill="1" applyBorder="1" applyAlignment="1">
      <alignment horizontal="center" vertical="center" wrapText="1"/>
    </xf>
    <xf numFmtId="1" fontId="1" fillId="0" borderId="24" xfId="0" applyNumberFormat="1" applyFont="1" applyFill="1" applyBorder="1" applyAlignment="1">
      <alignment horizontal="center" vertical="center" wrapText="1"/>
    </xf>
    <xf numFmtId="1" fontId="1" fillId="32" borderId="24" xfId="0" applyNumberFormat="1" applyFont="1" applyFill="1" applyBorder="1" applyAlignment="1">
      <alignment horizontal="center" vertical="center" wrapText="1"/>
    </xf>
    <xf numFmtId="1" fontId="1" fillId="32" borderId="25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2" xfId="0" applyNumberFormat="1" applyFont="1" applyFill="1" applyBorder="1" applyAlignment="1">
      <alignment horizontal="center" vertical="center" wrapText="1"/>
    </xf>
    <xf numFmtId="0" fontId="1" fillId="0" borderId="26" xfId="0" applyNumberFormat="1" applyFont="1" applyFill="1" applyBorder="1" applyAlignment="1">
      <alignment horizontal="center" vertical="center" wrapText="1"/>
    </xf>
    <xf numFmtId="0" fontId="1" fillId="32" borderId="24" xfId="0" applyNumberFormat="1" applyFont="1" applyFill="1" applyBorder="1" applyAlignment="1">
      <alignment horizontal="center" vertical="center" wrapText="1"/>
    </xf>
    <xf numFmtId="0" fontId="1" fillId="0" borderId="27" xfId="0" applyNumberFormat="1" applyFont="1" applyFill="1" applyBorder="1" applyAlignment="1">
      <alignment horizontal="center" vertical="center" wrapText="1"/>
    </xf>
    <xf numFmtId="0" fontId="1" fillId="0" borderId="28" xfId="0" applyNumberFormat="1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30" fillId="0" borderId="24" xfId="0" applyNumberFormat="1" applyFont="1" applyFill="1" applyBorder="1" applyAlignment="1">
      <alignment horizontal="center" vertical="center" wrapText="1"/>
    </xf>
    <xf numFmtId="1" fontId="30" fillId="0" borderId="24" xfId="0" applyNumberFormat="1" applyFont="1" applyFill="1" applyBorder="1" applyAlignment="1">
      <alignment horizontal="center" vertical="center" wrapText="1"/>
    </xf>
    <xf numFmtId="1" fontId="30" fillId="0" borderId="25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22" xfId="0" applyNumberFormat="1" applyFont="1" applyFill="1" applyBorder="1" applyAlignment="1">
      <alignment horizontal="center" vertical="center" wrapText="1"/>
    </xf>
    <xf numFmtId="0" fontId="1" fillId="0" borderId="29" xfId="0" applyNumberFormat="1" applyFont="1" applyFill="1" applyBorder="1" applyAlignment="1">
      <alignment horizontal="center" vertical="center" wrapText="1"/>
    </xf>
    <xf numFmtId="0" fontId="30" fillId="0" borderId="21" xfId="0" applyNumberFormat="1" applyFont="1" applyFill="1" applyBorder="1" applyAlignment="1">
      <alignment horizontal="center" vertical="center" wrapText="1"/>
    </xf>
    <xf numFmtId="0" fontId="30" fillId="0" borderId="3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 wrapText="1"/>
    </xf>
    <xf numFmtId="1" fontId="29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30" fillId="0" borderId="27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Alignment="1">
      <alignment horizontal="center" vertical="center" wrapText="1"/>
    </xf>
    <xf numFmtId="1" fontId="30" fillId="0" borderId="0" xfId="0" applyNumberFormat="1" applyFont="1" applyFill="1" applyAlignment="1">
      <alignment horizontal="center" vertical="center" wrapText="1"/>
    </xf>
    <xf numFmtId="0" fontId="30" fillId="0" borderId="18" xfId="0" applyNumberFormat="1" applyFont="1" applyFill="1" applyBorder="1" applyAlignment="1">
      <alignment horizontal="center" vertical="center" wrapText="1"/>
    </xf>
    <xf numFmtId="0" fontId="37" fillId="33" borderId="0" xfId="0" applyNumberFormat="1" applyFont="1" applyFill="1" applyAlignment="1">
      <alignment horizontal="center" vertical="center" wrapText="1"/>
    </xf>
    <xf numFmtId="0" fontId="37" fillId="33" borderId="0" xfId="0" applyNumberFormat="1" applyFont="1" applyFill="1" applyBorder="1" applyAlignment="1">
      <alignment horizontal="center" vertical="center" wrapText="1"/>
    </xf>
    <xf numFmtId="0" fontId="37" fillId="33" borderId="3" xfId="0" applyNumberFormat="1" applyFont="1" applyFill="1" applyBorder="1" applyAlignment="1">
      <alignment horizontal="center" vertical="center" wrapText="1"/>
    </xf>
    <xf numFmtId="0" fontId="37" fillId="33" borderId="1" xfId="0" applyNumberFormat="1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left" vertical="center"/>
    </xf>
    <xf numFmtId="0" fontId="38" fillId="34" borderId="0" xfId="0" applyFont="1" applyFill="1" applyAlignment="1">
      <alignment horizontal="left" vertical="center"/>
    </xf>
    <xf numFmtId="0" fontId="19" fillId="35" borderId="32" xfId="0" applyFont="1" applyFill="1" applyBorder="1" applyAlignment="1">
      <alignment horizontal="center" vertical="center"/>
    </xf>
    <xf numFmtId="0" fontId="19" fillId="23" borderId="32" xfId="0" applyFont="1" applyFill="1" applyBorder="1" applyAlignment="1">
      <alignment horizontal="center" vertical="center"/>
    </xf>
    <xf numFmtId="0" fontId="19" fillId="23" borderId="32" xfId="0" applyFont="1" applyFill="1" applyBorder="1" applyAlignment="1">
      <alignment horizontal="center" vertical="center" wrapText="1"/>
    </xf>
    <xf numFmtId="0" fontId="19" fillId="24" borderId="32" xfId="0" applyFont="1" applyFill="1" applyBorder="1" applyAlignment="1">
      <alignment horizontal="center" vertical="center"/>
    </xf>
    <xf numFmtId="0" fontId="19" fillId="36" borderId="32" xfId="0" applyFont="1" applyFill="1" applyBorder="1" applyAlignment="1">
      <alignment horizontal="center" vertical="center"/>
    </xf>
    <xf numFmtId="0" fontId="19" fillId="37" borderId="32" xfId="0" applyFont="1" applyFill="1" applyBorder="1" applyAlignment="1">
      <alignment horizontal="center" vertical="center"/>
    </xf>
    <xf numFmtId="0" fontId="19" fillId="38" borderId="25" xfId="0" applyFont="1" applyFill="1" applyBorder="1" applyAlignment="1">
      <alignment horizontal="center" vertical="center" wrapText="1"/>
    </xf>
    <xf numFmtId="0" fontId="38" fillId="34" borderId="3" xfId="0" applyFont="1" applyFill="1" applyBorder="1" applyAlignment="1">
      <alignment horizontal="left" vertical="center"/>
    </xf>
    <xf numFmtId="0" fontId="38" fillId="34" borderId="1" xfId="0" applyFont="1" applyFill="1" applyBorder="1" applyAlignment="1">
      <alignment horizontal="left" vertical="center"/>
    </xf>
    <xf numFmtId="0" fontId="19" fillId="35" borderId="33" xfId="0" applyFont="1" applyFill="1" applyBorder="1" applyAlignment="1">
      <alignment horizontal="center" vertical="center"/>
    </xf>
    <xf numFmtId="0" fontId="19" fillId="38" borderId="32" xfId="0" applyFont="1" applyFill="1" applyBorder="1" applyAlignment="1">
      <alignment horizontal="center" vertical="center" wrapText="1"/>
    </xf>
    <xf numFmtId="0" fontId="19" fillId="35" borderId="27" xfId="0" applyFont="1" applyFill="1" applyBorder="1" applyAlignment="1">
      <alignment horizontal="center" vertical="center"/>
    </xf>
    <xf numFmtId="0" fontId="19" fillId="35" borderId="24" xfId="0" applyFont="1" applyFill="1" applyBorder="1" applyAlignment="1">
      <alignment horizontal="center" vertical="center"/>
    </xf>
    <xf numFmtId="0" fontId="19" fillId="23" borderId="24" xfId="0" applyFont="1" applyFill="1" applyBorder="1" applyAlignment="1">
      <alignment horizontal="center" vertical="center"/>
    </xf>
    <xf numFmtId="0" fontId="19" fillId="23" borderId="24" xfId="0" applyFont="1" applyFill="1" applyBorder="1" applyAlignment="1">
      <alignment horizontal="center" vertical="center" wrapText="1"/>
    </xf>
    <xf numFmtId="0" fontId="19" fillId="24" borderId="24" xfId="0" applyFont="1" applyFill="1" applyBorder="1" applyAlignment="1">
      <alignment horizontal="center" vertical="center" wrapText="1"/>
    </xf>
    <xf numFmtId="0" fontId="19" fillId="36" borderId="24" xfId="0" applyFont="1" applyFill="1" applyBorder="1" applyAlignment="1">
      <alignment horizontal="center" vertical="center" wrapText="1"/>
    </xf>
    <xf numFmtId="0" fontId="19" fillId="37" borderId="24" xfId="0" applyFont="1" applyFill="1" applyBorder="1" applyAlignment="1">
      <alignment horizontal="center" vertical="center" wrapText="1"/>
    </xf>
    <xf numFmtId="0" fontId="19" fillId="37" borderId="25" xfId="0" applyFont="1" applyFill="1" applyBorder="1" applyAlignment="1">
      <alignment horizontal="center" vertical="center" wrapText="1"/>
    </xf>
    <xf numFmtId="0" fontId="19" fillId="38" borderId="24" xfId="0" applyFont="1" applyFill="1" applyBorder="1" applyAlignment="1">
      <alignment horizontal="center" vertical="center" wrapText="1"/>
    </xf>
    <xf numFmtId="0" fontId="1" fillId="35" borderId="27" xfId="0" applyFont="1" applyFill="1" applyBorder="1" applyAlignment="1">
      <alignment horizontal="center" vertical="center"/>
    </xf>
    <xf numFmtId="0" fontId="1" fillId="23" borderId="24" xfId="0" applyFont="1" applyFill="1" applyBorder="1" applyAlignment="1">
      <alignment horizontal="center" vertical="center"/>
    </xf>
    <xf numFmtId="0" fontId="1" fillId="23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24" borderId="24" xfId="0" applyFont="1" applyFill="1" applyBorder="1" applyAlignment="1">
      <alignment horizontal="center" vertical="center"/>
    </xf>
    <xf numFmtId="0" fontId="1" fillId="36" borderId="24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0" fontId="1" fillId="35" borderId="24" xfId="0" applyFont="1" applyFill="1" applyBorder="1" applyAlignment="1">
      <alignment horizontal="center" vertical="center"/>
    </xf>
    <xf numFmtId="0" fontId="1" fillId="37" borderId="24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right" vertical="center"/>
    </xf>
    <xf numFmtId="0" fontId="31" fillId="35" borderId="27" xfId="0" applyFont="1" applyFill="1" applyBorder="1" applyAlignment="1">
      <alignment horizontal="center" vertical="center"/>
    </xf>
    <xf numFmtId="0" fontId="31" fillId="35" borderId="24" xfId="0" applyFont="1" applyFill="1" applyBorder="1" applyAlignment="1">
      <alignment horizontal="center" vertical="center"/>
    </xf>
    <xf numFmtId="0" fontId="31" fillId="23" borderId="24" xfId="0" applyFont="1" applyFill="1" applyBorder="1" applyAlignment="1">
      <alignment horizontal="center" vertical="center"/>
    </xf>
    <xf numFmtId="0" fontId="31" fillId="24" borderId="24" xfId="0" applyFont="1" applyFill="1" applyBorder="1" applyAlignment="1">
      <alignment horizontal="center" vertical="center"/>
    </xf>
    <xf numFmtId="0" fontId="31" fillId="36" borderId="24" xfId="0" applyFont="1" applyFill="1" applyBorder="1" applyAlignment="1">
      <alignment horizontal="center" vertical="center"/>
    </xf>
    <xf numFmtId="0" fontId="31" fillId="37" borderId="24" xfId="0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right" vertical="center"/>
    </xf>
    <xf numFmtId="0" fontId="31" fillId="0" borderId="1" xfId="0" applyFont="1" applyBorder="1" applyAlignment="1">
      <alignment horizontal="right" vertical="center" wrapText="1"/>
    </xf>
    <xf numFmtId="0" fontId="31" fillId="39" borderId="34" xfId="0" applyNumberFormat="1" applyFont="1" applyFill="1" applyBorder="1" applyAlignment="1">
      <alignment horizontal="center" vertical="center"/>
    </xf>
    <xf numFmtId="0" fontId="31" fillId="39" borderId="35" xfId="0" applyNumberFormat="1" applyFont="1" applyFill="1" applyBorder="1" applyAlignment="1">
      <alignment horizontal="center" vertical="center"/>
    </xf>
    <xf numFmtId="0" fontId="31" fillId="40" borderId="34" xfId="0" applyNumberFormat="1" applyFont="1" applyFill="1" applyBorder="1" applyAlignment="1">
      <alignment horizontal="center" vertical="center"/>
    </xf>
    <xf numFmtId="0" fontId="31" fillId="40" borderId="35" xfId="0" applyNumberFormat="1" applyFont="1" applyFill="1" applyBorder="1" applyAlignment="1">
      <alignment horizontal="center" vertical="center"/>
    </xf>
    <xf numFmtId="0" fontId="31" fillId="41" borderId="34" xfId="0" applyNumberFormat="1" applyFont="1" applyFill="1" applyBorder="1" applyAlignment="1">
      <alignment horizontal="center" vertical="center"/>
    </xf>
    <xf numFmtId="0" fontId="31" fillId="41" borderId="29" xfId="0" applyNumberFormat="1" applyFont="1" applyFill="1" applyBorder="1" applyAlignment="1">
      <alignment horizontal="center" vertical="center"/>
    </xf>
    <xf numFmtId="0" fontId="31" fillId="41" borderId="35" xfId="0" applyNumberFormat="1" applyFont="1" applyFill="1" applyBorder="1" applyAlignment="1">
      <alignment horizontal="center" vertical="center"/>
    </xf>
    <xf numFmtId="0" fontId="31" fillId="19" borderId="34" xfId="0" applyNumberFormat="1" applyFont="1" applyFill="1" applyBorder="1" applyAlignment="1">
      <alignment horizontal="center" vertical="center"/>
    </xf>
    <xf numFmtId="0" fontId="31" fillId="19" borderId="29" xfId="0" applyNumberFormat="1" applyFont="1" applyFill="1" applyBorder="1" applyAlignment="1">
      <alignment horizontal="center" vertical="center"/>
    </xf>
    <xf numFmtId="0" fontId="31" fillId="19" borderId="35" xfId="0" applyNumberFormat="1" applyFont="1" applyFill="1" applyBorder="1" applyAlignment="1">
      <alignment horizontal="center" vertical="center"/>
    </xf>
    <xf numFmtId="0" fontId="31" fillId="42" borderId="34" xfId="0" applyNumberFormat="1" applyFont="1" applyFill="1" applyBorder="1" applyAlignment="1">
      <alignment horizontal="center" vertical="center"/>
    </xf>
    <xf numFmtId="0" fontId="31" fillId="42" borderId="29" xfId="0" applyNumberFormat="1" applyFont="1" applyFill="1" applyBorder="1" applyAlignment="1">
      <alignment horizontal="center" vertical="center"/>
    </xf>
    <xf numFmtId="0" fontId="19" fillId="0" borderId="24" xfId="0" applyFont="1" applyBorder="1" applyAlignment="1">
      <alignment vertical="center" wrapText="1"/>
    </xf>
    <xf numFmtId="0" fontId="19" fillId="24" borderId="24" xfId="0" applyFont="1" applyFill="1" applyBorder="1" applyAlignment="1">
      <alignment horizontal="center" vertical="center"/>
    </xf>
    <xf numFmtId="0" fontId="19" fillId="36" borderId="24" xfId="0" applyFont="1" applyFill="1" applyBorder="1" applyAlignment="1">
      <alignment horizontal="center" vertical="center"/>
    </xf>
    <xf numFmtId="0" fontId="19" fillId="37" borderId="24" xfId="0" applyFont="1" applyFill="1" applyBorder="1" applyAlignment="1">
      <alignment horizontal="center" vertical="center"/>
    </xf>
    <xf numFmtId="0" fontId="38" fillId="34" borderId="0" xfId="0" applyFont="1" applyFill="1" applyBorder="1" applyAlignment="1">
      <alignment horizontal="left" vertical="center"/>
    </xf>
    <xf numFmtId="0" fontId="19" fillId="39" borderId="36" xfId="0" applyNumberFormat="1" applyFont="1" applyFill="1" applyBorder="1" applyAlignment="1">
      <alignment horizontal="center" vertical="center"/>
    </xf>
    <xf numFmtId="0" fontId="19" fillId="39" borderId="0" xfId="0" applyNumberFormat="1" applyFont="1" applyFill="1" applyBorder="1" applyAlignment="1">
      <alignment vertical="center"/>
    </xf>
    <xf numFmtId="0" fontId="19" fillId="40" borderId="36" xfId="0" applyNumberFormat="1" applyFont="1" applyFill="1" applyBorder="1" applyAlignment="1">
      <alignment horizontal="center" vertical="center"/>
    </xf>
    <xf numFmtId="0" fontId="19" fillId="43" borderId="0" xfId="0" applyNumberFormat="1" applyFont="1" applyFill="1" applyBorder="1" applyAlignment="1">
      <alignment vertical="center"/>
    </xf>
    <xf numFmtId="0" fontId="19" fillId="41" borderId="36" xfId="0" applyNumberFormat="1" applyFont="1" applyFill="1" applyBorder="1" applyAlignment="1">
      <alignment horizontal="center" vertical="center"/>
    </xf>
    <xf numFmtId="0" fontId="19" fillId="41" borderId="0" xfId="0" applyNumberFormat="1" applyFont="1" applyFill="1" applyBorder="1" applyAlignment="1">
      <alignment vertical="center"/>
    </xf>
    <xf numFmtId="0" fontId="19" fillId="19" borderId="36" xfId="0" applyNumberFormat="1" applyFont="1" applyFill="1" applyBorder="1" applyAlignment="1">
      <alignment horizontal="center" vertical="center"/>
    </xf>
    <xf numFmtId="0" fontId="19" fillId="19" borderId="0" xfId="0" applyNumberFormat="1" applyFont="1" applyFill="1" applyBorder="1" applyAlignment="1">
      <alignment vertical="center"/>
    </xf>
    <xf numFmtId="0" fontId="19" fillId="42" borderId="36" xfId="0" applyNumberFormat="1" applyFont="1" applyFill="1" applyBorder="1" applyAlignment="1">
      <alignment horizontal="center" vertical="center"/>
    </xf>
    <xf numFmtId="0" fontId="19" fillId="16" borderId="0" xfId="0" applyNumberFormat="1" applyFont="1" applyFill="1" applyBorder="1" applyAlignment="1">
      <alignment vertical="center"/>
    </xf>
    <xf numFmtId="0" fontId="19" fillId="39" borderId="34" xfId="0" applyNumberFormat="1" applyFont="1" applyFill="1" applyBorder="1" applyAlignment="1">
      <alignment horizontal="center" vertical="center"/>
    </xf>
    <xf numFmtId="0" fontId="19" fillId="39" borderId="35" xfId="0" applyNumberFormat="1" applyFont="1" applyFill="1" applyBorder="1" applyAlignment="1">
      <alignment horizontal="center" vertical="center"/>
    </xf>
    <xf numFmtId="0" fontId="19" fillId="40" borderId="36" xfId="0" applyNumberFormat="1" applyFont="1" applyFill="1" applyBorder="1" applyAlignment="1">
      <alignment horizontal="center" vertical="center" wrapText="1"/>
    </xf>
    <xf numFmtId="0" fontId="19" fillId="41" borderId="34" xfId="0" applyNumberFormat="1" applyFont="1" applyFill="1" applyBorder="1" applyAlignment="1">
      <alignment horizontal="center" vertical="center" wrapText="1"/>
    </xf>
    <xf numFmtId="0" fontId="19" fillId="41" borderId="29" xfId="0" applyNumberFormat="1" applyFont="1" applyFill="1" applyBorder="1" applyAlignment="1">
      <alignment horizontal="center" vertical="center" wrapText="1"/>
    </xf>
    <xf numFmtId="0" fontId="19" fillId="41" borderId="35" xfId="0" applyNumberFormat="1" applyFont="1" applyFill="1" applyBorder="1" applyAlignment="1">
      <alignment horizontal="center" vertical="center" wrapText="1"/>
    </xf>
    <xf numFmtId="0" fontId="19" fillId="19" borderId="34" xfId="0" applyNumberFormat="1" applyFont="1" applyFill="1" applyBorder="1" applyAlignment="1">
      <alignment horizontal="center" vertical="center" wrapText="1"/>
    </xf>
    <xf numFmtId="0" fontId="19" fillId="19" borderId="29" xfId="0" applyNumberFormat="1" applyFont="1" applyFill="1" applyBorder="1" applyAlignment="1">
      <alignment horizontal="center" vertical="center" wrapText="1"/>
    </xf>
    <xf numFmtId="0" fontId="19" fillId="19" borderId="35" xfId="0" applyNumberFormat="1" applyFont="1" applyFill="1" applyBorder="1" applyAlignment="1">
      <alignment horizontal="center" vertical="center" wrapText="1"/>
    </xf>
    <xf numFmtId="0" fontId="19" fillId="42" borderId="34" xfId="0" applyNumberFormat="1" applyFont="1" applyFill="1" applyBorder="1" applyAlignment="1">
      <alignment horizontal="center" vertical="center" wrapText="1"/>
    </xf>
    <xf numFmtId="0" fontId="19" fillId="42" borderId="29" xfId="0" applyNumberFormat="1" applyFont="1" applyFill="1" applyBorder="1" applyAlignment="1">
      <alignment horizontal="center" vertical="center" wrapText="1"/>
    </xf>
    <xf numFmtId="0" fontId="19" fillId="0" borderId="25" xfId="0" applyFont="1" applyFill="1" applyBorder="1" applyAlignment="1">
      <alignment horizontal="center" vertical="center" wrapText="1"/>
    </xf>
    <xf numFmtId="0" fontId="1" fillId="39" borderId="36" xfId="0" applyNumberFormat="1" applyFont="1" applyFill="1" applyBorder="1" applyAlignment="1">
      <alignment horizontal="center" vertical="center"/>
    </xf>
    <xf numFmtId="0" fontId="1" fillId="39" borderId="37" xfId="0" applyNumberFormat="1" applyFont="1" applyFill="1" applyBorder="1" applyAlignment="1">
      <alignment vertical="center"/>
    </xf>
    <xf numFmtId="0" fontId="1" fillId="43" borderId="38" xfId="0" applyNumberFormat="1" applyFont="1" applyFill="1" applyBorder="1" applyAlignment="1">
      <alignment vertical="center"/>
    </xf>
    <xf numFmtId="0" fontId="1" fillId="41" borderId="38" xfId="0" applyNumberFormat="1" applyFont="1" applyFill="1" applyBorder="1" applyAlignment="1">
      <alignment vertical="center"/>
    </xf>
    <xf numFmtId="0" fontId="1" fillId="19" borderId="38" xfId="0" applyNumberFormat="1" applyFont="1" applyFill="1" applyBorder="1" applyAlignment="1">
      <alignment vertical="center"/>
    </xf>
    <xf numFmtId="0" fontId="1" fillId="16" borderId="38" xfId="0" applyNumberFormat="1" applyFont="1" applyFill="1" applyBorder="1" applyAlignment="1">
      <alignment vertical="center"/>
    </xf>
    <xf numFmtId="0" fontId="1" fillId="16" borderId="39" xfId="0" applyNumberFormat="1" applyFont="1" applyFill="1" applyBorder="1" applyAlignment="1">
      <alignment vertical="center"/>
    </xf>
    <xf numFmtId="0" fontId="1" fillId="39" borderId="40" xfId="0" applyNumberFormat="1" applyFont="1" applyFill="1" applyBorder="1" applyAlignment="1">
      <alignment vertical="center"/>
    </xf>
    <xf numFmtId="0" fontId="1" fillId="43" borderId="24" xfId="0" applyNumberFormat="1" applyFont="1" applyFill="1" applyBorder="1" applyAlignment="1">
      <alignment vertical="center"/>
    </xf>
    <xf numFmtId="0" fontId="1" fillId="41" borderId="24" xfId="0" applyNumberFormat="1" applyFont="1" applyFill="1" applyBorder="1" applyAlignment="1">
      <alignment horizontal="center" vertical="center"/>
    </xf>
    <xf numFmtId="0" fontId="1" fillId="19" borderId="24" xfId="0" applyNumberFormat="1" applyFont="1" applyFill="1" applyBorder="1" applyAlignment="1">
      <alignment horizontal="center" vertical="center"/>
    </xf>
    <xf numFmtId="0" fontId="1" fillId="19" borderId="24" xfId="0" applyNumberFormat="1" applyFont="1" applyFill="1" applyBorder="1" applyAlignment="1">
      <alignment vertical="center"/>
    </xf>
    <xf numFmtId="0" fontId="1" fillId="16" borderId="24" xfId="0" applyNumberFormat="1" applyFont="1" applyFill="1" applyBorder="1" applyAlignment="1">
      <alignment vertical="center"/>
    </xf>
    <xf numFmtId="0" fontId="1" fillId="16" borderId="25" xfId="0" applyNumberFormat="1" applyFont="1" applyFill="1" applyBorder="1" applyAlignment="1">
      <alignment vertical="center"/>
    </xf>
    <xf numFmtId="0" fontId="1" fillId="41" borderId="24" xfId="0" applyNumberFormat="1" applyFont="1" applyFill="1" applyBorder="1" applyAlignment="1">
      <alignment vertical="center"/>
    </xf>
    <xf numFmtId="0" fontId="1" fillId="39" borderId="41" xfId="0" applyNumberFormat="1" applyFont="1" applyFill="1" applyBorder="1" applyAlignment="1">
      <alignment vertical="center"/>
    </xf>
    <xf numFmtId="0" fontId="1" fillId="43" borderId="42" xfId="0" applyNumberFormat="1" applyFont="1" applyFill="1" applyBorder="1" applyAlignment="1">
      <alignment vertical="center"/>
    </xf>
    <xf numFmtId="0" fontId="1" fillId="41" borderId="42" xfId="0" applyNumberFormat="1" applyFont="1" applyFill="1" applyBorder="1" applyAlignment="1">
      <alignment vertical="center"/>
    </xf>
    <xf numFmtId="0" fontId="1" fillId="19" borderId="42" xfId="0" applyNumberFormat="1" applyFont="1" applyFill="1" applyBorder="1" applyAlignment="1">
      <alignment vertical="center"/>
    </xf>
    <xf numFmtId="0" fontId="1" fillId="16" borderId="42" xfId="0" applyNumberFormat="1" applyFont="1" applyFill="1" applyBorder="1" applyAlignment="1">
      <alignment vertical="center"/>
    </xf>
    <xf numFmtId="0" fontId="1" fillId="16" borderId="43" xfId="0" applyNumberFormat="1" applyFont="1" applyFill="1" applyBorder="1" applyAlignment="1">
      <alignment vertical="center"/>
    </xf>
    <xf numFmtId="0" fontId="31" fillId="0" borderId="25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/>
    </xf>
    <xf numFmtId="0" fontId="19" fillId="39" borderId="29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9" borderId="29" xfId="0" applyNumberFormat="1" applyFont="1" applyFill="1" applyBorder="1" applyAlignment="1">
      <alignment horizontal="center" vertical="center"/>
    </xf>
    <xf numFmtId="0" fontId="1" fillId="39" borderId="38" xfId="0" applyNumberFormat="1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1" fillId="39" borderId="24" xfId="0" applyNumberFormat="1" applyFont="1" applyFill="1" applyBorder="1" applyAlignment="1">
      <alignment vertical="center"/>
    </xf>
    <xf numFmtId="0" fontId="1" fillId="40" borderId="24" xfId="0" applyNumberFormat="1" applyFont="1" applyFill="1" applyBorder="1" applyAlignment="1">
      <alignment horizontal="center" vertical="center" wrapText="1"/>
    </xf>
    <xf numFmtId="0" fontId="1" fillId="40" borderId="24" xfId="0" applyNumberFormat="1" applyFont="1" applyFill="1" applyBorder="1" applyAlignment="1">
      <alignment horizontal="center" vertical="center"/>
    </xf>
    <xf numFmtId="0" fontId="1" fillId="39" borderId="34" xfId="0" applyNumberFormat="1" applyFont="1" applyFill="1" applyBorder="1" applyAlignment="1">
      <alignment horizontal="center" vertical="center"/>
    </xf>
    <xf numFmtId="0" fontId="1" fillId="42" borderId="24" xfId="0" applyNumberFormat="1" applyFont="1" applyFill="1" applyBorder="1" applyAlignment="1">
      <alignment horizontal="center" vertical="center"/>
    </xf>
    <xf numFmtId="0" fontId="1" fillId="42" borderId="25" xfId="0" applyNumberFormat="1" applyFont="1" applyFill="1" applyBorder="1" applyAlignment="1">
      <alignment horizontal="center" vertical="center"/>
    </xf>
    <xf numFmtId="0" fontId="31" fillId="39" borderId="24" xfId="0" applyNumberFormat="1" applyFont="1" applyFill="1" applyBorder="1" applyAlignment="1">
      <alignment horizontal="center" vertical="center"/>
    </xf>
    <xf numFmtId="0" fontId="31" fillId="40" borderId="24" xfId="0" applyNumberFormat="1" applyFont="1" applyFill="1" applyBorder="1" applyAlignment="1">
      <alignment horizontal="center" vertical="center"/>
    </xf>
    <xf numFmtId="0" fontId="31" fillId="41" borderId="24" xfId="0" applyNumberFormat="1" applyFont="1" applyFill="1" applyBorder="1" applyAlignment="1">
      <alignment horizontal="center" vertical="center"/>
    </xf>
    <xf numFmtId="0" fontId="31" fillId="19" borderId="24" xfId="0" applyNumberFormat="1" applyFont="1" applyFill="1" applyBorder="1" applyAlignment="1">
      <alignment horizontal="center" vertical="center"/>
    </xf>
    <xf numFmtId="0" fontId="31" fillId="42" borderId="24" xfId="0" applyNumberFormat="1" applyFont="1" applyFill="1" applyBorder="1" applyAlignment="1">
      <alignment horizontal="center" vertical="center"/>
    </xf>
    <xf numFmtId="0" fontId="31" fillId="42" borderId="25" xfId="0" applyNumberFormat="1" applyFont="1" applyFill="1" applyBorder="1" applyAlignment="1">
      <alignment horizontal="center" vertical="center"/>
    </xf>
    <xf numFmtId="0" fontId="19" fillId="40" borderId="45" xfId="0" applyNumberFormat="1" applyFont="1" applyFill="1" applyBorder="1" applyAlignment="1">
      <alignment horizontal="center" vertical="center"/>
    </xf>
    <xf numFmtId="0" fontId="19" fillId="41" borderId="45" xfId="0" applyNumberFormat="1" applyFont="1" applyFill="1" applyBorder="1" applyAlignment="1">
      <alignment horizontal="center" vertical="center"/>
    </xf>
    <xf numFmtId="0" fontId="19" fillId="19" borderId="45" xfId="0" applyNumberFormat="1" applyFont="1" applyFill="1" applyBorder="1" applyAlignment="1">
      <alignment horizontal="center" vertical="center"/>
    </xf>
    <xf numFmtId="0" fontId="19" fillId="42" borderId="45" xfId="0" applyNumberFormat="1" applyFont="1" applyFill="1" applyBorder="1" applyAlignment="1">
      <alignment horizontal="center" vertical="center"/>
    </xf>
    <xf numFmtId="0" fontId="1" fillId="39" borderId="46" xfId="0" applyNumberFormat="1" applyFont="1" applyFill="1" applyBorder="1" applyAlignment="1">
      <alignment horizontal="center" vertical="center"/>
    </xf>
    <xf numFmtId="0" fontId="1" fillId="39" borderId="27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right" vertical="center"/>
    </xf>
    <xf numFmtId="0" fontId="19" fillId="39" borderId="24" xfId="0" applyNumberFormat="1" applyFont="1" applyFill="1" applyBorder="1" applyAlignment="1">
      <alignment horizontal="center" vertical="center"/>
    </xf>
    <xf numFmtId="0" fontId="19" fillId="39" borderId="24" xfId="0" applyNumberFormat="1" applyFont="1" applyFill="1" applyBorder="1" applyAlignment="1">
      <alignment vertical="center"/>
    </xf>
    <xf numFmtId="0" fontId="19" fillId="40" borderId="24" xfId="0" applyNumberFormat="1" applyFont="1" applyFill="1" applyBorder="1" applyAlignment="1">
      <alignment horizontal="center" vertical="center"/>
    </xf>
    <xf numFmtId="0" fontId="19" fillId="43" borderId="24" xfId="0" applyNumberFormat="1" applyFont="1" applyFill="1" applyBorder="1" applyAlignment="1">
      <alignment vertical="center"/>
    </xf>
    <xf numFmtId="0" fontId="19" fillId="41" borderId="24" xfId="0" applyNumberFormat="1" applyFont="1" applyFill="1" applyBorder="1" applyAlignment="1">
      <alignment horizontal="center" vertical="center"/>
    </xf>
    <xf numFmtId="0" fontId="19" fillId="41" borderId="24" xfId="0" applyNumberFormat="1" applyFont="1" applyFill="1" applyBorder="1" applyAlignment="1">
      <alignment vertical="center"/>
    </xf>
    <xf numFmtId="0" fontId="19" fillId="19" borderId="24" xfId="0" applyNumberFormat="1" applyFont="1" applyFill="1" applyBorder="1" applyAlignment="1">
      <alignment horizontal="center" vertical="center"/>
    </xf>
    <xf numFmtId="0" fontId="19" fillId="19" borderId="24" xfId="0" applyNumberFormat="1" applyFont="1" applyFill="1" applyBorder="1" applyAlignment="1">
      <alignment vertical="center"/>
    </xf>
    <xf numFmtId="0" fontId="19" fillId="42" borderId="24" xfId="0" applyNumberFormat="1" applyFont="1" applyFill="1" applyBorder="1" applyAlignment="1">
      <alignment horizontal="center" vertical="center"/>
    </xf>
    <xf numFmtId="0" fontId="19" fillId="16" borderId="24" xfId="0" applyNumberFormat="1" applyFont="1" applyFill="1" applyBorder="1" applyAlignment="1">
      <alignment vertical="center"/>
    </xf>
    <xf numFmtId="0" fontId="19" fillId="16" borderId="25" xfId="0" applyNumberFormat="1" applyFont="1" applyFill="1" applyBorder="1" applyAlignment="1">
      <alignment vertical="center"/>
    </xf>
    <xf numFmtId="0" fontId="19" fillId="39" borderId="27" xfId="0" applyNumberFormat="1" applyFont="1" applyFill="1" applyBorder="1" applyAlignment="1">
      <alignment horizontal="center" vertical="center"/>
    </xf>
    <xf numFmtId="0" fontId="19" fillId="40" borderId="24" xfId="0" applyNumberFormat="1" applyFont="1" applyFill="1" applyBorder="1" applyAlignment="1">
      <alignment horizontal="center" vertical="center" wrapText="1"/>
    </xf>
    <xf numFmtId="0" fontId="19" fillId="41" borderId="24" xfId="0" applyNumberFormat="1" applyFont="1" applyFill="1" applyBorder="1" applyAlignment="1">
      <alignment horizontal="center" vertical="center" wrapText="1"/>
    </xf>
    <xf numFmtId="0" fontId="19" fillId="19" borderId="24" xfId="0" applyNumberFormat="1" applyFont="1" applyFill="1" applyBorder="1" applyAlignment="1">
      <alignment horizontal="center" vertical="center" wrapText="1"/>
    </xf>
    <xf numFmtId="0" fontId="19" fillId="42" borderId="24" xfId="0" applyNumberFormat="1" applyFont="1" applyFill="1" applyBorder="1" applyAlignment="1">
      <alignment horizontal="center" vertical="center" wrapText="1"/>
    </xf>
    <xf numFmtId="0" fontId="19" fillId="42" borderId="25" xfId="0" applyNumberFormat="1" applyFont="1" applyFill="1" applyBorder="1" applyAlignment="1">
      <alignment horizontal="center" vertical="center" wrapText="1"/>
    </xf>
    <xf numFmtId="0" fontId="1" fillId="39" borderId="27" xfId="0" applyNumberFormat="1" applyFont="1" applyFill="1" applyBorder="1" applyAlignment="1">
      <alignment vertical="center"/>
    </xf>
    <xf numFmtId="0" fontId="1" fillId="39" borderId="24" xfId="0" applyNumberFormat="1" applyFont="1" applyFill="1" applyBorder="1" applyAlignment="1">
      <alignment horizontal="center" vertical="center"/>
    </xf>
    <xf numFmtId="0" fontId="38" fillId="35" borderId="27" xfId="0" applyFont="1" applyFill="1" applyBorder="1" applyAlignment="1">
      <alignment horizontal="center" vertical="center"/>
    </xf>
    <xf numFmtId="0" fontId="31" fillId="0" borderId="17" xfId="0" applyFont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Border="1" applyAlignment="1">
      <alignment horizontal="right" vertical="center"/>
    </xf>
    <xf numFmtId="0" fontId="1" fillId="0" borderId="4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0" fontId="32" fillId="39" borderId="24" xfId="0" applyNumberFormat="1" applyFont="1" applyFill="1" applyBorder="1" applyAlignment="1">
      <alignment horizontal="center" vertical="center"/>
    </xf>
    <xf numFmtId="0" fontId="32" fillId="40" borderId="24" xfId="0" applyNumberFormat="1" applyFont="1" applyFill="1" applyBorder="1" applyAlignment="1">
      <alignment horizontal="center" vertical="center"/>
    </xf>
    <xf numFmtId="0" fontId="32" fillId="41" borderId="24" xfId="0" applyNumberFormat="1" applyFont="1" applyFill="1" applyBorder="1" applyAlignment="1">
      <alignment horizontal="center" vertical="center"/>
    </xf>
    <xf numFmtId="0" fontId="32" fillId="19" borderId="24" xfId="0" applyNumberFormat="1" applyFont="1" applyFill="1" applyBorder="1" applyAlignment="1">
      <alignment horizontal="center" vertical="center"/>
    </xf>
    <xf numFmtId="0" fontId="32" fillId="42" borderId="24" xfId="0" applyNumberFormat="1" applyFont="1" applyFill="1" applyBorder="1" applyAlignment="1">
      <alignment horizontal="center" vertical="center"/>
    </xf>
    <xf numFmtId="0" fontId="32" fillId="42" borderId="25" xfId="0" applyNumberFormat="1" applyFont="1" applyFill="1" applyBorder="1" applyAlignment="1">
      <alignment horizontal="center" vertical="center"/>
    </xf>
    <xf numFmtId="0" fontId="2" fillId="44" borderId="0" xfId="0" applyNumberFormat="1" applyFont="1" applyFill="1" applyBorder="1" applyAlignment="1">
      <alignment horizontal="left" vertical="center"/>
    </xf>
    <xf numFmtId="0" fontId="2" fillId="44" borderId="0" xfId="0" applyNumberFormat="1" applyFont="1" applyFill="1" applyAlignment="1">
      <alignment horizontal="left" vertical="center"/>
    </xf>
    <xf numFmtId="0" fontId="19" fillId="37" borderId="25" xfId="0" applyFont="1" applyFill="1" applyBorder="1" applyAlignment="1">
      <alignment horizontal="center" vertical="center"/>
    </xf>
    <xf numFmtId="0" fontId="19" fillId="0" borderId="48" xfId="0" applyNumberFormat="1" applyFont="1" applyFill="1" applyBorder="1" applyAlignment="1">
      <alignment horizontal="center" vertical="center"/>
    </xf>
    <xf numFmtId="0" fontId="19" fillId="0" borderId="49" xfId="0" applyNumberFormat="1" applyFont="1" applyFill="1" applyBorder="1" applyAlignment="1">
      <alignment horizontal="center" vertical="center"/>
    </xf>
    <xf numFmtId="0" fontId="19" fillId="0" borderId="50" xfId="0" applyNumberFormat="1" applyFont="1" applyFill="1" applyBorder="1" applyAlignment="1">
      <alignment horizontal="center" vertical="center"/>
    </xf>
    <xf numFmtId="0" fontId="19" fillId="0" borderId="51" xfId="0" applyNumberFormat="1" applyFont="1" applyFill="1" applyBorder="1" applyAlignment="1">
      <alignment horizontal="center" vertical="center" wrapText="1"/>
    </xf>
    <xf numFmtId="0" fontId="19" fillId="0" borderId="14" xfId="0" applyNumberFormat="1" applyFont="1" applyFill="1" applyBorder="1" applyAlignment="1">
      <alignment horizontal="center" vertical="center" wrapText="1"/>
    </xf>
    <xf numFmtId="0" fontId="1" fillId="0" borderId="52" xfId="0" applyNumberFormat="1" applyFont="1" applyFill="1" applyBorder="1" applyAlignment="1">
      <alignment horizontal="center" vertical="center"/>
    </xf>
    <xf numFmtId="0" fontId="1" fillId="0" borderId="53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43" borderId="24" xfId="0" applyNumberFormat="1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1" fillId="37" borderId="25" xfId="0" applyFont="1" applyFill="1" applyBorder="1" applyAlignment="1">
      <alignment horizontal="center" vertical="center"/>
    </xf>
    <xf numFmtId="0" fontId="31" fillId="37" borderId="25" xfId="0" applyFont="1" applyFill="1" applyBorder="1" applyAlignment="1">
      <alignment horizontal="center" vertical="center"/>
    </xf>
    <xf numFmtId="0" fontId="32" fillId="0" borderId="2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colors>
    <mruColors>
      <color rgb="00FFE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费用对比!$F$1</c:f>
          <c:strCache>
            <c:ptCount val="1"/>
            <c:pt idx="0">
              <c:v>实验室报价 vs 预估</c:v>
            </c:pt>
          </c:strCache>
        </c:strRef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费用对比!$U$1</c:f>
              <c:strCache>
                <c:ptCount val="1"/>
                <c:pt idx="0">
                  <c:v>苏勃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FFFFFF"/>
                      </a:solidFill>
                      <a:latin typeface="微软雅黑"/>
                      <a:ea typeface="微软雅黑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FFFFFF"/>
                      </a:solidFill>
                      <a:latin typeface="微软雅黑"/>
                      <a:ea typeface="微软雅黑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numFmt formatCode="0.0&quot;万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111827"/>
                    </a:solidFill>
                    <a:latin typeface="微软雅黑"/>
                    <a:ea typeface="微软雅黑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费用对比!$U$2:$U$15</c:f>
              <c:numCache>
                <c:formatCode>General</c:formatCode>
                <c:ptCount val="14"/>
                <c:pt idx="0">
                  <c:v>61.0535</c:v>
                </c:pt>
                <c:pt idx="1">
                  <c:v>63.5228</c:v>
                </c:pt>
                <c:pt idx="2">
                  <c:v>67.6454</c:v>
                </c:pt>
                <c:pt idx="3">
                  <c:v>90.0342</c:v>
                </c:pt>
                <c:pt idx="4">
                  <c:v>0</c:v>
                </c:pt>
                <c:pt idx="5">
                  <c:v>67.2028</c:v>
                </c:pt>
                <c:pt idx="6">
                  <c:v>68.6135</c:v>
                </c:pt>
                <c:pt idx="7">
                  <c:v>72.4054</c:v>
                </c:pt>
                <c:pt idx="8">
                  <c:v>95.1642</c:v>
                </c:pt>
                <c:pt idx="9">
                  <c:v>0</c:v>
                </c:pt>
                <c:pt idx="10">
                  <c:v>129.667</c:v>
                </c:pt>
                <c:pt idx="11">
                  <c:v>130.7256</c:v>
                </c:pt>
                <c:pt idx="12">
                  <c:v>140.0508</c:v>
                </c:pt>
                <c:pt idx="13">
                  <c:v>185.1984</c:v>
                </c:pt>
              </c:numCache>
            </c:numRef>
          </c:val>
        </c:ser>
        <c:ser>
          <c:idx val="1"/>
          <c:order val="1"/>
          <c:tx>
            <c:strRef>
              <c:f>"预估费用"</c:f>
              <c:strCache>
                <c:ptCount val="1"/>
                <c:pt idx="0">
                  <c:v>预估费用</c:v>
                </c:pt>
              </c:strCache>
            </c:strRef>
          </c:tx>
          <c:spPr>
            <a:solidFill>
              <a:srgbClr val="F47C2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"SGS"</c:f>
              <c:strCache>
                <c:ptCount val="1"/>
                <c:pt idx="0">
                  <c:v>SGS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ser>
          <c:idx val="3"/>
          <c:order val="3"/>
          <c:tx>
            <c:strRef>
              <c:f>"华测"</c:f>
              <c:strCache>
                <c:ptCount val="1"/>
                <c:pt idx="0">
                  <c:v>华测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6350">
            <a:solidFill>
              <a:srgbClr val="8B95A5"/>
            </a:solidFill>
            <a:prstDash val="solid"/>
            <a:round/>
          </a:ln>
          <a:effectLst/>
        </c:spPr>
        <c:txPr>
          <a:bodyPr rot="0" spcFirstLastPara="0" vertOverflow="clip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111827"/>
                </a:solidFill>
                <a:latin typeface="微软雅黑"/>
                <a:ea typeface="微软雅黑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200"/>
          <c:min val="0"/>
        </c:scaling>
        <c:delete val="0"/>
        <c:axPos val="l"/>
        <c:majorGridlines>
          <c:spPr>
            <a:ln w="6350">
              <a:solidFill>
                <a:srgbClr val="D8DEE8"/>
              </a:solidFill>
              <a:prstDash val="solid"/>
              <a:round/>
            </a:ln>
            <a:effectLst/>
          </c:spPr>
        </c:majorGridlines>
        <c:numFmt formatCode="0&quot;万&quot;" sourceLinked="0"/>
        <c:majorTickMark val="out"/>
        <c:minorTickMark val="none"/>
        <c:tickLblPos val="nextTo"/>
        <c:spPr>
          <a:noFill/>
          <a:ln w="6350">
            <a:solidFill>
              <a:srgbClr val="8B95A5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11827"/>
                </a:solidFill>
                <a:latin typeface="微软雅黑"/>
                <a:ea typeface="微软雅黑"/>
                <a:cs typeface="+mn-cs"/>
              </a:defRPr>
            </a:pPr>
          </a:p>
        </c:txPr>
        <c:crossAx val="48650112"/>
        <c:crosses val="autoZero"/>
        <c:crossBetween val="between"/>
        <c:majorUnit val="50"/>
      </c:valAx>
      <c:spPr>
        <a:solidFill>
          <a:srgbClr val="FFFFFF"/>
        </a:solidFill>
        <a:ln>
          <a:noFill/>
        </a:ln>
        <a:effectLst/>
      </c:spPr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2021b0e7-ceb0-4c94-83e4-cad682d40e13}"/>
      </c:ext>
    </c:extLst>
  </c:chart>
  <c:spPr>
    <a:solidFill>
      <a:srgbClr val="FFFFFF"/>
    </a:solidFill>
    <a:ln w="9525">
      <a:solidFill>
        <a:srgbClr val="9EADBA"/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18</xdr:col>
      <xdr:colOff>0</xdr:colOff>
      <xdr:row>6</xdr:row>
      <xdr:rowOff>330200</xdr:rowOff>
    </xdr:to>
    <xdr:graphicFrame>
      <xdr:nvGraphicFramePr>
        <xdr:cNvPr id="2" name="整包报价 vs 预估费用"/>
        <xdr:cNvGraphicFramePr/>
      </xdr:nvGraphicFramePr>
      <xdr:xfrm>
        <a:off x="10241280" y="0"/>
        <a:ext cx="953008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VQuoteCompare" displayName="DVQuoteCompare" ref="A10:O2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59"/>
  <sheetViews>
    <sheetView workbookViewId="0">
      <selection activeCell="B27" sqref="B27"/>
    </sheetView>
  </sheetViews>
  <sheetFormatPr defaultColWidth="9.64285714285714" defaultRowHeight="15.2"/>
  <cols>
    <col min="1" max="1" width="17" style="63" customWidth="1"/>
    <col min="2" max="2" width="11" style="63" customWidth="1"/>
    <col min="3" max="3" width="12" style="63" customWidth="1"/>
    <col min="4" max="5" width="11.4553571428571" style="4" customWidth="1"/>
    <col min="6" max="6" width="11.1607142857143" style="63" customWidth="1"/>
    <col min="7" max="7" width="10" style="63" customWidth="1"/>
    <col min="8" max="8" width="12.2053571428571" style="63" customWidth="1"/>
    <col min="9" max="9" width="13.0892857142857" style="4" customWidth="1"/>
    <col min="10" max="10" width="13" style="63" customWidth="1"/>
    <col min="11" max="11" width="11.9017857142857" style="63" customWidth="1"/>
    <col min="12" max="12" width="12.9464285714286" style="63" customWidth="1"/>
    <col min="13" max="13" width="12.7946428571429" style="63" customWidth="1"/>
    <col min="14" max="14" width="12.2053571428571" style="63" customWidth="1"/>
    <col min="15" max="15" width="12.7946428571429" style="63" customWidth="1"/>
    <col min="16" max="16" width="12.5" style="63" customWidth="1"/>
    <col min="17" max="17" width="10.7142857142857" style="63" customWidth="1"/>
    <col min="18" max="18" width="10.2589285714286" style="63" customWidth="1"/>
    <col min="19" max="19" width="10.4196428571429" style="63" customWidth="1"/>
    <col min="20" max="20" width="9.22321428571429" style="63" customWidth="1"/>
    <col min="21" max="21" width="12" style="63" customWidth="1"/>
    <col min="22" max="22" width="26.7857142857143" style="4" customWidth="1"/>
    <col min="23" max="23" width="3" style="63" customWidth="1"/>
    <col min="24" max="24" width="17" style="63" customWidth="1"/>
    <col min="25" max="25" width="11" style="63" customWidth="1"/>
    <col min="26" max="26" width="12" style="63" customWidth="1"/>
    <col min="27" max="27" width="10.7142857142857" style="4" customWidth="1"/>
    <col min="28" max="28" width="12.6517857142857" style="4" customWidth="1"/>
    <col min="29" max="29" width="10.2678571428571" style="63" customWidth="1"/>
    <col min="30" max="30" width="10" style="63" customWidth="1"/>
    <col min="31" max="31" width="12.1964285714286" style="63" customWidth="1"/>
    <col min="32" max="32" width="13.0892857142857" style="63" customWidth="1"/>
    <col min="33" max="33" width="13" style="63" customWidth="1"/>
    <col min="34" max="34" width="11.9017857142857" style="63" customWidth="1"/>
    <col min="35" max="35" width="12.9464285714286" style="63" customWidth="1"/>
    <col min="36" max="36" width="12.7946428571429" style="63" customWidth="1"/>
    <col min="37" max="37" width="12.2053571428571" style="63" customWidth="1"/>
    <col min="38" max="38" width="12.7946428571429" style="63" customWidth="1"/>
    <col min="39" max="39" width="12.5" style="63" customWidth="1"/>
    <col min="40" max="40" width="10.7142857142857" style="63" customWidth="1"/>
    <col min="41" max="41" width="10.2589285714286" style="63" customWidth="1"/>
    <col min="42" max="42" width="7.58928571428571" style="63" customWidth="1"/>
    <col min="43" max="44" width="12" style="63" customWidth="1"/>
    <col min="45" max="45" width="25.8928571428571" style="4" customWidth="1"/>
    <col min="46" max="16376" width="9.64285714285714" style="63" customWidth="1"/>
    <col min="16377" max="16384" width="9.64285714285714" style="63"/>
  </cols>
  <sheetData>
    <row r="1" s="63" customFormat="1" ht="22" spans="1:45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9"/>
      <c r="X1" s="188" t="s">
        <v>1</v>
      </c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</row>
    <row r="2" s="63" customFormat="1" spans="1:45">
      <c r="A2" s="190" t="s">
        <v>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89"/>
      <c r="X2" s="190" t="s">
        <v>2</v>
      </c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</row>
    <row r="3" s="63" customFormat="1" spans="1:45">
      <c r="D3" s="4"/>
      <c r="E3" s="4"/>
      <c r="V3" s="4"/>
      <c r="W3" s="189"/>
      <c r="X3" s="7"/>
      <c r="Y3" s="7"/>
      <c r="Z3" s="7"/>
      <c r="AA3" s="107"/>
      <c r="AB3" s="10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107"/>
    </row>
    <row r="4" s="184" customFormat="1" ht="17.6" spans="1:45">
      <c r="A4" s="191" t="s">
        <v>3</v>
      </c>
      <c r="B4" s="191" t="s">
        <v>4</v>
      </c>
      <c r="C4" s="191"/>
      <c r="D4" s="192" t="s">
        <v>5</v>
      </c>
      <c r="E4" s="192"/>
      <c r="F4" s="193" t="s">
        <v>6</v>
      </c>
      <c r="G4" s="193"/>
      <c r="H4" s="193"/>
      <c r="I4" s="193" t="s">
        <v>7</v>
      </c>
      <c r="J4" s="193"/>
      <c r="K4" s="193"/>
      <c r="L4" s="193"/>
      <c r="M4" s="193" t="s">
        <v>8</v>
      </c>
      <c r="N4" s="193"/>
      <c r="O4" s="193"/>
      <c r="P4" s="193"/>
      <c r="Q4" s="193"/>
      <c r="R4" s="193" t="s">
        <v>9</v>
      </c>
      <c r="S4" s="193"/>
      <c r="T4" s="193"/>
      <c r="U4" s="193"/>
      <c r="V4" s="193"/>
      <c r="W4" s="189"/>
      <c r="X4" s="191" t="s">
        <v>3</v>
      </c>
      <c r="Y4" s="191" t="s">
        <v>4</v>
      </c>
      <c r="Z4" s="191"/>
      <c r="AA4" s="192" t="s">
        <v>5</v>
      </c>
      <c r="AB4" s="192"/>
      <c r="AC4" s="193" t="s">
        <v>6</v>
      </c>
      <c r="AD4" s="193"/>
      <c r="AE4" s="193"/>
      <c r="AF4" s="193" t="s">
        <v>7</v>
      </c>
      <c r="AG4" s="193"/>
      <c r="AH4" s="193"/>
      <c r="AI4" s="193"/>
      <c r="AJ4" s="193" t="s">
        <v>8</v>
      </c>
      <c r="AK4" s="193"/>
      <c r="AL4" s="193"/>
      <c r="AM4" s="193"/>
      <c r="AN4" s="193"/>
      <c r="AO4" s="193" t="s">
        <v>9</v>
      </c>
      <c r="AP4" s="193"/>
      <c r="AQ4" s="193"/>
      <c r="AR4" s="193"/>
      <c r="AS4" s="192"/>
    </row>
    <row r="5" s="4" customFormat="1" ht="31" spans="1:45">
      <c r="A5" s="194" t="s">
        <v>3</v>
      </c>
      <c r="B5" s="194" t="s">
        <v>10</v>
      </c>
      <c r="C5" s="194" t="s">
        <v>11</v>
      </c>
      <c r="D5" s="195" t="s">
        <v>12</v>
      </c>
      <c r="E5" s="195" t="s">
        <v>13</v>
      </c>
      <c r="F5" s="194" t="s">
        <v>14</v>
      </c>
      <c r="G5" s="194" t="s">
        <v>15</v>
      </c>
      <c r="H5" s="194" t="s">
        <v>16</v>
      </c>
      <c r="I5" s="194" t="s">
        <v>17</v>
      </c>
      <c r="J5" s="194" t="s">
        <v>18</v>
      </c>
      <c r="K5" s="194" t="s">
        <v>19</v>
      </c>
      <c r="L5" s="194" t="s">
        <v>20</v>
      </c>
      <c r="M5" s="196" t="s">
        <v>21</v>
      </c>
      <c r="N5" s="196" t="s">
        <v>22</v>
      </c>
      <c r="O5" s="196" t="s">
        <v>23</v>
      </c>
      <c r="P5" s="196" t="s">
        <v>24</v>
      </c>
      <c r="Q5" s="196" t="s">
        <v>25</v>
      </c>
      <c r="R5" s="197" t="s">
        <v>9</v>
      </c>
      <c r="S5" s="197"/>
      <c r="T5" s="197"/>
      <c r="U5" s="197"/>
      <c r="V5" s="198"/>
      <c r="W5" s="189"/>
      <c r="X5" s="199" t="s">
        <v>3</v>
      </c>
      <c r="Y5" s="199" t="s">
        <v>10</v>
      </c>
      <c r="Z5" s="199" t="s">
        <v>11</v>
      </c>
      <c r="AA5" s="200" t="s">
        <v>12</v>
      </c>
      <c r="AB5" s="200" t="s">
        <v>13</v>
      </c>
      <c r="AC5" s="199" t="s">
        <v>14</v>
      </c>
      <c r="AD5" s="199" t="s">
        <v>15</v>
      </c>
      <c r="AE5" s="199" t="s">
        <v>16</v>
      </c>
      <c r="AF5" s="199" t="s">
        <v>17</v>
      </c>
      <c r="AG5" s="199" t="s">
        <v>18</v>
      </c>
      <c r="AH5" s="199" t="s">
        <v>19</v>
      </c>
      <c r="AI5" s="199" t="s">
        <v>20</v>
      </c>
      <c r="AJ5" s="201" t="s">
        <v>21</v>
      </c>
      <c r="AK5" s="201" t="s">
        <v>22</v>
      </c>
      <c r="AL5" s="201" t="s">
        <v>23</v>
      </c>
      <c r="AM5" s="201" t="s">
        <v>24</v>
      </c>
      <c r="AN5" s="201" t="s">
        <v>25</v>
      </c>
      <c r="AO5" s="202" t="s">
        <v>9</v>
      </c>
      <c r="AP5" s="202"/>
      <c r="AQ5" s="202"/>
      <c r="AR5" s="202"/>
      <c r="AS5" s="202"/>
    </row>
    <row r="6" s="185" customFormat="1" ht="16" spans="1:45">
      <c r="A6" s="203" t="s">
        <v>26</v>
      </c>
      <c r="B6" s="204">
        <f t="shared" ref="B6:Q6" si="0">MAX(F26:F47)</f>
        <v>14</v>
      </c>
      <c r="C6" s="204">
        <f t="shared" si="0"/>
        <v>0</v>
      </c>
      <c r="D6" s="204">
        <f t="shared" si="0"/>
        <v>6</v>
      </c>
      <c r="E6" s="204">
        <f t="shared" si="0"/>
        <v>3</v>
      </c>
      <c r="F6" s="204">
        <f t="shared" si="0"/>
        <v>14</v>
      </c>
      <c r="G6" s="204">
        <f t="shared" si="0"/>
        <v>14</v>
      </c>
      <c r="H6" s="204">
        <f t="shared" si="0"/>
        <v>14</v>
      </c>
      <c r="I6" s="204">
        <f t="shared" si="0"/>
        <v>14</v>
      </c>
      <c r="J6" s="204">
        <f t="shared" si="0"/>
        <v>6</v>
      </c>
      <c r="K6" s="204">
        <f t="shared" si="0"/>
        <v>14</v>
      </c>
      <c r="L6" s="204">
        <f t="shared" si="0"/>
        <v>6</v>
      </c>
      <c r="M6" s="205">
        <f t="shared" si="0"/>
        <v>12</v>
      </c>
      <c r="N6" s="205">
        <f t="shared" si="0"/>
        <v>36</v>
      </c>
      <c r="O6" s="205">
        <f t="shared" si="0"/>
        <v>36</v>
      </c>
      <c r="P6" s="205">
        <f t="shared" si="0"/>
        <v>36</v>
      </c>
      <c r="Q6" s="206">
        <f t="shared" si="0"/>
        <v>36</v>
      </c>
      <c r="R6" s="207"/>
      <c r="S6" s="207"/>
      <c r="T6" s="207"/>
      <c r="U6" s="207"/>
      <c r="V6" s="208"/>
      <c r="W6" s="189"/>
      <c r="X6" s="209" t="s">
        <v>26</v>
      </c>
      <c r="Y6" s="203">
        <f t="shared" ref="Y6:AN6" si="1">MAX(AC26:AC47)</f>
        <v>14</v>
      </c>
      <c r="Z6" s="203">
        <f t="shared" si="1"/>
        <v>0</v>
      </c>
      <c r="AA6" s="203">
        <f t="shared" si="1"/>
        <v>6</v>
      </c>
      <c r="AB6" s="203">
        <f t="shared" si="1"/>
        <v>3</v>
      </c>
      <c r="AC6" s="203">
        <f t="shared" si="1"/>
        <v>14</v>
      </c>
      <c r="AD6" s="203">
        <f t="shared" si="1"/>
        <v>14</v>
      </c>
      <c r="AE6" s="203">
        <f t="shared" si="1"/>
        <v>14</v>
      </c>
      <c r="AF6" s="203">
        <f t="shared" si="1"/>
        <v>14</v>
      </c>
      <c r="AG6" s="203">
        <f t="shared" si="1"/>
        <v>6</v>
      </c>
      <c r="AH6" s="203">
        <f t="shared" si="1"/>
        <v>14</v>
      </c>
      <c r="AI6" s="203">
        <f t="shared" si="1"/>
        <v>6</v>
      </c>
      <c r="AJ6" s="210">
        <f t="shared" si="1"/>
        <v>12</v>
      </c>
      <c r="AK6" s="210">
        <f t="shared" si="1"/>
        <v>36</v>
      </c>
      <c r="AL6" s="210">
        <f t="shared" si="1"/>
        <v>36</v>
      </c>
      <c r="AM6" s="210">
        <f t="shared" si="1"/>
        <v>36</v>
      </c>
      <c r="AN6" s="210">
        <f t="shared" si="1"/>
        <v>36</v>
      </c>
      <c r="AO6" s="211"/>
      <c r="AP6" s="203"/>
      <c r="AQ6" s="203"/>
      <c r="AR6" s="203"/>
      <c r="AS6" s="203"/>
    </row>
    <row r="7" s="185" customFormat="1" ht="30" customHeight="1" spans="1:45">
      <c r="A7" s="203" t="s">
        <v>27</v>
      </c>
      <c r="B7" s="204">
        <f t="shared" ref="B7:Q7" si="2">MAX(F51:F57)</f>
        <v>12</v>
      </c>
      <c r="C7" s="204">
        <f t="shared" si="2"/>
        <v>0</v>
      </c>
      <c r="D7" s="204">
        <f t="shared" si="2"/>
        <v>0</v>
      </c>
      <c r="E7" s="204">
        <f t="shared" si="2"/>
        <v>0</v>
      </c>
      <c r="F7" s="204">
        <f t="shared" si="2"/>
        <v>12</v>
      </c>
      <c r="G7" s="204">
        <f t="shared" si="2"/>
        <v>12</v>
      </c>
      <c r="H7" s="204">
        <f t="shared" si="2"/>
        <v>12</v>
      </c>
      <c r="I7" s="204">
        <f t="shared" si="2"/>
        <v>24</v>
      </c>
      <c r="J7" s="204">
        <f t="shared" si="2"/>
        <v>0</v>
      </c>
      <c r="K7" s="204">
        <f t="shared" si="2"/>
        <v>24</v>
      </c>
      <c r="L7" s="204">
        <f t="shared" si="2"/>
        <v>0</v>
      </c>
      <c r="M7" s="205">
        <f t="shared" si="2"/>
        <v>0</v>
      </c>
      <c r="N7" s="205">
        <f t="shared" si="2"/>
        <v>0</v>
      </c>
      <c r="O7" s="205">
        <f t="shared" si="2"/>
        <v>0</v>
      </c>
      <c r="P7" s="205">
        <f t="shared" si="2"/>
        <v>0</v>
      </c>
      <c r="Q7" s="206">
        <f t="shared" si="2"/>
        <v>0</v>
      </c>
      <c r="R7" s="207" t="s">
        <v>28</v>
      </c>
      <c r="S7" s="207"/>
      <c r="T7" s="207"/>
      <c r="U7" s="207"/>
      <c r="V7" s="208"/>
      <c r="W7" s="189"/>
      <c r="X7" s="209" t="s">
        <v>27</v>
      </c>
      <c r="Y7" s="203">
        <f t="shared" ref="Y7:AN7" si="3">MAX(AC51:AC57)</f>
        <v>12</v>
      </c>
      <c r="Z7" s="203">
        <f t="shared" si="3"/>
        <v>0</v>
      </c>
      <c r="AA7" s="203">
        <f t="shared" si="3"/>
        <v>0</v>
      </c>
      <c r="AB7" s="203">
        <f t="shared" si="3"/>
        <v>0</v>
      </c>
      <c r="AC7" s="203">
        <f t="shared" si="3"/>
        <v>12</v>
      </c>
      <c r="AD7" s="203">
        <f t="shared" si="3"/>
        <v>12</v>
      </c>
      <c r="AE7" s="203">
        <f t="shared" si="3"/>
        <v>12</v>
      </c>
      <c r="AF7" s="203">
        <f t="shared" si="3"/>
        <v>24</v>
      </c>
      <c r="AG7" s="203">
        <f t="shared" si="3"/>
        <v>0</v>
      </c>
      <c r="AH7" s="203">
        <f t="shared" si="3"/>
        <v>24</v>
      </c>
      <c r="AI7" s="203">
        <f t="shared" si="3"/>
        <v>0</v>
      </c>
      <c r="AJ7" s="210">
        <f t="shared" si="3"/>
        <v>0</v>
      </c>
      <c r="AK7" s="210">
        <f t="shared" si="3"/>
        <v>0</v>
      </c>
      <c r="AL7" s="210">
        <f t="shared" si="3"/>
        <v>0</v>
      </c>
      <c r="AM7" s="210">
        <f t="shared" si="3"/>
        <v>0</v>
      </c>
      <c r="AN7" s="210">
        <f t="shared" si="3"/>
        <v>0</v>
      </c>
      <c r="AO7" s="211" t="s">
        <v>28</v>
      </c>
      <c r="AP7" s="203"/>
      <c r="AQ7" s="203"/>
      <c r="AR7" s="203"/>
      <c r="AS7" s="203"/>
    </row>
    <row r="8" s="185" customFormat="1" ht="16" spans="1:45">
      <c r="A8" s="203" t="s">
        <v>29</v>
      </c>
      <c r="B8" s="204">
        <f t="shared" ref="B8:Q8" si="4">MAX(F61:F71)</f>
        <v>6</v>
      </c>
      <c r="C8" s="204">
        <f t="shared" si="4"/>
        <v>0</v>
      </c>
      <c r="D8" s="204">
        <f t="shared" si="4"/>
        <v>6</v>
      </c>
      <c r="E8" s="204">
        <f t="shared" si="4"/>
        <v>3</v>
      </c>
      <c r="F8" s="204">
        <f t="shared" si="4"/>
        <v>6</v>
      </c>
      <c r="G8" s="204">
        <f t="shared" si="4"/>
        <v>6</v>
      </c>
      <c r="H8" s="204">
        <f t="shared" si="4"/>
        <v>6</v>
      </c>
      <c r="I8" s="204">
        <f t="shared" si="4"/>
        <v>6</v>
      </c>
      <c r="J8" s="204">
        <f t="shared" si="4"/>
        <v>6</v>
      </c>
      <c r="K8" s="204">
        <f t="shared" si="4"/>
        <v>6</v>
      </c>
      <c r="L8" s="204">
        <f t="shared" si="4"/>
        <v>6</v>
      </c>
      <c r="M8" s="205">
        <f t="shared" si="4"/>
        <v>6</v>
      </c>
      <c r="N8" s="205">
        <f t="shared" si="4"/>
        <v>18</v>
      </c>
      <c r="O8" s="205">
        <f t="shared" si="4"/>
        <v>18</v>
      </c>
      <c r="P8" s="205">
        <f t="shared" si="4"/>
        <v>18</v>
      </c>
      <c r="Q8" s="206">
        <f t="shared" si="4"/>
        <v>18</v>
      </c>
      <c r="R8" s="207"/>
      <c r="S8" s="207"/>
      <c r="T8" s="207"/>
      <c r="U8" s="207"/>
      <c r="V8" s="208"/>
      <c r="W8" s="189"/>
      <c r="X8" s="209" t="s">
        <v>29</v>
      </c>
      <c r="Y8" s="203">
        <f t="shared" ref="Y8:AN8" si="5">MAX(AC61:AC71)</f>
        <v>6</v>
      </c>
      <c r="Z8" s="203">
        <f t="shared" si="5"/>
        <v>0</v>
      </c>
      <c r="AA8" s="203">
        <f t="shared" si="5"/>
        <v>6</v>
      </c>
      <c r="AB8" s="203">
        <f t="shared" si="5"/>
        <v>3</v>
      </c>
      <c r="AC8" s="203">
        <f t="shared" si="5"/>
        <v>6</v>
      </c>
      <c r="AD8" s="203">
        <f t="shared" si="5"/>
        <v>6</v>
      </c>
      <c r="AE8" s="203">
        <f t="shared" si="5"/>
        <v>6</v>
      </c>
      <c r="AF8" s="203">
        <f t="shared" si="5"/>
        <v>6</v>
      </c>
      <c r="AG8" s="203">
        <f t="shared" si="5"/>
        <v>6</v>
      </c>
      <c r="AH8" s="203">
        <f t="shared" si="5"/>
        <v>6</v>
      </c>
      <c r="AI8" s="203">
        <f t="shared" si="5"/>
        <v>6</v>
      </c>
      <c r="AJ8" s="210">
        <f t="shared" si="5"/>
        <v>6</v>
      </c>
      <c r="AK8" s="210">
        <f t="shared" si="5"/>
        <v>18</v>
      </c>
      <c r="AL8" s="210">
        <f t="shared" si="5"/>
        <v>18</v>
      </c>
      <c r="AM8" s="210">
        <f t="shared" si="5"/>
        <v>18</v>
      </c>
      <c r="AN8" s="210">
        <f t="shared" si="5"/>
        <v>18</v>
      </c>
      <c r="AO8" s="211"/>
      <c r="AP8" s="203"/>
      <c r="AQ8" s="203"/>
      <c r="AR8" s="203"/>
      <c r="AS8" s="203"/>
    </row>
    <row r="9" s="185" customFormat="1" ht="16" spans="1:45">
      <c r="A9" s="203" t="s">
        <v>30</v>
      </c>
      <c r="B9" s="204">
        <f t="shared" ref="B9:Q9" si="6">MAX(F75:F80)</f>
        <v>6</v>
      </c>
      <c r="C9" s="204">
        <f t="shared" si="6"/>
        <v>0</v>
      </c>
      <c r="D9" s="204">
        <f t="shared" si="6"/>
        <v>0</v>
      </c>
      <c r="E9" s="204">
        <f t="shared" si="6"/>
        <v>0</v>
      </c>
      <c r="F9" s="204">
        <f t="shared" si="6"/>
        <v>6</v>
      </c>
      <c r="G9" s="204">
        <f t="shared" si="6"/>
        <v>6</v>
      </c>
      <c r="H9" s="204">
        <f t="shared" si="6"/>
        <v>6</v>
      </c>
      <c r="I9" s="204">
        <f t="shared" si="6"/>
        <v>6</v>
      </c>
      <c r="J9" s="204">
        <f t="shared" si="6"/>
        <v>0</v>
      </c>
      <c r="K9" s="204">
        <f t="shared" si="6"/>
        <v>6</v>
      </c>
      <c r="L9" s="204">
        <f t="shared" si="6"/>
        <v>0</v>
      </c>
      <c r="M9" s="205">
        <f t="shared" si="6"/>
        <v>0</v>
      </c>
      <c r="N9" s="205">
        <f t="shared" si="6"/>
        <v>0</v>
      </c>
      <c r="O9" s="205">
        <f t="shared" si="6"/>
        <v>0</v>
      </c>
      <c r="P9" s="205">
        <f t="shared" si="6"/>
        <v>0</v>
      </c>
      <c r="Q9" s="206">
        <f t="shared" si="6"/>
        <v>0</v>
      </c>
      <c r="R9" s="207"/>
      <c r="S9" s="207"/>
      <c r="T9" s="207"/>
      <c r="U9" s="207"/>
      <c r="V9" s="208"/>
      <c r="W9" s="189"/>
      <c r="X9" s="209" t="s">
        <v>30</v>
      </c>
      <c r="Y9" s="203">
        <f t="shared" ref="Y9:AN9" si="7">MAX(AC75:AC80)</f>
        <v>6</v>
      </c>
      <c r="Z9" s="203">
        <f t="shared" si="7"/>
        <v>0</v>
      </c>
      <c r="AA9" s="203">
        <f t="shared" si="7"/>
        <v>0</v>
      </c>
      <c r="AB9" s="203">
        <f t="shared" si="7"/>
        <v>0</v>
      </c>
      <c r="AC9" s="203">
        <f t="shared" si="7"/>
        <v>6</v>
      </c>
      <c r="AD9" s="203">
        <f t="shared" si="7"/>
        <v>6</v>
      </c>
      <c r="AE9" s="203">
        <f t="shared" si="7"/>
        <v>6</v>
      </c>
      <c r="AF9" s="203">
        <f t="shared" si="7"/>
        <v>6</v>
      </c>
      <c r="AG9" s="203">
        <f t="shared" si="7"/>
        <v>0</v>
      </c>
      <c r="AH9" s="203">
        <f t="shared" si="7"/>
        <v>6</v>
      </c>
      <c r="AI9" s="203">
        <f t="shared" si="7"/>
        <v>0</v>
      </c>
      <c r="AJ9" s="210">
        <f t="shared" si="7"/>
        <v>0</v>
      </c>
      <c r="AK9" s="210">
        <f t="shared" si="7"/>
        <v>0</v>
      </c>
      <c r="AL9" s="210">
        <f t="shared" si="7"/>
        <v>0</v>
      </c>
      <c r="AM9" s="210">
        <f t="shared" si="7"/>
        <v>0</v>
      </c>
      <c r="AN9" s="210">
        <f t="shared" si="7"/>
        <v>0</v>
      </c>
      <c r="AO9" s="211"/>
      <c r="AP9" s="203"/>
      <c r="AQ9" s="203"/>
      <c r="AR9" s="203"/>
      <c r="AS9" s="203"/>
    </row>
    <row r="10" s="185" customFormat="1" ht="16" spans="1:45">
      <c r="A10" s="203" t="s">
        <v>31</v>
      </c>
      <c r="B10" s="204">
        <f t="shared" ref="B10:Q10" si="8">MAX(F84:F89)</f>
        <v>6</v>
      </c>
      <c r="C10" s="204">
        <f t="shared" si="8"/>
        <v>0</v>
      </c>
      <c r="D10" s="204">
        <f t="shared" si="8"/>
        <v>0</v>
      </c>
      <c r="E10" s="204">
        <f t="shared" si="8"/>
        <v>0</v>
      </c>
      <c r="F10" s="204">
        <f t="shared" si="8"/>
        <v>6</v>
      </c>
      <c r="G10" s="204">
        <f t="shared" si="8"/>
        <v>6</v>
      </c>
      <c r="H10" s="204">
        <f t="shared" si="8"/>
        <v>6</v>
      </c>
      <c r="I10" s="204">
        <f t="shared" si="8"/>
        <v>6</v>
      </c>
      <c r="J10" s="204">
        <f t="shared" si="8"/>
        <v>0</v>
      </c>
      <c r="K10" s="204">
        <f t="shared" si="8"/>
        <v>6</v>
      </c>
      <c r="L10" s="204">
        <f t="shared" si="8"/>
        <v>0</v>
      </c>
      <c r="M10" s="205">
        <f t="shared" si="8"/>
        <v>0</v>
      </c>
      <c r="N10" s="205">
        <f t="shared" si="8"/>
        <v>0</v>
      </c>
      <c r="O10" s="205">
        <f t="shared" si="8"/>
        <v>0</v>
      </c>
      <c r="P10" s="205">
        <f t="shared" si="8"/>
        <v>0</v>
      </c>
      <c r="Q10" s="206">
        <f t="shared" si="8"/>
        <v>0</v>
      </c>
      <c r="R10" s="207"/>
      <c r="S10" s="207"/>
      <c r="T10" s="207"/>
      <c r="U10" s="207"/>
      <c r="V10" s="208"/>
      <c r="W10" s="189"/>
      <c r="X10" s="209" t="s">
        <v>31</v>
      </c>
      <c r="Y10" s="203">
        <f t="shared" ref="Y10:AN10" si="9">MAX(AC84:AC89)</f>
        <v>6</v>
      </c>
      <c r="Z10" s="203">
        <f t="shared" si="9"/>
        <v>0</v>
      </c>
      <c r="AA10" s="203">
        <f t="shared" si="9"/>
        <v>0</v>
      </c>
      <c r="AB10" s="203">
        <f t="shared" si="9"/>
        <v>0</v>
      </c>
      <c r="AC10" s="203">
        <f t="shared" si="9"/>
        <v>6</v>
      </c>
      <c r="AD10" s="203">
        <f t="shared" si="9"/>
        <v>6</v>
      </c>
      <c r="AE10" s="203">
        <f t="shared" si="9"/>
        <v>6</v>
      </c>
      <c r="AF10" s="203">
        <f t="shared" si="9"/>
        <v>6</v>
      </c>
      <c r="AG10" s="203">
        <f t="shared" si="9"/>
        <v>0</v>
      </c>
      <c r="AH10" s="203">
        <f t="shared" si="9"/>
        <v>6</v>
      </c>
      <c r="AI10" s="203">
        <f t="shared" si="9"/>
        <v>0</v>
      </c>
      <c r="AJ10" s="210">
        <f t="shared" si="9"/>
        <v>0</v>
      </c>
      <c r="AK10" s="210">
        <f t="shared" si="9"/>
        <v>0</v>
      </c>
      <c r="AL10" s="210">
        <f t="shared" si="9"/>
        <v>0</v>
      </c>
      <c r="AM10" s="210">
        <f t="shared" si="9"/>
        <v>0</v>
      </c>
      <c r="AN10" s="210">
        <f t="shared" si="9"/>
        <v>0</v>
      </c>
      <c r="AO10" s="211"/>
      <c r="AP10" s="203"/>
      <c r="AQ10" s="203"/>
      <c r="AR10" s="203"/>
      <c r="AS10" s="203"/>
    </row>
    <row r="11" s="185" customFormat="1" ht="16" spans="1:45">
      <c r="A11" s="203" t="s">
        <v>32</v>
      </c>
      <c r="B11" s="204">
        <f t="shared" ref="B11:Q11" si="10">MAX(F93:F97)</f>
        <v>0</v>
      </c>
      <c r="C11" s="204">
        <f t="shared" si="10"/>
        <v>8</v>
      </c>
      <c r="D11" s="204">
        <f t="shared" si="10"/>
        <v>0</v>
      </c>
      <c r="E11" s="204">
        <f t="shared" si="10"/>
        <v>0</v>
      </c>
      <c r="F11" s="204">
        <f t="shared" si="10"/>
        <v>8</v>
      </c>
      <c r="G11" s="204">
        <f t="shared" si="10"/>
        <v>8</v>
      </c>
      <c r="H11" s="204">
        <f t="shared" si="10"/>
        <v>8</v>
      </c>
      <c r="I11" s="204">
        <f t="shared" si="10"/>
        <v>8</v>
      </c>
      <c r="J11" s="204">
        <f t="shared" si="10"/>
        <v>0</v>
      </c>
      <c r="K11" s="204">
        <f t="shared" si="10"/>
        <v>8</v>
      </c>
      <c r="L11" s="204">
        <f t="shared" si="10"/>
        <v>0</v>
      </c>
      <c r="M11" s="205">
        <f t="shared" si="10"/>
        <v>0</v>
      </c>
      <c r="N11" s="205">
        <f t="shared" si="10"/>
        <v>0</v>
      </c>
      <c r="O11" s="205">
        <f t="shared" si="10"/>
        <v>0</v>
      </c>
      <c r="P11" s="205">
        <f t="shared" si="10"/>
        <v>0</v>
      </c>
      <c r="Q11" s="206">
        <f t="shared" si="10"/>
        <v>0</v>
      </c>
      <c r="R11" s="207" t="s">
        <v>33</v>
      </c>
      <c r="S11" s="207"/>
      <c r="T11" s="207"/>
      <c r="U11" s="207"/>
      <c r="V11" s="208"/>
      <c r="W11" s="189"/>
      <c r="X11" s="209" t="s">
        <v>32</v>
      </c>
      <c r="Y11" s="203">
        <f t="shared" ref="Y11:AN11" si="11">MAX(AC93:AC97)</f>
        <v>0</v>
      </c>
      <c r="Z11" s="203">
        <f t="shared" si="11"/>
        <v>8</v>
      </c>
      <c r="AA11" s="203">
        <f t="shared" si="11"/>
        <v>0</v>
      </c>
      <c r="AB11" s="203">
        <f t="shared" si="11"/>
        <v>0</v>
      </c>
      <c r="AC11" s="203">
        <f t="shared" si="11"/>
        <v>8</v>
      </c>
      <c r="AD11" s="203">
        <f t="shared" si="11"/>
        <v>8</v>
      </c>
      <c r="AE11" s="203">
        <f t="shared" si="11"/>
        <v>8</v>
      </c>
      <c r="AF11" s="203">
        <f t="shared" si="11"/>
        <v>8</v>
      </c>
      <c r="AG11" s="203">
        <f t="shared" si="11"/>
        <v>0</v>
      </c>
      <c r="AH11" s="203">
        <f t="shared" si="11"/>
        <v>8</v>
      </c>
      <c r="AI11" s="203">
        <f t="shared" si="11"/>
        <v>0</v>
      </c>
      <c r="AJ11" s="210">
        <f t="shared" si="11"/>
        <v>0</v>
      </c>
      <c r="AK11" s="210">
        <f t="shared" si="11"/>
        <v>0</v>
      </c>
      <c r="AL11" s="210">
        <f t="shared" si="11"/>
        <v>0</v>
      </c>
      <c r="AM11" s="210">
        <f t="shared" si="11"/>
        <v>0</v>
      </c>
      <c r="AN11" s="210">
        <f t="shared" si="11"/>
        <v>0</v>
      </c>
      <c r="AO11" s="211" t="s">
        <v>33</v>
      </c>
      <c r="AP11" s="203"/>
      <c r="AQ11" s="203"/>
      <c r="AR11" s="203"/>
      <c r="AS11" s="203"/>
    </row>
    <row r="12" s="185" customFormat="1" ht="16" spans="1:45">
      <c r="A12" s="203" t="s">
        <v>34</v>
      </c>
      <c r="B12" s="204">
        <f t="shared" ref="B12:Q12" si="12">MAX(F101:F104)</f>
        <v>0</v>
      </c>
      <c r="C12" s="204">
        <f t="shared" si="12"/>
        <v>6</v>
      </c>
      <c r="D12" s="204">
        <f t="shared" si="12"/>
        <v>0</v>
      </c>
      <c r="E12" s="204">
        <f t="shared" si="12"/>
        <v>0</v>
      </c>
      <c r="F12" s="204">
        <f t="shared" si="12"/>
        <v>6</v>
      </c>
      <c r="G12" s="204">
        <f t="shared" si="12"/>
        <v>6</v>
      </c>
      <c r="H12" s="204">
        <f t="shared" si="12"/>
        <v>6</v>
      </c>
      <c r="I12" s="204">
        <f t="shared" si="12"/>
        <v>6</v>
      </c>
      <c r="J12" s="204">
        <f t="shared" si="12"/>
        <v>0</v>
      </c>
      <c r="K12" s="204">
        <f t="shared" si="12"/>
        <v>6</v>
      </c>
      <c r="L12" s="204">
        <f t="shared" si="12"/>
        <v>0</v>
      </c>
      <c r="M12" s="205">
        <f t="shared" si="12"/>
        <v>0</v>
      </c>
      <c r="N12" s="205">
        <f t="shared" si="12"/>
        <v>0</v>
      </c>
      <c r="O12" s="205">
        <f t="shared" si="12"/>
        <v>0</v>
      </c>
      <c r="P12" s="205">
        <f t="shared" si="12"/>
        <v>0</v>
      </c>
      <c r="Q12" s="206">
        <f t="shared" si="12"/>
        <v>0</v>
      </c>
      <c r="R12" s="207" t="s">
        <v>35</v>
      </c>
      <c r="S12" s="207"/>
      <c r="T12" s="207"/>
      <c r="U12" s="207"/>
      <c r="V12" s="208"/>
      <c r="W12" s="189"/>
      <c r="X12" s="209" t="s">
        <v>34</v>
      </c>
      <c r="Y12" s="203">
        <f t="shared" ref="Y12:AN12" si="13">MAX(AC101:AC104)</f>
        <v>0</v>
      </c>
      <c r="Z12" s="203">
        <f t="shared" si="13"/>
        <v>6</v>
      </c>
      <c r="AA12" s="203">
        <f t="shared" si="13"/>
        <v>0</v>
      </c>
      <c r="AB12" s="203">
        <f t="shared" si="13"/>
        <v>0</v>
      </c>
      <c r="AC12" s="203">
        <f t="shared" si="13"/>
        <v>6</v>
      </c>
      <c r="AD12" s="203">
        <f t="shared" si="13"/>
        <v>6</v>
      </c>
      <c r="AE12" s="203">
        <f t="shared" si="13"/>
        <v>6</v>
      </c>
      <c r="AF12" s="203">
        <f t="shared" si="13"/>
        <v>6</v>
      </c>
      <c r="AG12" s="203">
        <f t="shared" si="13"/>
        <v>0</v>
      </c>
      <c r="AH12" s="203">
        <f t="shared" si="13"/>
        <v>6</v>
      </c>
      <c r="AI12" s="203">
        <f t="shared" si="13"/>
        <v>0</v>
      </c>
      <c r="AJ12" s="210">
        <f t="shared" si="13"/>
        <v>0</v>
      </c>
      <c r="AK12" s="210">
        <f t="shared" si="13"/>
        <v>0</v>
      </c>
      <c r="AL12" s="210">
        <f t="shared" si="13"/>
        <v>0</v>
      </c>
      <c r="AM12" s="210">
        <f t="shared" si="13"/>
        <v>0</v>
      </c>
      <c r="AN12" s="210">
        <f t="shared" si="13"/>
        <v>0</v>
      </c>
      <c r="AO12" s="211" t="s">
        <v>35</v>
      </c>
      <c r="AP12" s="203"/>
      <c r="AQ12" s="203"/>
      <c r="AR12" s="203"/>
      <c r="AS12" s="203"/>
    </row>
    <row r="13" s="185" customFormat="1" ht="16" spans="1:45">
      <c r="A13" s="203" t="s">
        <v>36</v>
      </c>
      <c r="B13" s="204">
        <f t="shared" ref="B13:Q13" si="14">MAX(F108:F113)</f>
        <v>6</v>
      </c>
      <c r="C13" s="204">
        <f t="shared" si="14"/>
        <v>0</v>
      </c>
      <c r="D13" s="204">
        <f t="shared" si="14"/>
        <v>0</v>
      </c>
      <c r="E13" s="204">
        <f t="shared" si="14"/>
        <v>0</v>
      </c>
      <c r="F13" s="204">
        <f t="shared" si="14"/>
        <v>6</v>
      </c>
      <c r="G13" s="204">
        <f t="shared" si="14"/>
        <v>6</v>
      </c>
      <c r="H13" s="204">
        <f t="shared" si="14"/>
        <v>6</v>
      </c>
      <c r="I13" s="204">
        <f t="shared" si="14"/>
        <v>6</v>
      </c>
      <c r="J13" s="204">
        <f t="shared" si="14"/>
        <v>0</v>
      </c>
      <c r="K13" s="204">
        <f t="shared" si="14"/>
        <v>6</v>
      </c>
      <c r="L13" s="204">
        <f t="shared" si="14"/>
        <v>0</v>
      </c>
      <c r="M13" s="205">
        <f t="shared" si="14"/>
        <v>6</v>
      </c>
      <c r="N13" s="205">
        <f t="shared" si="14"/>
        <v>18</v>
      </c>
      <c r="O13" s="205">
        <f t="shared" si="14"/>
        <v>18</v>
      </c>
      <c r="P13" s="205">
        <f t="shared" si="14"/>
        <v>18</v>
      </c>
      <c r="Q13" s="206">
        <f t="shared" si="14"/>
        <v>18</v>
      </c>
      <c r="R13" s="207"/>
      <c r="S13" s="207"/>
      <c r="T13" s="207"/>
      <c r="U13" s="207"/>
      <c r="V13" s="208"/>
      <c r="W13" s="189"/>
      <c r="X13" s="209" t="s">
        <v>36</v>
      </c>
      <c r="Y13" s="203">
        <f t="shared" ref="Y13:AN13" si="15">MAX(AC108:AC113)</f>
        <v>6</v>
      </c>
      <c r="Z13" s="203">
        <f t="shared" si="15"/>
        <v>0</v>
      </c>
      <c r="AA13" s="203">
        <f t="shared" si="15"/>
        <v>0</v>
      </c>
      <c r="AB13" s="203">
        <f t="shared" si="15"/>
        <v>0</v>
      </c>
      <c r="AC13" s="203">
        <f t="shared" si="15"/>
        <v>6</v>
      </c>
      <c r="AD13" s="203">
        <f t="shared" si="15"/>
        <v>6</v>
      </c>
      <c r="AE13" s="203">
        <f t="shared" si="15"/>
        <v>6</v>
      </c>
      <c r="AF13" s="203">
        <f t="shared" si="15"/>
        <v>6</v>
      </c>
      <c r="AG13" s="203">
        <f t="shared" si="15"/>
        <v>0</v>
      </c>
      <c r="AH13" s="203">
        <f t="shared" si="15"/>
        <v>6</v>
      </c>
      <c r="AI13" s="203">
        <f t="shared" si="15"/>
        <v>0</v>
      </c>
      <c r="AJ13" s="210">
        <f t="shared" si="15"/>
        <v>6</v>
      </c>
      <c r="AK13" s="210">
        <f t="shared" si="15"/>
        <v>18</v>
      </c>
      <c r="AL13" s="210">
        <f t="shared" si="15"/>
        <v>18</v>
      </c>
      <c r="AM13" s="210">
        <f t="shared" si="15"/>
        <v>18</v>
      </c>
      <c r="AN13" s="210">
        <f t="shared" si="15"/>
        <v>18</v>
      </c>
      <c r="AO13" s="211"/>
      <c r="AP13" s="203"/>
      <c r="AQ13" s="203"/>
      <c r="AR13" s="203"/>
      <c r="AS13" s="203"/>
    </row>
    <row r="14" s="185" customFormat="1" ht="16" spans="1:45">
      <c r="A14" s="203" t="s">
        <v>37</v>
      </c>
      <c r="B14" s="204">
        <f t="shared" ref="B14:Q14" si="16">MAX(F117:F121)</f>
        <v>6</v>
      </c>
      <c r="C14" s="204">
        <f t="shared" si="16"/>
        <v>0</v>
      </c>
      <c r="D14" s="204">
        <f t="shared" si="16"/>
        <v>0</v>
      </c>
      <c r="E14" s="204">
        <f t="shared" si="16"/>
        <v>0</v>
      </c>
      <c r="F14" s="204">
        <f t="shared" si="16"/>
        <v>6</v>
      </c>
      <c r="G14" s="204">
        <f t="shared" si="16"/>
        <v>6</v>
      </c>
      <c r="H14" s="204">
        <f t="shared" si="16"/>
        <v>6</v>
      </c>
      <c r="I14" s="204">
        <f t="shared" si="16"/>
        <v>6</v>
      </c>
      <c r="J14" s="204">
        <f t="shared" si="16"/>
        <v>0</v>
      </c>
      <c r="K14" s="204">
        <f t="shared" si="16"/>
        <v>6</v>
      </c>
      <c r="L14" s="204">
        <f t="shared" si="16"/>
        <v>0</v>
      </c>
      <c r="M14" s="205">
        <f t="shared" si="16"/>
        <v>6</v>
      </c>
      <c r="N14" s="205">
        <f t="shared" si="16"/>
        <v>18</v>
      </c>
      <c r="O14" s="205">
        <f t="shared" si="16"/>
        <v>18</v>
      </c>
      <c r="P14" s="205">
        <f t="shared" si="16"/>
        <v>18</v>
      </c>
      <c r="Q14" s="206">
        <f t="shared" si="16"/>
        <v>18</v>
      </c>
      <c r="R14" s="207"/>
      <c r="S14" s="207"/>
      <c r="T14" s="207"/>
      <c r="U14" s="207"/>
      <c r="V14" s="208"/>
      <c r="W14" s="189"/>
      <c r="X14" s="209" t="s">
        <v>37</v>
      </c>
      <c r="Y14" s="203">
        <f t="shared" ref="Y14:AN14" si="17">MAX(AC117:AC121)</f>
        <v>6</v>
      </c>
      <c r="Z14" s="203">
        <f t="shared" si="17"/>
        <v>0</v>
      </c>
      <c r="AA14" s="203">
        <f t="shared" si="17"/>
        <v>0</v>
      </c>
      <c r="AB14" s="203">
        <f t="shared" si="17"/>
        <v>0</v>
      </c>
      <c r="AC14" s="203">
        <f t="shared" si="17"/>
        <v>6</v>
      </c>
      <c r="AD14" s="203">
        <f t="shared" si="17"/>
        <v>6</v>
      </c>
      <c r="AE14" s="203">
        <f t="shared" si="17"/>
        <v>6</v>
      </c>
      <c r="AF14" s="203">
        <f t="shared" si="17"/>
        <v>6</v>
      </c>
      <c r="AG14" s="203">
        <f t="shared" si="17"/>
        <v>0</v>
      </c>
      <c r="AH14" s="203">
        <f t="shared" si="17"/>
        <v>6</v>
      </c>
      <c r="AI14" s="203">
        <f t="shared" si="17"/>
        <v>0</v>
      </c>
      <c r="AJ14" s="210">
        <f t="shared" si="17"/>
        <v>6</v>
      </c>
      <c r="AK14" s="210">
        <f t="shared" si="17"/>
        <v>18</v>
      </c>
      <c r="AL14" s="210">
        <f t="shared" si="17"/>
        <v>18</v>
      </c>
      <c r="AM14" s="210">
        <f t="shared" si="17"/>
        <v>18</v>
      </c>
      <c r="AN14" s="210">
        <f t="shared" si="17"/>
        <v>18</v>
      </c>
      <c r="AO14" s="211"/>
      <c r="AP14" s="203"/>
      <c r="AQ14" s="203"/>
      <c r="AR14" s="203"/>
      <c r="AS14" s="203"/>
    </row>
    <row r="15" s="185" customFormat="1" ht="16" spans="1:45">
      <c r="A15" s="203" t="s">
        <v>38</v>
      </c>
      <c r="B15" s="204">
        <f t="shared" ref="B15:Q15" si="18">MAX(F125:F130)</f>
        <v>6</v>
      </c>
      <c r="C15" s="204">
        <f t="shared" si="18"/>
        <v>0</v>
      </c>
      <c r="D15" s="204">
        <f t="shared" si="18"/>
        <v>0</v>
      </c>
      <c r="E15" s="204">
        <f t="shared" si="18"/>
        <v>0</v>
      </c>
      <c r="F15" s="204">
        <f t="shared" si="18"/>
        <v>6</v>
      </c>
      <c r="G15" s="204">
        <f t="shared" si="18"/>
        <v>6</v>
      </c>
      <c r="H15" s="204">
        <f t="shared" si="18"/>
        <v>6</v>
      </c>
      <c r="I15" s="204">
        <f t="shared" si="18"/>
        <v>6</v>
      </c>
      <c r="J15" s="204">
        <f t="shared" si="18"/>
        <v>0</v>
      </c>
      <c r="K15" s="204">
        <f t="shared" si="18"/>
        <v>6</v>
      </c>
      <c r="L15" s="204">
        <f t="shared" si="18"/>
        <v>0</v>
      </c>
      <c r="M15" s="205">
        <f t="shared" si="18"/>
        <v>6</v>
      </c>
      <c r="N15" s="205">
        <f t="shared" si="18"/>
        <v>18</v>
      </c>
      <c r="O15" s="205">
        <f t="shared" si="18"/>
        <v>18</v>
      </c>
      <c r="P15" s="205">
        <f t="shared" si="18"/>
        <v>18</v>
      </c>
      <c r="Q15" s="206">
        <f t="shared" si="18"/>
        <v>18</v>
      </c>
      <c r="R15" s="207"/>
      <c r="S15" s="207"/>
      <c r="T15" s="207"/>
      <c r="U15" s="207"/>
      <c r="V15" s="208"/>
      <c r="W15" s="189"/>
      <c r="X15" s="209" t="s">
        <v>38</v>
      </c>
      <c r="Y15" s="203">
        <f t="shared" ref="Y15:AN15" si="19">MAX(AC125:AC130)</f>
        <v>6</v>
      </c>
      <c r="Z15" s="203">
        <f t="shared" si="19"/>
        <v>0</v>
      </c>
      <c r="AA15" s="203">
        <f t="shared" si="19"/>
        <v>0</v>
      </c>
      <c r="AB15" s="203">
        <f t="shared" si="19"/>
        <v>0</v>
      </c>
      <c r="AC15" s="203">
        <f t="shared" si="19"/>
        <v>6</v>
      </c>
      <c r="AD15" s="203">
        <f t="shared" si="19"/>
        <v>6</v>
      </c>
      <c r="AE15" s="203">
        <f t="shared" si="19"/>
        <v>6</v>
      </c>
      <c r="AF15" s="203">
        <f t="shared" si="19"/>
        <v>6</v>
      </c>
      <c r="AG15" s="203">
        <f t="shared" si="19"/>
        <v>0</v>
      </c>
      <c r="AH15" s="203">
        <f t="shared" si="19"/>
        <v>6</v>
      </c>
      <c r="AI15" s="203">
        <f t="shared" si="19"/>
        <v>0</v>
      </c>
      <c r="AJ15" s="210">
        <f t="shared" si="19"/>
        <v>6</v>
      </c>
      <c r="AK15" s="210">
        <f t="shared" si="19"/>
        <v>18</v>
      </c>
      <c r="AL15" s="210">
        <f t="shared" si="19"/>
        <v>18</v>
      </c>
      <c r="AM15" s="210">
        <f t="shared" si="19"/>
        <v>18</v>
      </c>
      <c r="AN15" s="210">
        <f t="shared" si="19"/>
        <v>18</v>
      </c>
      <c r="AO15" s="211"/>
      <c r="AP15" s="203"/>
      <c r="AQ15" s="203"/>
      <c r="AR15" s="203"/>
      <c r="AS15" s="203"/>
    </row>
    <row r="16" s="185" customFormat="1" ht="16" spans="1:45">
      <c r="A16" s="203" t="s">
        <v>39</v>
      </c>
      <c r="B16" s="204">
        <f t="shared" ref="B16:Q16" si="20">MAX(F134:F139)</f>
        <v>6</v>
      </c>
      <c r="C16" s="204">
        <f t="shared" si="20"/>
        <v>0</v>
      </c>
      <c r="D16" s="204">
        <f t="shared" si="20"/>
        <v>0</v>
      </c>
      <c r="E16" s="204">
        <f t="shared" si="20"/>
        <v>0</v>
      </c>
      <c r="F16" s="204">
        <f t="shared" si="20"/>
        <v>6</v>
      </c>
      <c r="G16" s="204">
        <f t="shared" si="20"/>
        <v>6</v>
      </c>
      <c r="H16" s="204">
        <f t="shared" si="20"/>
        <v>6</v>
      </c>
      <c r="I16" s="204">
        <f t="shared" si="20"/>
        <v>6</v>
      </c>
      <c r="J16" s="204">
        <f t="shared" si="20"/>
        <v>0</v>
      </c>
      <c r="K16" s="204">
        <f t="shared" si="20"/>
        <v>6</v>
      </c>
      <c r="L16" s="204">
        <f t="shared" si="20"/>
        <v>0</v>
      </c>
      <c r="M16" s="205">
        <f t="shared" si="20"/>
        <v>6</v>
      </c>
      <c r="N16" s="205">
        <f t="shared" si="20"/>
        <v>18</v>
      </c>
      <c r="O16" s="205">
        <f t="shared" si="20"/>
        <v>18</v>
      </c>
      <c r="P16" s="205">
        <f t="shared" si="20"/>
        <v>18</v>
      </c>
      <c r="Q16" s="206">
        <f t="shared" si="20"/>
        <v>18</v>
      </c>
      <c r="R16" s="207"/>
      <c r="S16" s="207"/>
      <c r="T16" s="207"/>
      <c r="U16" s="207"/>
      <c r="V16" s="208"/>
      <c r="W16" s="189"/>
      <c r="X16" s="209" t="s">
        <v>40</v>
      </c>
      <c r="Y16" s="203">
        <f t="shared" ref="Y16:AN16" si="21">MAX(AC134:AC143)</f>
        <v>12</v>
      </c>
      <c r="Z16" s="203">
        <f t="shared" si="21"/>
        <v>0</v>
      </c>
      <c r="AA16" s="203">
        <f t="shared" si="21"/>
        <v>3</v>
      </c>
      <c r="AB16" s="203">
        <f t="shared" si="21"/>
        <v>0</v>
      </c>
      <c r="AC16" s="203">
        <f t="shared" si="21"/>
        <v>12</v>
      </c>
      <c r="AD16" s="203">
        <f t="shared" si="21"/>
        <v>12</v>
      </c>
      <c r="AE16" s="203">
        <f t="shared" si="21"/>
        <v>12</v>
      </c>
      <c r="AF16" s="203">
        <f t="shared" si="21"/>
        <v>12</v>
      </c>
      <c r="AG16" s="203">
        <f t="shared" si="21"/>
        <v>0</v>
      </c>
      <c r="AH16" s="203">
        <f t="shared" si="21"/>
        <v>12</v>
      </c>
      <c r="AI16" s="203">
        <f t="shared" si="21"/>
        <v>0</v>
      </c>
      <c r="AJ16" s="210">
        <f t="shared" si="21"/>
        <v>0</v>
      </c>
      <c r="AK16" s="210">
        <f t="shared" si="21"/>
        <v>0</v>
      </c>
      <c r="AL16" s="210">
        <f t="shared" si="21"/>
        <v>0</v>
      </c>
      <c r="AM16" s="210">
        <f t="shared" si="21"/>
        <v>0</v>
      </c>
      <c r="AN16" s="210">
        <f t="shared" si="21"/>
        <v>0</v>
      </c>
      <c r="AO16" s="211"/>
      <c r="AP16" s="203"/>
      <c r="AQ16" s="203"/>
      <c r="AR16" s="203"/>
      <c r="AS16" s="203"/>
    </row>
    <row r="17" s="185" customFormat="1" ht="16" spans="1:45">
      <c r="A17" s="203" t="s">
        <v>41</v>
      </c>
      <c r="B17" s="204">
        <f t="shared" ref="B17:Q17" si="22">MAX(F143:F143)</f>
        <v>1</v>
      </c>
      <c r="C17" s="204">
        <f t="shared" si="22"/>
        <v>0</v>
      </c>
      <c r="D17" s="204">
        <f t="shared" si="22"/>
        <v>0</v>
      </c>
      <c r="E17" s="204">
        <f t="shared" si="22"/>
        <v>0</v>
      </c>
      <c r="F17" s="204">
        <f t="shared" si="22"/>
        <v>0</v>
      </c>
      <c r="G17" s="204">
        <f t="shared" si="22"/>
        <v>0</v>
      </c>
      <c r="H17" s="204">
        <f t="shared" si="22"/>
        <v>0</v>
      </c>
      <c r="I17" s="204">
        <f t="shared" si="22"/>
        <v>0</v>
      </c>
      <c r="J17" s="204">
        <f t="shared" si="22"/>
        <v>0</v>
      </c>
      <c r="K17" s="204">
        <f t="shared" si="22"/>
        <v>0</v>
      </c>
      <c r="L17" s="204">
        <f t="shared" si="22"/>
        <v>0</v>
      </c>
      <c r="M17" s="205">
        <f t="shared" si="22"/>
        <v>0</v>
      </c>
      <c r="N17" s="205">
        <f t="shared" si="22"/>
        <v>0</v>
      </c>
      <c r="O17" s="205">
        <f t="shared" si="22"/>
        <v>0</v>
      </c>
      <c r="P17" s="205">
        <f t="shared" si="22"/>
        <v>0</v>
      </c>
      <c r="Q17" s="206">
        <f t="shared" si="22"/>
        <v>0</v>
      </c>
      <c r="R17" s="207" t="s">
        <v>42</v>
      </c>
      <c r="S17" s="207"/>
      <c r="T17" s="207"/>
      <c r="U17" s="207"/>
      <c r="V17" s="208"/>
      <c r="W17" s="189"/>
      <c r="X17" s="209" t="s">
        <v>39</v>
      </c>
      <c r="Y17" s="203">
        <f t="shared" ref="Y17:AN17" si="23">MAX(AC147:AC152)</f>
        <v>6</v>
      </c>
      <c r="Z17" s="203">
        <f t="shared" si="23"/>
        <v>0</v>
      </c>
      <c r="AA17" s="203">
        <f t="shared" si="23"/>
        <v>0</v>
      </c>
      <c r="AB17" s="203">
        <f t="shared" si="23"/>
        <v>0</v>
      </c>
      <c r="AC17" s="203">
        <f t="shared" si="23"/>
        <v>6</v>
      </c>
      <c r="AD17" s="203">
        <f t="shared" si="23"/>
        <v>6</v>
      </c>
      <c r="AE17" s="203">
        <f t="shared" si="23"/>
        <v>6</v>
      </c>
      <c r="AF17" s="203">
        <f t="shared" si="23"/>
        <v>6</v>
      </c>
      <c r="AG17" s="203">
        <f t="shared" si="23"/>
        <v>0</v>
      </c>
      <c r="AH17" s="203">
        <f t="shared" si="23"/>
        <v>6</v>
      </c>
      <c r="AI17" s="203">
        <f t="shared" si="23"/>
        <v>0</v>
      </c>
      <c r="AJ17" s="210">
        <f t="shared" si="23"/>
        <v>6</v>
      </c>
      <c r="AK17" s="210">
        <f t="shared" si="23"/>
        <v>18</v>
      </c>
      <c r="AL17" s="210">
        <f t="shared" si="23"/>
        <v>18</v>
      </c>
      <c r="AM17" s="210">
        <f t="shared" si="23"/>
        <v>18</v>
      </c>
      <c r="AN17" s="210">
        <f t="shared" si="23"/>
        <v>18</v>
      </c>
      <c r="AO17" s="211"/>
      <c r="AP17" s="203"/>
      <c r="AQ17" s="203"/>
      <c r="AR17" s="203"/>
      <c r="AS17" s="203"/>
    </row>
    <row r="18" s="185" customFormat="1" ht="16" spans="1:45">
      <c r="A18" s="203" t="s">
        <v>43</v>
      </c>
      <c r="B18" s="204">
        <f t="shared" ref="B18:Q18" si="24">MAX(F146:F146)</f>
        <v>25</v>
      </c>
      <c r="C18" s="204">
        <f t="shared" si="24"/>
        <v>0</v>
      </c>
      <c r="D18" s="204">
        <f t="shared" si="24"/>
        <v>0</v>
      </c>
      <c r="E18" s="204">
        <f t="shared" si="24"/>
        <v>0</v>
      </c>
      <c r="F18" s="204">
        <f t="shared" si="24"/>
        <v>0</v>
      </c>
      <c r="G18" s="204">
        <f t="shared" si="24"/>
        <v>0</v>
      </c>
      <c r="H18" s="204">
        <f t="shared" si="24"/>
        <v>0</v>
      </c>
      <c r="I18" s="204">
        <f t="shared" si="24"/>
        <v>0</v>
      </c>
      <c r="J18" s="204">
        <f t="shared" si="24"/>
        <v>0</v>
      </c>
      <c r="K18" s="204">
        <f t="shared" si="24"/>
        <v>0</v>
      </c>
      <c r="L18" s="204">
        <f t="shared" si="24"/>
        <v>0</v>
      </c>
      <c r="M18" s="205">
        <f t="shared" si="24"/>
        <v>0</v>
      </c>
      <c r="N18" s="205">
        <f t="shared" si="24"/>
        <v>0</v>
      </c>
      <c r="O18" s="205">
        <f t="shared" si="24"/>
        <v>0</v>
      </c>
      <c r="P18" s="205">
        <f t="shared" si="24"/>
        <v>0</v>
      </c>
      <c r="Q18" s="206">
        <f t="shared" si="24"/>
        <v>0</v>
      </c>
      <c r="R18" s="207" t="s">
        <v>44</v>
      </c>
      <c r="S18" s="207"/>
      <c r="T18" s="207"/>
      <c r="U18" s="207"/>
      <c r="V18" s="208"/>
      <c r="W18" s="189"/>
      <c r="X18" s="209" t="s">
        <v>41</v>
      </c>
      <c r="Y18" s="203">
        <f t="shared" ref="Y18:AN18" si="25">MAX(AC156:AC156)</f>
        <v>1</v>
      </c>
      <c r="Z18" s="203">
        <f t="shared" si="25"/>
        <v>0</v>
      </c>
      <c r="AA18" s="203">
        <f t="shared" si="25"/>
        <v>0</v>
      </c>
      <c r="AB18" s="203">
        <f t="shared" si="25"/>
        <v>0</v>
      </c>
      <c r="AC18" s="203">
        <f t="shared" si="25"/>
        <v>0</v>
      </c>
      <c r="AD18" s="203">
        <f t="shared" si="25"/>
        <v>0</v>
      </c>
      <c r="AE18" s="203">
        <f t="shared" si="25"/>
        <v>0</v>
      </c>
      <c r="AF18" s="203">
        <f t="shared" si="25"/>
        <v>0</v>
      </c>
      <c r="AG18" s="203">
        <f t="shared" si="25"/>
        <v>0</v>
      </c>
      <c r="AH18" s="203">
        <f t="shared" si="25"/>
        <v>0</v>
      </c>
      <c r="AI18" s="203">
        <f t="shared" si="25"/>
        <v>0</v>
      </c>
      <c r="AJ18" s="210">
        <f t="shared" si="25"/>
        <v>0</v>
      </c>
      <c r="AK18" s="210">
        <f t="shared" si="25"/>
        <v>0</v>
      </c>
      <c r="AL18" s="210">
        <f t="shared" si="25"/>
        <v>0</v>
      </c>
      <c r="AM18" s="210">
        <f t="shared" si="25"/>
        <v>0</v>
      </c>
      <c r="AN18" s="210">
        <f t="shared" si="25"/>
        <v>0</v>
      </c>
      <c r="AO18" s="211" t="s">
        <v>42</v>
      </c>
      <c r="AP18" s="203"/>
      <c r="AQ18" s="203"/>
      <c r="AR18" s="203"/>
      <c r="AS18" s="203"/>
    </row>
    <row r="19" s="185" customFormat="1" ht="16" spans="1:45">
      <c r="A19" s="203" t="s">
        <v>45</v>
      </c>
      <c r="B19" s="204">
        <f>3</f>
        <v>3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205">
        <v>0</v>
      </c>
      <c r="O19" s="205">
        <v>0</v>
      </c>
      <c r="P19" s="205">
        <v>0</v>
      </c>
      <c r="Q19" s="206">
        <v>0</v>
      </c>
      <c r="R19" s="207"/>
      <c r="S19" s="207"/>
      <c r="T19" s="207"/>
      <c r="U19" s="207"/>
      <c r="V19" s="208"/>
      <c r="W19" s="189"/>
      <c r="X19" s="212" t="s">
        <v>43</v>
      </c>
      <c r="Y19" s="203">
        <f t="shared" ref="Y19:AN19" si="26">MAX(AC159:AC159)</f>
        <v>25</v>
      </c>
      <c r="Z19" s="213">
        <f t="shared" si="26"/>
        <v>0</v>
      </c>
      <c r="AA19" s="214">
        <f t="shared" si="26"/>
        <v>0</v>
      </c>
      <c r="AB19" s="214">
        <f t="shared" si="26"/>
        <v>0</v>
      </c>
      <c r="AC19" s="213">
        <f t="shared" si="26"/>
        <v>0</v>
      </c>
      <c r="AD19" s="213">
        <f t="shared" si="26"/>
        <v>0</v>
      </c>
      <c r="AE19" s="213">
        <f t="shared" si="26"/>
        <v>0</v>
      </c>
      <c r="AF19" s="213">
        <f t="shared" si="26"/>
        <v>0</v>
      </c>
      <c r="AG19" s="213">
        <f t="shared" si="26"/>
        <v>0</v>
      </c>
      <c r="AH19" s="213">
        <f t="shared" si="26"/>
        <v>0</v>
      </c>
      <c r="AI19" s="213">
        <f t="shared" si="26"/>
        <v>0</v>
      </c>
      <c r="AJ19" s="213">
        <f t="shared" si="26"/>
        <v>0</v>
      </c>
      <c r="AK19" s="213">
        <f t="shared" si="26"/>
        <v>0</v>
      </c>
      <c r="AL19" s="213">
        <f t="shared" si="26"/>
        <v>0</v>
      </c>
      <c r="AM19" s="213">
        <f t="shared" si="26"/>
        <v>0</v>
      </c>
      <c r="AN19" s="213">
        <f t="shared" si="26"/>
        <v>0</v>
      </c>
      <c r="AO19" s="211" t="s">
        <v>44</v>
      </c>
      <c r="AP19" s="203"/>
      <c r="AQ19" s="203"/>
      <c r="AR19" s="203"/>
      <c r="AS19" s="203"/>
    </row>
    <row r="20" s="184" customFormat="1" ht="18" spans="1:45">
      <c r="A20" s="215" t="s">
        <v>46</v>
      </c>
      <c r="B20" s="216">
        <f>SUM(B6:B19)</f>
        <v>97</v>
      </c>
      <c r="C20" s="216">
        <f t="shared" ref="C20:I20" si="27">SUM(C6:C18)</f>
        <v>14</v>
      </c>
      <c r="D20" s="216">
        <f>MAX(D6:D18)</f>
        <v>6</v>
      </c>
      <c r="E20" s="216">
        <f>MAX(E6:E18)</f>
        <v>3</v>
      </c>
      <c r="F20" s="216">
        <f t="shared" si="27"/>
        <v>82</v>
      </c>
      <c r="G20" s="216">
        <f t="shared" si="27"/>
        <v>82</v>
      </c>
      <c r="H20" s="216">
        <f t="shared" si="27"/>
        <v>82</v>
      </c>
      <c r="I20" s="216">
        <f t="shared" si="27"/>
        <v>94</v>
      </c>
      <c r="J20" s="216">
        <f>MAX(J6:J18)</f>
        <v>6</v>
      </c>
      <c r="K20" s="216">
        <f t="shared" ref="K20:Q20" si="28">SUM(K6:K18)</f>
        <v>94</v>
      </c>
      <c r="L20" s="216">
        <f>MAX(L6:L18)</f>
        <v>6</v>
      </c>
      <c r="M20" s="216">
        <f t="shared" si="28"/>
        <v>42</v>
      </c>
      <c r="N20" s="216">
        <f t="shared" si="28"/>
        <v>126</v>
      </c>
      <c r="O20" s="216">
        <f t="shared" si="28"/>
        <v>126</v>
      </c>
      <c r="P20" s="216">
        <f t="shared" si="28"/>
        <v>126</v>
      </c>
      <c r="Q20" s="217">
        <f t="shared" si="28"/>
        <v>126</v>
      </c>
      <c r="R20" s="218"/>
      <c r="S20" s="218"/>
      <c r="T20" s="218"/>
      <c r="U20" s="218"/>
      <c r="V20" s="219"/>
      <c r="W20" s="189"/>
      <c r="X20" s="220" t="s">
        <v>45</v>
      </c>
      <c r="Y20" s="203">
        <f>3</f>
        <v>3</v>
      </c>
      <c r="Z20" s="215"/>
      <c r="AA20" s="215"/>
      <c r="AB20" s="215"/>
      <c r="AC20" s="215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21"/>
      <c r="AP20" s="222"/>
      <c r="AQ20" s="222"/>
      <c r="AR20" s="222"/>
      <c r="AS20" s="222"/>
    </row>
    <row r="21" s="63" customFormat="1" ht="18" spans="1:45">
      <c r="A21" s="223"/>
      <c r="B21" s="224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3"/>
      <c r="S21" s="223"/>
      <c r="T21" s="223"/>
      <c r="U21" s="223"/>
      <c r="V21" s="226"/>
      <c r="W21" s="189"/>
      <c r="X21" s="227" t="s">
        <v>46</v>
      </c>
      <c r="Y21" s="216">
        <f>SUM(Y6:Y20)</f>
        <v>109</v>
      </c>
      <c r="Z21" s="216">
        <f t="shared" ref="Z21:AF21" si="29">SUM(Z6:Z19)</f>
        <v>14</v>
      </c>
      <c r="AA21" s="216">
        <f>MAX(AA6:AA19)</f>
        <v>6</v>
      </c>
      <c r="AB21" s="216">
        <f>MAX(AB6:AB19)</f>
        <v>3</v>
      </c>
      <c r="AC21" s="216">
        <f t="shared" si="29"/>
        <v>94</v>
      </c>
      <c r="AD21" s="216">
        <f t="shared" si="29"/>
        <v>94</v>
      </c>
      <c r="AE21" s="216">
        <f t="shared" si="29"/>
        <v>94</v>
      </c>
      <c r="AF21" s="216">
        <f t="shared" si="29"/>
        <v>106</v>
      </c>
      <c r="AG21" s="216">
        <f>MAX(AG6:AG19)</f>
        <v>6</v>
      </c>
      <c r="AH21" s="216">
        <f t="shared" ref="AH21:AN21" si="30">SUM(AH6:AH19)</f>
        <v>106</v>
      </c>
      <c r="AI21" s="216">
        <f>MAX(AI6:AI19)</f>
        <v>6</v>
      </c>
      <c r="AJ21" s="216">
        <f t="shared" si="30"/>
        <v>42</v>
      </c>
      <c r="AK21" s="216">
        <f t="shared" si="30"/>
        <v>126</v>
      </c>
      <c r="AL21" s="216">
        <f t="shared" si="30"/>
        <v>126</v>
      </c>
      <c r="AM21" s="216">
        <f t="shared" si="30"/>
        <v>126</v>
      </c>
      <c r="AN21" s="217">
        <f t="shared" si="30"/>
        <v>126</v>
      </c>
      <c r="AO21" s="218"/>
      <c r="AP21" s="218"/>
      <c r="AQ21" s="218"/>
      <c r="AR21" s="218"/>
      <c r="AS21" s="218"/>
    </row>
    <row r="22" s="63" customFormat="1" ht="17.6" spans="1:45">
      <c r="A22" s="223"/>
      <c r="B22" s="224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3"/>
      <c r="S22" s="223"/>
      <c r="T22" s="223"/>
      <c r="U22" s="223"/>
      <c r="V22" s="226"/>
      <c r="W22" s="189"/>
      <c r="X22" s="228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8"/>
      <c r="AP22" s="228"/>
      <c r="AQ22" s="228"/>
      <c r="AR22" s="228"/>
      <c r="AS22" s="230"/>
    </row>
    <row r="23" s="63" customFormat="1" ht="26" customHeight="1" spans="1:45">
      <c r="A23" s="231" t="s">
        <v>47</v>
      </c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2"/>
      <c r="W23" s="189"/>
      <c r="X23" s="233" t="s">
        <v>47</v>
      </c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234"/>
    </row>
    <row r="24" s="60" customFormat="1" spans="1:45">
      <c r="A24" s="235" t="s">
        <v>48</v>
      </c>
      <c r="B24" s="236"/>
      <c r="C24" s="236"/>
      <c r="D24" s="236"/>
      <c r="E24" s="236"/>
      <c r="F24" s="237" t="s">
        <v>4</v>
      </c>
      <c r="G24" s="237"/>
      <c r="H24" s="238" t="s">
        <v>5</v>
      </c>
      <c r="I24" s="239"/>
      <c r="J24" s="240" t="s">
        <v>6</v>
      </c>
      <c r="K24" s="240"/>
      <c r="L24" s="240"/>
      <c r="M24" s="241" t="s">
        <v>7</v>
      </c>
      <c r="N24" s="241"/>
      <c r="O24" s="241"/>
      <c r="P24" s="241"/>
      <c r="Q24" s="242" t="s">
        <v>49</v>
      </c>
      <c r="R24" s="242"/>
      <c r="S24" s="242"/>
      <c r="T24" s="242"/>
      <c r="U24" s="242"/>
      <c r="V24" s="243" t="s">
        <v>50</v>
      </c>
      <c r="W24" s="189"/>
      <c r="X24" s="244" t="s">
        <v>48</v>
      </c>
      <c r="Y24" s="245"/>
      <c r="Z24" s="245"/>
      <c r="AA24" s="245"/>
      <c r="AB24" s="245"/>
      <c r="AC24" s="246" t="s">
        <v>4</v>
      </c>
      <c r="AD24" s="237"/>
      <c r="AE24" s="238" t="s">
        <v>5</v>
      </c>
      <c r="AF24" s="239"/>
      <c r="AG24" s="240" t="s">
        <v>6</v>
      </c>
      <c r="AH24" s="240"/>
      <c r="AI24" s="240"/>
      <c r="AJ24" s="241" t="s">
        <v>7</v>
      </c>
      <c r="AK24" s="241"/>
      <c r="AL24" s="241"/>
      <c r="AM24" s="241"/>
      <c r="AN24" s="242" t="s">
        <v>49</v>
      </c>
      <c r="AO24" s="242"/>
      <c r="AP24" s="242"/>
      <c r="AQ24" s="242"/>
      <c r="AR24" s="242"/>
      <c r="AS24" s="247" t="s">
        <v>50</v>
      </c>
    </row>
    <row r="25" s="60" customFormat="1" ht="31" spans="1:45">
      <c r="A25" s="70" t="s">
        <v>51</v>
      </c>
      <c r="B25" s="70" t="s">
        <v>52</v>
      </c>
      <c r="C25" s="70" t="s">
        <v>53</v>
      </c>
      <c r="D25" s="86" t="s">
        <v>54</v>
      </c>
      <c r="E25" s="86"/>
      <c r="F25" s="248" t="s">
        <v>10</v>
      </c>
      <c r="G25" s="249" t="s">
        <v>11</v>
      </c>
      <c r="H25" s="250" t="s">
        <v>55</v>
      </c>
      <c r="I25" s="251" t="s">
        <v>13</v>
      </c>
      <c r="J25" s="252" t="s">
        <v>14</v>
      </c>
      <c r="K25" s="252" t="s">
        <v>15</v>
      </c>
      <c r="L25" s="252" t="s">
        <v>56</v>
      </c>
      <c r="M25" s="253" t="s">
        <v>57</v>
      </c>
      <c r="N25" s="253" t="s">
        <v>58</v>
      </c>
      <c r="O25" s="253" t="s">
        <v>59</v>
      </c>
      <c r="P25" s="253" t="s">
        <v>60</v>
      </c>
      <c r="Q25" s="254" t="s">
        <v>21</v>
      </c>
      <c r="R25" s="254" t="s">
        <v>22</v>
      </c>
      <c r="S25" s="254" t="s">
        <v>61</v>
      </c>
      <c r="T25" s="254" t="s">
        <v>62</v>
      </c>
      <c r="U25" s="254" t="s">
        <v>63</v>
      </c>
      <c r="V25" s="243"/>
      <c r="W25" s="189"/>
      <c r="X25" s="155" t="s">
        <v>51</v>
      </c>
      <c r="Y25" s="70" t="s">
        <v>52</v>
      </c>
      <c r="Z25" s="70" t="s">
        <v>53</v>
      </c>
      <c r="AA25" s="86" t="s">
        <v>54</v>
      </c>
      <c r="AB25" s="86"/>
      <c r="AC25" s="248" t="s">
        <v>10</v>
      </c>
      <c r="AD25" s="249" t="s">
        <v>11</v>
      </c>
      <c r="AE25" s="251" t="s">
        <v>12</v>
      </c>
      <c r="AF25" s="251" t="s">
        <v>13</v>
      </c>
      <c r="AG25" s="252" t="s">
        <v>14</v>
      </c>
      <c r="AH25" s="252" t="s">
        <v>15</v>
      </c>
      <c r="AI25" s="252" t="s">
        <v>56</v>
      </c>
      <c r="AJ25" s="253" t="s">
        <v>57</v>
      </c>
      <c r="AK25" s="253" t="s">
        <v>58</v>
      </c>
      <c r="AL25" s="253" t="s">
        <v>59</v>
      </c>
      <c r="AM25" s="253" t="s">
        <v>60</v>
      </c>
      <c r="AN25" s="254" t="s">
        <v>21</v>
      </c>
      <c r="AO25" s="254" t="s">
        <v>22</v>
      </c>
      <c r="AP25" s="254" t="s">
        <v>61</v>
      </c>
      <c r="AQ25" s="254" t="s">
        <v>62</v>
      </c>
      <c r="AR25" s="255" t="s">
        <v>63</v>
      </c>
      <c r="AS25" s="256"/>
    </row>
    <row r="26" s="63" customFormat="1" spans="1:45">
      <c r="A26" s="130" t="s">
        <v>26</v>
      </c>
      <c r="B26" s="73">
        <v>1</v>
      </c>
      <c r="C26" s="73" t="s">
        <v>64</v>
      </c>
      <c r="D26" s="18" t="s">
        <v>65</v>
      </c>
      <c r="E26" s="18"/>
      <c r="F26" s="257">
        <v>14</v>
      </c>
      <c r="G26" s="249"/>
      <c r="H26" s="258"/>
      <c r="I26" s="259"/>
      <c r="J26" s="252"/>
      <c r="K26" s="252"/>
      <c r="L26" s="252"/>
      <c r="M26" s="253"/>
      <c r="N26" s="253"/>
      <c r="O26" s="253"/>
      <c r="P26" s="253"/>
      <c r="Q26" s="254"/>
      <c r="R26" s="254"/>
      <c r="S26" s="254"/>
      <c r="T26" s="254"/>
      <c r="U26" s="254"/>
      <c r="V26" s="260"/>
      <c r="W26" s="189"/>
      <c r="X26" s="161" t="s">
        <v>26</v>
      </c>
      <c r="Y26" s="73">
        <v>1</v>
      </c>
      <c r="Z26" s="73" t="s">
        <v>64</v>
      </c>
      <c r="AA26" s="18" t="s">
        <v>65</v>
      </c>
      <c r="AB26" s="18"/>
      <c r="AC26" s="257">
        <v>14</v>
      </c>
      <c r="AD26" s="249"/>
      <c r="AE26" s="258"/>
      <c r="AF26" s="259"/>
      <c r="AG26" s="252"/>
      <c r="AH26" s="252"/>
      <c r="AI26" s="252"/>
      <c r="AJ26" s="253"/>
      <c r="AK26" s="253"/>
      <c r="AL26" s="253"/>
      <c r="AM26" s="253"/>
      <c r="AN26" s="254"/>
      <c r="AO26" s="254"/>
      <c r="AP26" s="254"/>
      <c r="AQ26" s="254"/>
      <c r="AR26" s="254"/>
      <c r="AS26" s="261"/>
    </row>
    <row r="27" s="63" customFormat="1" spans="1:45">
      <c r="A27" s="130" t="s">
        <v>26</v>
      </c>
      <c r="B27" s="73">
        <v>2</v>
      </c>
      <c r="C27" s="73" t="s">
        <v>66</v>
      </c>
      <c r="D27" s="18" t="s">
        <v>67</v>
      </c>
      <c r="E27" s="18"/>
      <c r="F27" s="257">
        <v>14</v>
      </c>
      <c r="G27" s="249"/>
      <c r="H27" s="258"/>
      <c r="I27" s="259"/>
      <c r="J27" s="262">
        <f t="shared" ref="J27:J34" si="31">F27</f>
        <v>14</v>
      </c>
      <c r="K27" s="262">
        <f t="shared" ref="K27:K34" si="32">F27</f>
        <v>14</v>
      </c>
      <c r="L27" s="262">
        <f t="shared" ref="L27:L34" si="33">F27</f>
        <v>14</v>
      </c>
      <c r="M27" s="263">
        <f t="shared" ref="M27:M34" si="34">F27</f>
        <v>14</v>
      </c>
      <c r="N27" s="263"/>
      <c r="O27" s="263">
        <f t="shared" ref="O27:O34" si="35">F27</f>
        <v>14</v>
      </c>
      <c r="P27" s="263"/>
      <c r="Q27" s="254"/>
      <c r="R27" s="254"/>
      <c r="S27" s="254"/>
      <c r="T27" s="254"/>
      <c r="U27" s="254"/>
      <c r="V27" s="260"/>
      <c r="W27" s="189"/>
      <c r="X27" s="161" t="s">
        <v>26</v>
      </c>
      <c r="Y27" s="73">
        <v>2</v>
      </c>
      <c r="Z27" s="73" t="s">
        <v>66</v>
      </c>
      <c r="AA27" s="18" t="s">
        <v>67</v>
      </c>
      <c r="AB27" s="18"/>
      <c r="AC27" s="257">
        <v>14</v>
      </c>
      <c r="AD27" s="249"/>
      <c r="AE27" s="258"/>
      <c r="AF27" s="259"/>
      <c r="AG27" s="262">
        <f t="shared" ref="AG27:AG34" si="36">AC27</f>
        <v>14</v>
      </c>
      <c r="AH27" s="262">
        <f t="shared" ref="AH27:AH36" si="37">AC27</f>
        <v>14</v>
      </c>
      <c r="AI27" s="262">
        <f t="shared" ref="AI27:AI36" si="38">AC27</f>
        <v>14</v>
      </c>
      <c r="AJ27" s="263">
        <f t="shared" ref="AJ27:AJ34" si="39">AC27</f>
        <v>14</v>
      </c>
      <c r="AK27" s="263"/>
      <c r="AL27" s="263">
        <f t="shared" ref="AL27:AL36" si="40">AC27</f>
        <v>14</v>
      </c>
      <c r="AM27" s="263"/>
      <c r="AN27" s="254"/>
      <c r="AO27" s="254"/>
      <c r="AP27" s="254"/>
      <c r="AQ27" s="254"/>
      <c r="AR27" s="254"/>
      <c r="AS27" s="261"/>
    </row>
    <row r="28" s="63" customFormat="1" spans="1:45">
      <c r="A28" s="130" t="s">
        <v>26</v>
      </c>
      <c r="B28" s="73">
        <v>3</v>
      </c>
      <c r="C28" s="264" t="s">
        <v>68</v>
      </c>
      <c r="D28" s="265" t="s">
        <v>69</v>
      </c>
      <c r="E28" s="265"/>
      <c r="F28" s="257">
        <v>12</v>
      </c>
      <c r="G28" s="266"/>
      <c r="H28" s="258"/>
      <c r="I28" s="259">
        <f>MIN(F28,3)</f>
        <v>3</v>
      </c>
      <c r="J28" s="262">
        <f>I28</f>
        <v>3</v>
      </c>
      <c r="K28" s="262">
        <f>I28</f>
        <v>3</v>
      </c>
      <c r="L28" s="262">
        <f>I28</f>
        <v>3</v>
      </c>
      <c r="M28" s="263">
        <f>I28</f>
        <v>3</v>
      </c>
      <c r="N28" s="263"/>
      <c r="O28" s="263">
        <f>I28</f>
        <v>3</v>
      </c>
      <c r="P28" s="263"/>
      <c r="Q28" s="267"/>
      <c r="R28" s="267"/>
      <c r="S28" s="267"/>
      <c r="T28" s="267"/>
      <c r="U28" s="267"/>
      <c r="V28" s="260"/>
      <c r="W28" s="189"/>
      <c r="X28" s="161" t="s">
        <v>26</v>
      </c>
      <c r="Y28" s="73">
        <v>3</v>
      </c>
      <c r="Z28" s="264" t="s">
        <v>68</v>
      </c>
      <c r="AA28" s="265" t="s">
        <v>69</v>
      </c>
      <c r="AB28" s="265"/>
      <c r="AC28" s="257">
        <v>12</v>
      </c>
      <c r="AD28" s="266"/>
      <c r="AE28" s="258"/>
      <c r="AF28" s="259">
        <f>MIN(AC28,3)</f>
        <v>3</v>
      </c>
      <c r="AG28" s="262">
        <f>AF28</f>
        <v>3</v>
      </c>
      <c r="AH28" s="262">
        <f>AF28</f>
        <v>3</v>
      </c>
      <c r="AI28" s="262">
        <f>AF28</f>
        <v>3</v>
      </c>
      <c r="AJ28" s="263">
        <f>AF28</f>
        <v>3</v>
      </c>
      <c r="AK28" s="263"/>
      <c r="AL28" s="263">
        <f>AF28</f>
        <v>3</v>
      </c>
      <c r="AM28" s="263"/>
      <c r="AN28" s="267"/>
      <c r="AO28" s="267"/>
      <c r="AP28" s="267"/>
      <c r="AQ28" s="267"/>
      <c r="AR28" s="267"/>
      <c r="AS28" s="261"/>
    </row>
    <row r="29" s="63" customFormat="1" spans="1:45">
      <c r="A29" s="130" t="s">
        <v>26</v>
      </c>
      <c r="B29" s="73">
        <v>4</v>
      </c>
      <c r="C29" s="73" t="s">
        <v>70</v>
      </c>
      <c r="D29" s="18" t="s">
        <v>71</v>
      </c>
      <c r="E29" s="18"/>
      <c r="F29" s="257">
        <v>12</v>
      </c>
      <c r="G29" s="266"/>
      <c r="H29" s="258"/>
      <c r="I29" s="259"/>
      <c r="J29" s="262">
        <f t="shared" si="31"/>
        <v>12</v>
      </c>
      <c r="K29" s="262">
        <f t="shared" si="32"/>
        <v>12</v>
      </c>
      <c r="L29" s="262">
        <f t="shared" si="33"/>
        <v>12</v>
      </c>
      <c r="M29" s="263">
        <f t="shared" si="34"/>
        <v>12</v>
      </c>
      <c r="N29" s="263"/>
      <c r="O29" s="263">
        <f t="shared" si="35"/>
        <v>12</v>
      </c>
      <c r="P29" s="263"/>
      <c r="Q29" s="267"/>
      <c r="R29" s="267"/>
      <c r="S29" s="267"/>
      <c r="T29" s="267"/>
      <c r="U29" s="267"/>
      <c r="V29" s="260"/>
      <c r="W29" s="189"/>
      <c r="X29" s="161" t="s">
        <v>26</v>
      </c>
      <c r="Y29" s="73">
        <v>4</v>
      </c>
      <c r="Z29" s="73" t="s">
        <v>70</v>
      </c>
      <c r="AA29" s="18" t="s">
        <v>71</v>
      </c>
      <c r="AB29" s="18"/>
      <c r="AC29" s="257">
        <v>12</v>
      </c>
      <c r="AD29" s="266"/>
      <c r="AE29" s="258"/>
      <c r="AF29" s="259"/>
      <c r="AG29" s="262">
        <f t="shared" si="36"/>
        <v>12</v>
      </c>
      <c r="AH29" s="262">
        <f t="shared" si="37"/>
        <v>12</v>
      </c>
      <c r="AI29" s="262">
        <f t="shared" si="38"/>
        <v>12</v>
      </c>
      <c r="AJ29" s="263">
        <f t="shared" si="39"/>
        <v>12</v>
      </c>
      <c r="AK29" s="263"/>
      <c r="AL29" s="263">
        <f t="shared" si="40"/>
        <v>12</v>
      </c>
      <c r="AM29" s="263"/>
      <c r="AN29" s="267"/>
      <c r="AO29" s="267"/>
      <c r="AP29" s="267"/>
      <c r="AQ29" s="267"/>
      <c r="AR29" s="267"/>
      <c r="AS29" s="261"/>
    </row>
    <row r="30" s="63" customFormat="1" spans="1:45">
      <c r="A30" s="130" t="s">
        <v>26</v>
      </c>
      <c r="B30" s="73">
        <v>5</v>
      </c>
      <c r="C30" s="73" t="s">
        <v>72</v>
      </c>
      <c r="D30" s="18" t="s">
        <v>73</v>
      </c>
      <c r="E30" s="18"/>
      <c r="F30" s="257">
        <v>12</v>
      </c>
      <c r="G30" s="266"/>
      <c r="H30" s="258"/>
      <c r="I30" s="259"/>
      <c r="J30" s="262">
        <f t="shared" si="31"/>
        <v>12</v>
      </c>
      <c r="K30" s="262">
        <f t="shared" si="32"/>
        <v>12</v>
      </c>
      <c r="L30" s="262">
        <f t="shared" si="33"/>
        <v>12</v>
      </c>
      <c r="M30" s="263">
        <f t="shared" si="34"/>
        <v>12</v>
      </c>
      <c r="N30" s="263"/>
      <c r="O30" s="263">
        <f t="shared" si="35"/>
        <v>12</v>
      </c>
      <c r="P30" s="263"/>
      <c r="Q30" s="267"/>
      <c r="R30" s="267"/>
      <c r="S30" s="267"/>
      <c r="T30" s="267"/>
      <c r="U30" s="267"/>
      <c r="V30" s="260"/>
      <c r="W30" s="189"/>
      <c r="X30" s="161" t="s">
        <v>26</v>
      </c>
      <c r="Y30" s="73">
        <v>5</v>
      </c>
      <c r="Z30" s="73" t="s">
        <v>72</v>
      </c>
      <c r="AA30" s="18" t="s">
        <v>73</v>
      </c>
      <c r="AB30" s="18"/>
      <c r="AC30" s="257">
        <v>12</v>
      </c>
      <c r="AD30" s="266"/>
      <c r="AE30" s="258"/>
      <c r="AF30" s="259"/>
      <c r="AG30" s="262">
        <f t="shared" si="36"/>
        <v>12</v>
      </c>
      <c r="AH30" s="262">
        <f t="shared" si="37"/>
        <v>12</v>
      </c>
      <c r="AI30" s="262">
        <f t="shared" si="38"/>
        <v>12</v>
      </c>
      <c r="AJ30" s="263">
        <f t="shared" si="39"/>
        <v>12</v>
      </c>
      <c r="AK30" s="263"/>
      <c r="AL30" s="263">
        <f t="shared" si="40"/>
        <v>12</v>
      </c>
      <c r="AM30" s="263"/>
      <c r="AN30" s="267"/>
      <c r="AO30" s="267"/>
      <c r="AP30" s="267"/>
      <c r="AQ30" s="267"/>
      <c r="AR30" s="267"/>
      <c r="AS30" s="261"/>
    </row>
    <row r="31" s="63" customFormat="1" spans="1:45">
      <c r="A31" s="130" t="s">
        <v>26</v>
      </c>
      <c r="B31" s="73">
        <v>6</v>
      </c>
      <c r="C31" s="73" t="s">
        <v>74</v>
      </c>
      <c r="D31" s="268" t="s">
        <v>75</v>
      </c>
      <c r="E31" s="268"/>
      <c r="F31" s="257">
        <v>12</v>
      </c>
      <c r="G31" s="266"/>
      <c r="H31" s="258"/>
      <c r="I31" s="259"/>
      <c r="J31" s="262">
        <f t="shared" si="31"/>
        <v>12</v>
      </c>
      <c r="K31" s="262">
        <f t="shared" si="32"/>
        <v>12</v>
      </c>
      <c r="L31" s="262">
        <f t="shared" si="33"/>
        <v>12</v>
      </c>
      <c r="M31" s="263">
        <f t="shared" si="34"/>
        <v>12</v>
      </c>
      <c r="N31" s="263"/>
      <c r="O31" s="263">
        <f t="shared" si="35"/>
        <v>12</v>
      </c>
      <c r="P31" s="263"/>
      <c r="Q31" s="267">
        <f t="shared" ref="Q31:Q33" si="41">F31</f>
        <v>12</v>
      </c>
      <c r="R31" s="267">
        <f t="shared" ref="R31:R33" si="42">F31*3</f>
        <v>36</v>
      </c>
      <c r="S31" s="267">
        <f t="shared" ref="S31:S33" si="43">F31*3</f>
        <v>36</v>
      </c>
      <c r="T31" s="267">
        <f t="shared" ref="T31:T33" si="44">F31*3</f>
        <v>36</v>
      </c>
      <c r="U31" s="267">
        <f t="shared" ref="U31:U33" si="45">F31*3</f>
        <v>36</v>
      </c>
      <c r="V31" s="260"/>
      <c r="W31" s="189"/>
      <c r="X31" s="161" t="s">
        <v>26</v>
      </c>
      <c r="Y31" s="73">
        <v>6</v>
      </c>
      <c r="Z31" s="73" t="s">
        <v>74</v>
      </c>
      <c r="AA31" s="268" t="s">
        <v>75</v>
      </c>
      <c r="AB31" s="268"/>
      <c r="AC31" s="257">
        <v>12</v>
      </c>
      <c r="AD31" s="266"/>
      <c r="AE31" s="258"/>
      <c r="AF31" s="259"/>
      <c r="AG31" s="262">
        <f t="shared" si="36"/>
        <v>12</v>
      </c>
      <c r="AH31" s="262">
        <f t="shared" si="37"/>
        <v>12</v>
      </c>
      <c r="AI31" s="262">
        <f t="shared" si="38"/>
        <v>12</v>
      </c>
      <c r="AJ31" s="263">
        <f t="shared" si="39"/>
        <v>12</v>
      </c>
      <c r="AK31" s="263"/>
      <c r="AL31" s="263">
        <f t="shared" si="40"/>
        <v>12</v>
      </c>
      <c r="AM31" s="263"/>
      <c r="AN31" s="267">
        <f t="shared" ref="AN31:AN33" si="46">AC31</f>
        <v>12</v>
      </c>
      <c r="AO31" s="267">
        <f t="shared" ref="AO31:AO33" si="47">AC31*3</f>
        <v>36</v>
      </c>
      <c r="AP31" s="267">
        <f t="shared" ref="AP31:AP33" si="48">AC31*3</f>
        <v>36</v>
      </c>
      <c r="AQ31" s="267">
        <f t="shared" ref="AQ31:AQ33" si="49">AC31*3</f>
        <v>36</v>
      </c>
      <c r="AR31" s="267">
        <f t="shared" ref="AR31:AR33" si="50">AC31*3</f>
        <v>36</v>
      </c>
      <c r="AS31" s="261"/>
    </row>
    <row r="32" s="63" customFormat="1" spans="1:45">
      <c r="A32" s="130" t="s">
        <v>26</v>
      </c>
      <c r="B32" s="73">
        <v>7</v>
      </c>
      <c r="C32" s="73" t="s">
        <v>76</v>
      </c>
      <c r="D32" s="268" t="s">
        <v>77</v>
      </c>
      <c r="E32" s="268"/>
      <c r="F32" s="257">
        <v>12</v>
      </c>
      <c r="G32" s="266"/>
      <c r="H32" s="258"/>
      <c r="I32" s="259"/>
      <c r="J32" s="262">
        <f t="shared" si="31"/>
        <v>12</v>
      </c>
      <c r="K32" s="262">
        <f t="shared" si="32"/>
        <v>12</v>
      </c>
      <c r="L32" s="262">
        <f t="shared" si="33"/>
        <v>12</v>
      </c>
      <c r="M32" s="263">
        <f t="shared" si="34"/>
        <v>12</v>
      </c>
      <c r="N32" s="263"/>
      <c r="O32" s="263">
        <f t="shared" si="35"/>
        <v>12</v>
      </c>
      <c r="P32" s="263"/>
      <c r="Q32" s="267">
        <f t="shared" si="41"/>
        <v>12</v>
      </c>
      <c r="R32" s="267">
        <f t="shared" si="42"/>
        <v>36</v>
      </c>
      <c r="S32" s="267">
        <f t="shared" si="43"/>
        <v>36</v>
      </c>
      <c r="T32" s="267">
        <f t="shared" si="44"/>
        <v>36</v>
      </c>
      <c r="U32" s="267">
        <f t="shared" si="45"/>
        <v>36</v>
      </c>
      <c r="V32" s="260"/>
      <c r="W32" s="189"/>
      <c r="X32" s="161" t="s">
        <v>26</v>
      </c>
      <c r="Y32" s="73">
        <v>7</v>
      </c>
      <c r="Z32" s="73" t="s">
        <v>76</v>
      </c>
      <c r="AA32" s="268" t="s">
        <v>77</v>
      </c>
      <c r="AB32" s="268"/>
      <c r="AC32" s="257">
        <v>12</v>
      </c>
      <c r="AD32" s="266"/>
      <c r="AE32" s="258"/>
      <c r="AF32" s="259"/>
      <c r="AG32" s="262">
        <f t="shared" si="36"/>
        <v>12</v>
      </c>
      <c r="AH32" s="262">
        <f t="shared" si="37"/>
        <v>12</v>
      </c>
      <c r="AI32" s="262">
        <f t="shared" si="38"/>
        <v>12</v>
      </c>
      <c r="AJ32" s="263">
        <f t="shared" si="39"/>
        <v>12</v>
      </c>
      <c r="AK32" s="263"/>
      <c r="AL32" s="263">
        <f t="shared" si="40"/>
        <v>12</v>
      </c>
      <c r="AM32" s="263"/>
      <c r="AN32" s="267">
        <f t="shared" si="46"/>
        <v>12</v>
      </c>
      <c r="AO32" s="267">
        <f t="shared" si="47"/>
        <v>36</v>
      </c>
      <c r="AP32" s="267">
        <f t="shared" si="48"/>
        <v>36</v>
      </c>
      <c r="AQ32" s="267">
        <f t="shared" si="49"/>
        <v>36</v>
      </c>
      <c r="AR32" s="267">
        <f t="shared" si="50"/>
        <v>36</v>
      </c>
      <c r="AS32" s="261"/>
    </row>
    <row r="33" s="63" customFormat="1" spans="1:45">
      <c r="A33" s="73" t="s">
        <v>26</v>
      </c>
      <c r="B33" s="73">
        <v>8</v>
      </c>
      <c r="C33" s="73" t="s">
        <v>78</v>
      </c>
      <c r="D33" s="268" t="s">
        <v>79</v>
      </c>
      <c r="E33" s="268"/>
      <c r="F33" s="257">
        <v>12</v>
      </c>
      <c r="G33" s="266"/>
      <c r="H33" s="258"/>
      <c r="I33" s="259"/>
      <c r="J33" s="262">
        <f t="shared" si="31"/>
        <v>12</v>
      </c>
      <c r="K33" s="262">
        <f t="shared" si="32"/>
        <v>12</v>
      </c>
      <c r="L33" s="262">
        <f t="shared" si="33"/>
        <v>12</v>
      </c>
      <c r="M33" s="263">
        <f t="shared" si="34"/>
        <v>12</v>
      </c>
      <c r="N33" s="263"/>
      <c r="O33" s="263">
        <f t="shared" si="35"/>
        <v>12</v>
      </c>
      <c r="P33" s="263"/>
      <c r="Q33" s="267">
        <f t="shared" si="41"/>
        <v>12</v>
      </c>
      <c r="R33" s="267">
        <f t="shared" si="42"/>
        <v>36</v>
      </c>
      <c r="S33" s="267">
        <f t="shared" si="43"/>
        <v>36</v>
      </c>
      <c r="T33" s="267">
        <f t="shared" si="44"/>
        <v>36</v>
      </c>
      <c r="U33" s="267">
        <f t="shared" si="45"/>
        <v>36</v>
      </c>
      <c r="V33" s="260"/>
      <c r="W33" s="189"/>
      <c r="X33" s="161" t="s">
        <v>26</v>
      </c>
      <c r="Y33" s="73">
        <v>8</v>
      </c>
      <c r="Z33" s="73" t="s">
        <v>78</v>
      </c>
      <c r="AA33" s="268" t="s">
        <v>79</v>
      </c>
      <c r="AB33" s="268"/>
      <c r="AC33" s="257">
        <v>12</v>
      </c>
      <c r="AD33" s="266"/>
      <c r="AE33" s="258"/>
      <c r="AF33" s="259"/>
      <c r="AG33" s="262">
        <f t="shared" si="36"/>
        <v>12</v>
      </c>
      <c r="AH33" s="262">
        <f t="shared" si="37"/>
        <v>12</v>
      </c>
      <c r="AI33" s="262">
        <f t="shared" si="38"/>
        <v>12</v>
      </c>
      <c r="AJ33" s="263">
        <f t="shared" si="39"/>
        <v>12</v>
      </c>
      <c r="AK33" s="263"/>
      <c r="AL33" s="263">
        <f t="shared" si="40"/>
        <v>12</v>
      </c>
      <c r="AM33" s="263"/>
      <c r="AN33" s="267">
        <f t="shared" si="46"/>
        <v>12</v>
      </c>
      <c r="AO33" s="267">
        <f t="shared" si="47"/>
        <v>36</v>
      </c>
      <c r="AP33" s="267">
        <f t="shared" si="48"/>
        <v>36</v>
      </c>
      <c r="AQ33" s="267">
        <f t="shared" si="49"/>
        <v>36</v>
      </c>
      <c r="AR33" s="267">
        <f t="shared" si="50"/>
        <v>36</v>
      </c>
      <c r="AS33" s="261"/>
    </row>
    <row r="34" s="63" customFormat="1" spans="1:45">
      <c r="A34" s="73" t="s">
        <v>26</v>
      </c>
      <c r="B34" s="73">
        <v>9</v>
      </c>
      <c r="C34" s="73" t="s">
        <v>80</v>
      </c>
      <c r="D34" s="18" t="s">
        <v>81</v>
      </c>
      <c r="E34" s="18"/>
      <c r="F34" s="257">
        <v>12</v>
      </c>
      <c r="G34" s="266"/>
      <c r="H34" s="258"/>
      <c r="I34" s="259"/>
      <c r="J34" s="262">
        <f t="shared" si="31"/>
        <v>12</v>
      </c>
      <c r="K34" s="262">
        <f t="shared" si="32"/>
        <v>12</v>
      </c>
      <c r="L34" s="262">
        <f t="shared" si="33"/>
        <v>12</v>
      </c>
      <c r="M34" s="263">
        <f t="shared" si="34"/>
        <v>12</v>
      </c>
      <c r="N34" s="263"/>
      <c r="O34" s="263">
        <f t="shared" si="35"/>
        <v>12</v>
      </c>
      <c r="P34" s="263"/>
      <c r="Q34" s="267"/>
      <c r="R34" s="267"/>
      <c r="S34" s="267"/>
      <c r="T34" s="267"/>
      <c r="U34" s="267"/>
      <c r="V34" s="260"/>
      <c r="W34" s="189"/>
      <c r="X34" s="161" t="s">
        <v>26</v>
      </c>
      <c r="Y34" s="73">
        <v>9</v>
      </c>
      <c r="Z34" s="73" t="s">
        <v>80</v>
      </c>
      <c r="AA34" s="18" t="s">
        <v>81</v>
      </c>
      <c r="AB34" s="18"/>
      <c r="AC34" s="257">
        <v>12</v>
      </c>
      <c r="AD34" s="266"/>
      <c r="AE34" s="258"/>
      <c r="AF34" s="259"/>
      <c r="AG34" s="262">
        <f t="shared" si="36"/>
        <v>12</v>
      </c>
      <c r="AH34" s="262">
        <f t="shared" si="37"/>
        <v>12</v>
      </c>
      <c r="AI34" s="262">
        <f t="shared" si="38"/>
        <v>12</v>
      </c>
      <c r="AJ34" s="263">
        <f t="shared" si="39"/>
        <v>12</v>
      </c>
      <c r="AK34" s="263"/>
      <c r="AL34" s="263">
        <f t="shared" si="40"/>
        <v>12</v>
      </c>
      <c r="AM34" s="263"/>
      <c r="AN34" s="267"/>
      <c r="AO34" s="267"/>
      <c r="AP34" s="267"/>
      <c r="AQ34" s="267"/>
      <c r="AR34" s="267"/>
      <c r="AS34" s="261"/>
    </row>
    <row r="35" s="63" customFormat="1" spans="1:45">
      <c r="A35" s="85" t="s">
        <v>26</v>
      </c>
      <c r="B35" s="85">
        <v>10</v>
      </c>
      <c r="C35" s="264" t="s">
        <v>82</v>
      </c>
      <c r="D35" s="265" t="s">
        <v>83</v>
      </c>
      <c r="E35" s="265"/>
      <c r="F35" s="257">
        <v>12</v>
      </c>
      <c r="G35" s="266"/>
      <c r="H35" s="258"/>
      <c r="I35" s="259"/>
      <c r="J35" s="262">
        <f t="shared" ref="J35:J40" si="51">IF(F35&gt;0,1,0)</f>
        <v>1</v>
      </c>
      <c r="K35" s="262">
        <f>IF(F35&gt;0,1,0)</f>
        <v>1</v>
      </c>
      <c r="L35" s="262">
        <f>IF(F35&gt;0,1,0)</f>
        <v>1</v>
      </c>
      <c r="M35" s="263">
        <f t="shared" ref="M35:M40" si="52">IF(F35&gt;0,1,0)</f>
        <v>1</v>
      </c>
      <c r="N35" s="263"/>
      <c r="O35" s="263">
        <f t="shared" ref="O35:O40" si="53">IF(F35&gt;0,1,0)</f>
        <v>1</v>
      </c>
      <c r="P35" s="263"/>
      <c r="Q35" s="267"/>
      <c r="R35" s="267"/>
      <c r="S35" s="267"/>
      <c r="T35" s="267"/>
      <c r="U35" s="267"/>
      <c r="V35" s="260"/>
      <c r="W35" s="189"/>
      <c r="X35" s="269" t="s">
        <v>26</v>
      </c>
      <c r="Y35" s="85">
        <v>10</v>
      </c>
      <c r="Z35" s="264" t="s">
        <v>82</v>
      </c>
      <c r="AA35" s="265" t="s">
        <v>83</v>
      </c>
      <c r="AB35" s="265"/>
      <c r="AC35" s="257">
        <v>12</v>
      </c>
      <c r="AD35" s="266"/>
      <c r="AE35" s="258"/>
      <c r="AF35" s="259"/>
      <c r="AG35" s="262">
        <f t="shared" ref="AG35:AG40" si="54">IF(AC35&gt;0,1,0)</f>
        <v>1</v>
      </c>
      <c r="AH35" s="262">
        <f t="shared" si="37"/>
        <v>12</v>
      </c>
      <c r="AI35" s="262">
        <f t="shared" si="38"/>
        <v>12</v>
      </c>
      <c r="AJ35" s="263">
        <f t="shared" ref="AJ35:AJ40" si="55">IF(AC35&gt;0,1,0)</f>
        <v>1</v>
      </c>
      <c r="AK35" s="263"/>
      <c r="AL35" s="263">
        <f t="shared" si="40"/>
        <v>12</v>
      </c>
      <c r="AM35" s="263"/>
      <c r="AN35" s="267"/>
      <c r="AO35" s="267"/>
      <c r="AP35" s="267"/>
      <c r="AQ35" s="267"/>
      <c r="AR35" s="267"/>
      <c r="AS35" s="261"/>
    </row>
    <row r="36" s="63" customFormat="1" spans="1:45">
      <c r="A36" s="85" t="s">
        <v>26</v>
      </c>
      <c r="B36" s="85">
        <v>11</v>
      </c>
      <c r="C36" s="73" t="s">
        <v>66</v>
      </c>
      <c r="D36" s="18" t="s">
        <v>67</v>
      </c>
      <c r="E36" s="18"/>
      <c r="F36" s="257">
        <v>12</v>
      </c>
      <c r="G36" s="266"/>
      <c r="H36" s="258"/>
      <c r="I36" s="259"/>
      <c r="J36" s="262">
        <f>F36</f>
        <v>12</v>
      </c>
      <c r="K36" s="262">
        <f>F36</f>
        <v>12</v>
      </c>
      <c r="L36" s="262">
        <f>F36</f>
        <v>12</v>
      </c>
      <c r="M36" s="263">
        <f>F36</f>
        <v>12</v>
      </c>
      <c r="N36" s="263"/>
      <c r="O36" s="263">
        <f>F36</f>
        <v>12</v>
      </c>
      <c r="P36" s="263"/>
      <c r="Q36" s="267"/>
      <c r="R36" s="267"/>
      <c r="S36" s="267"/>
      <c r="T36" s="267"/>
      <c r="U36" s="267"/>
      <c r="V36" s="260"/>
      <c r="W36" s="189"/>
      <c r="X36" s="269" t="s">
        <v>26</v>
      </c>
      <c r="Y36" s="85">
        <v>11</v>
      </c>
      <c r="Z36" s="73" t="s">
        <v>66</v>
      </c>
      <c r="AA36" s="18" t="s">
        <v>67</v>
      </c>
      <c r="AB36" s="18"/>
      <c r="AC36" s="257">
        <v>12</v>
      </c>
      <c r="AD36" s="266"/>
      <c r="AE36" s="258"/>
      <c r="AF36" s="259"/>
      <c r="AG36" s="262">
        <f>AC36</f>
        <v>12</v>
      </c>
      <c r="AH36" s="262">
        <f t="shared" si="37"/>
        <v>12</v>
      </c>
      <c r="AI36" s="262">
        <f t="shared" si="38"/>
        <v>12</v>
      </c>
      <c r="AJ36" s="263">
        <f>AC36</f>
        <v>12</v>
      </c>
      <c r="AK36" s="263"/>
      <c r="AL36" s="263">
        <f t="shared" si="40"/>
        <v>12</v>
      </c>
      <c r="AM36" s="263"/>
      <c r="AN36" s="267"/>
      <c r="AO36" s="267"/>
      <c r="AP36" s="267"/>
      <c r="AQ36" s="267"/>
      <c r="AR36" s="267"/>
      <c r="AS36" s="261"/>
    </row>
    <row r="37" s="63" customFormat="1" spans="1:45">
      <c r="A37" s="85" t="s">
        <v>26</v>
      </c>
      <c r="B37" s="85">
        <v>12</v>
      </c>
      <c r="C37" s="264" t="s">
        <v>84</v>
      </c>
      <c r="D37" s="265" t="s">
        <v>85</v>
      </c>
      <c r="E37" s="265"/>
      <c r="F37" s="257">
        <v>12</v>
      </c>
      <c r="G37" s="266"/>
      <c r="H37" s="258">
        <f>IF(F37=0,0,IF(F37&lt;6,3,6))</f>
        <v>6</v>
      </c>
      <c r="I37" s="259"/>
      <c r="J37" s="262">
        <f>H37</f>
        <v>6</v>
      </c>
      <c r="K37" s="262">
        <f t="shared" ref="K37:K40" si="56">H37</f>
        <v>6</v>
      </c>
      <c r="L37" s="262">
        <f t="shared" ref="L37:L40" si="57">H37</f>
        <v>6</v>
      </c>
      <c r="M37" s="263"/>
      <c r="N37" s="263">
        <f>H37</f>
        <v>6</v>
      </c>
      <c r="O37" s="263"/>
      <c r="P37" s="263">
        <f>H37</f>
        <v>6</v>
      </c>
      <c r="Q37" s="267"/>
      <c r="R37" s="267"/>
      <c r="S37" s="267"/>
      <c r="T37" s="267"/>
      <c r="U37" s="267"/>
      <c r="V37" s="260"/>
      <c r="W37" s="189"/>
      <c r="X37" s="269" t="s">
        <v>26</v>
      </c>
      <c r="Y37" s="85">
        <v>12</v>
      </c>
      <c r="Z37" s="264" t="s">
        <v>84</v>
      </c>
      <c r="AA37" s="265" t="s">
        <v>85</v>
      </c>
      <c r="AB37" s="265"/>
      <c r="AC37" s="257">
        <v>12</v>
      </c>
      <c r="AD37" s="266"/>
      <c r="AE37" s="258">
        <f>IF(AC37=0,0,IF(AC37&lt;6,3,6))</f>
        <v>6</v>
      </c>
      <c r="AF37" s="259"/>
      <c r="AG37" s="262">
        <f>AE37</f>
        <v>6</v>
      </c>
      <c r="AH37" s="262">
        <f t="shared" ref="AH37:AH40" si="58">AE37</f>
        <v>6</v>
      </c>
      <c r="AI37" s="262">
        <f t="shared" ref="AI37:AI40" si="59">AE37</f>
        <v>6</v>
      </c>
      <c r="AJ37" s="263"/>
      <c r="AK37" s="263">
        <f>AE37</f>
        <v>6</v>
      </c>
      <c r="AL37" s="263"/>
      <c r="AM37" s="263">
        <f>AE37</f>
        <v>6</v>
      </c>
      <c r="AN37" s="267"/>
      <c r="AO37" s="267"/>
      <c r="AP37" s="267"/>
      <c r="AQ37" s="267"/>
      <c r="AR37" s="267"/>
      <c r="AS37" s="261"/>
    </row>
    <row r="38" s="63" customFormat="1" spans="1:45">
      <c r="A38" s="85" t="s">
        <v>26</v>
      </c>
      <c r="B38" s="85">
        <v>13</v>
      </c>
      <c r="C38" s="264" t="s">
        <v>86</v>
      </c>
      <c r="D38" s="265" t="s">
        <v>87</v>
      </c>
      <c r="E38" s="265"/>
      <c r="F38" s="257">
        <v>14</v>
      </c>
      <c r="G38" s="266"/>
      <c r="H38" s="258"/>
      <c r="I38" s="259"/>
      <c r="J38" s="262">
        <f t="shared" si="51"/>
        <v>1</v>
      </c>
      <c r="K38" s="262">
        <f t="shared" ref="K38:K42" si="60">J38</f>
        <v>1</v>
      </c>
      <c r="L38" s="262">
        <f t="shared" ref="L38:L42" si="61">J38</f>
        <v>1</v>
      </c>
      <c r="M38" s="263">
        <f t="shared" si="52"/>
        <v>1</v>
      </c>
      <c r="N38" s="263"/>
      <c r="O38" s="263">
        <f t="shared" si="53"/>
        <v>1</v>
      </c>
      <c r="P38" s="263"/>
      <c r="Q38" s="267"/>
      <c r="R38" s="267"/>
      <c r="S38" s="267"/>
      <c r="T38" s="267"/>
      <c r="U38" s="267"/>
      <c r="V38" s="260"/>
      <c r="W38" s="189"/>
      <c r="X38" s="269" t="s">
        <v>26</v>
      </c>
      <c r="Y38" s="85">
        <v>13</v>
      </c>
      <c r="Z38" s="264" t="s">
        <v>86</v>
      </c>
      <c r="AA38" s="265" t="s">
        <v>87</v>
      </c>
      <c r="AB38" s="265"/>
      <c r="AC38" s="257">
        <v>14</v>
      </c>
      <c r="AD38" s="266"/>
      <c r="AE38" s="258"/>
      <c r="AF38" s="259"/>
      <c r="AG38" s="262">
        <f t="shared" si="54"/>
        <v>1</v>
      </c>
      <c r="AH38" s="262">
        <f t="shared" ref="AH38:AH42" si="62">AG38</f>
        <v>1</v>
      </c>
      <c r="AI38" s="262">
        <f t="shared" ref="AI38:AI42" si="63">AG38</f>
        <v>1</v>
      </c>
      <c r="AJ38" s="263">
        <f t="shared" si="55"/>
        <v>1</v>
      </c>
      <c r="AK38" s="263"/>
      <c r="AL38" s="263">
        <f t="shared" ref="AL38:AL42" si="64">IF(AC38&gt;0,1,0)</f>
        <v>1</v>
      </c>
      <c r="AM38" s="263"/>
      <c r="AN38" s="267"/>
      <c r="AO38" s="267"/>
      <c r="AP38" s="267"/>
      <c r="AQ38" s="267"/>
      <c r="AR38" s="267"/>
      <c r="AS38" s="261"/>
    </row>
    <row r="39" s="63" customFormat="1" spans="1:45">
      <c r="A39" s="85" t="s">
        <v>26</v>
      </c>
      <c r="B39" s="85">
        <v>14</v>
      </c>
      <c r="C39" s="264" t="s">
        <v>88</v>
      </c>
      <c r="D39" s="265" t="s">
        <v>89</v>
      </c>
      <c r="E39" s="265"/>
      <c r="F39" s="257">
        <v>12</v>
      </c>
      <c r="G39" s="266"/>
      <c r="H39" s="258">
        <f>IF(F39=0,0,IF(F39&lt;6,3,6))</f>
        <v>6</v>
      </c>
      <c r="I39" s="259"/>
      <c r="J39" s="262">
        <f>H39</f>
        <v>6</v>
      </c>
      <c r="K39" s="262">
        <f t="shared" si="56"/>
        <v>6</v>
      </c>
      <c r="L39" s="262">
        <f t="shared" si="57"/>
        <v>6</v>
      </c>
      <c r="M39" s="263"/>
      <c r="N39" s="263">
        <f>H39</f>
        <v>6</v>
      </c>
      <c r="O39" s="263"/>
      <c r="P39" s="263">
        <f>H39</f>
        <v>6</v>
      </c>
      <c r="Q39" s="267"/>
      <c r="R39" s="267"/>
      <c r="S39" s="267"/>
      <c r="T39" s="267"/>
      <c r="U39" s="267"/>
      <c r="V39" s="260"/>
      <c r="W39" s="189"/>
      <c r="X39" s="269" t="s">
        <v>26</v>
      </c>
      <c r="Y39" s="85">
        <v>14</v>
      </c>
      <c r="Z39" s="264" t="s">
        <v>88</v>
      </c>
      <c r="AA39" s="265" t="s">
        <v>89</v>
      </c>
      <c r="AB39" s="265"/>
      <c r="AC39" s="257">
        <v>12</v>
      </c>
      <c r="AD39" s="266"/>
      <c r="AE39" s="258">
        <f>IF(AC39=0,0,IF(AC39&lt;6,3,6))</f>
        <v>6</v>
      </c>
      <c r="AF39" s="259"/>
      <c r="AG39" s="262">
        <f>AE39</f>
        <v>6</v>
      </c>
      <c r="AH39" s="262">
        <f t="shared" si="58"/>
        <v>6</v>
      </c>
      <c r="AI39" s="262">
        <f t="shared" si="59"/>
        <v>6</v>
      </c>
      <c r="AJ39" s="263"/>
      <c r="AK39" s="263">
        <f>AE39</f>
        <v>6</v>
      </c>
      <c r="AL39" s="263"/>
      <c r="AM39" s="263">
        <f>AE39</f>
        <v>6</v>
      </c>
      <c r="AN39" s="267"/>
      <c r="AO39" s="267"/>
      <c r="AP39" s="267"/>
      <c r="AQ39" s="267"/>
      <c r="AR39" s="267"/>
      <c r="AS39" s="261"/>
    </row>
    <row r="40" s="63" customFormat="1" spans="1:45">
      <c r="A40" s="85" t="s">
        <v>26</v>
      </c>
      <c r="B40" s="85">
        <v>15</v>
      </c>
      <c r="C40" s="264" t="s">
        <v>90</v>
      </c>
      <c r="D40" s="265" t="s">
        <v>91</v>
      </c>
      <c r="E40" s="265"/>
      <c r="F40" s="257">
        <v>12</v>
      </c>
      <c r="G40" s="266"/>
      <c r="H40" s="258">
        <v>1</v>
      </c>
      <c r="I40" s="259"/>
      <c r="J40" s="262">
        <f t="shared" si="51"/>
        <v>1</v>
      </c>
      <c r="K40" s="262">
        <f t="shared" si="56"/>
        <v>1</v>
      </c>
      <c r="L40" s="262">
        <f t="shared" si="57"/>
        <v>1</v>
      </c>
      <c r="M40" s="263">
        <f t="shared" si="52"/>
        <v>1</v>
      </c>
      <c r="N40" s="263"/>
      <c r="O40" s="263">
        <f t="shared" si="53"/>
        <v>1</v>
      </c>
      <c r="P40" s="263"/>
      <c r="Q40" s="267"/>
      <c r="R40" s="267"/>
      <c r="S40" s="267"/>
      <c r="T40" s="267"/>
      <c r="U40" s="267"/>
      <c r="V40" s="260"/>
      <c r="W40" s="189"/>
      <c r="X40" s="269" t="s">
        <v>26</v>
      </c>
      <c r="Y40" s="85">
        <v>15</v>
      </c>
      <c r="Z40" s="264" t="s">
        <v>90</v>
      </c>
      <c r="AA40" s="265" t="s">
        <v>91</v>
      </c>
      <c r="AB40" s="265"/>
      <c r="AC40" s="257">
        <v>12</v>
      </c>
      <c r="AD40" s="266"/>
      <c r="AE40" s="258">
        <v>1</v>
      </c>
      <c r="AF40" s="259"/>
      <c r="AG40" s="262">
        <f t="shared" si="54"/>
        <v>1</v>
      </c>
      <c r="AH40" s="262">
        <f t="shared" si="58"/>
        <v>1</v>
      </c>
      <c r="AI40" s="262">
        <f t="shared" si="59"/>
        <v>1</v>
      </c>
      <c r="AJ40" s="263">
        <f t="shared" si="55"/>
        <v>1</v>
      </c>
      <c r="AK40" s="263"/>
      <c r="AL40" s="263">
        <f t="shared" si="64"/>
        <v>1</v>
      </c>
      <c r="AM40" s="263"/>
      <c r="AN40" s="267"/>
      <c r="AO40" s="267"/>
      <c r="AP40" s="267"/>
      <c r="AQ40" s="267"/>
      <c r="AR40" s="267"/>
      <c r="AS40" s="261"/>
    </row>
    <row r="41" s="63" customFormat="1" spans="1:45">
      <c r="A41" s="85" t="s">
        <v>26</v>
      </c>
      <c r="B41" s="85">
        <v>16</v>
      </c>
      <c r="C41" s="73" t="s">
        <v>92</v>
      </c>
      <c r="D41" s="268" t="s">
        <v>93</v>
      </c>
      <c r="E41" s="268"/>
      <c r="F41" s="257">
        <v>12</v>
      </c>
      <c r="G41" s="266"/>
      <c r="H41" s="258"/>
      <c r="I41" s="259"/>
      <c r="J41" s="262">
        <f>F41</f>
        <v>12</v>
      </c>
      <c r="K41" s="262">
        <f t="shared" si="60"/>
        <v>12</v>
      </c>
      <c r="L41" s="262">
        <f t="shared" si="61"/>
        <v>12</v>
      </c>
      <c r="M41" s="263">
        <f>F41</f>
        <v>12</v>
      </c>
      <c r="N41" s="263"/>
      <c r="O41" s="263">
        <f t="shared" ref="O41:O44" si="65">M41</f>
        <v>12</v>
      </c>
      <c r="P41" s="263"/>
      <c r="Q41" s="267">
        <f>F41</f>
        <v>12</v>
      </c>
      <c r="R41" s="267">
        <f>F41*3</f>
        <v>36</v>
      </c>
      <c r="S41" s="267">
        <f>F41*3</f>
        <v>36</v>
      </c>
      <c r="T41" s="267">
        <f>F41*3</f>
        <v>36</v>
      </c>
      <c r="U41" s="267">
        <f>F41*3</f>
        <v>36</v>
      </c>
      <c r="V41" s="260"/>
      <c r="W41" s="189"/>
      <c r="X41" s="269" t="s">
        <v>26</v>
      </c>
      <c r="Y41" s="85">
        <v>16</v>
      </c>
      <c r="Z41" s="73" t="s">
        <v>92</v>
      </c>
      <c r="AA41" s="268" t="s">
        <v>93</v>
      </c>
      <c r="AB41" s="268"/>
      <c r="AC41" s="257">
        <v>12</v>
      </c>
      <c r="AD41" s="266"/>
      <c r="AE41" s="258"/>
      <c r="AF41" s="259"/>
      <c r="AG41" s="262">
        <f>AC41</f>
        <v>12</v>
      </c>
      <c r="AH41" s="262">
        <f t="shared" si="62"/>
        <v>12</v>
      </c>
      <c r="AI41" s="262">
        <f t="shared" si="63"/>
        <v>12</v>
      </c>
      <c r="AJ41" s="263">
        <f>AC41</f>
        <v>12</v>
      </c>
      <c r="AK41" s="263"/>
      <c r="AL41" s="263">
        <f t="shared" ref="AL41:AL44" si="66">AJ41</f>
        <v>12</v>
      </c>
      <c r="AM41" s="263"/>
      <c r="AN41" s="267">
        <f>AC41</f>
        <v>12</v>
      </c>
      <c r="AO41" s="267">
        <f>AC41*3</f>
        <v>36</v>
      </c>
      <c r="AP41" s="267">
        <f>AC41*3</f>
        <v>36</v>
      </c>
      <c r="AQ41" s="267">
        <f>AC41*3</f>
        <v>36</v>
      </c>
      <c r="AR41" s="267">
        <f>AC41*3</f>
        <v>36</v>
      </c>
      <c r="AS41" s="261"/>
    </row>
    <row r="42" s="63" customFormat="1" spans="1:45">
      <c r="A42" s="85" t="s">
        <v>26</v>
      </c>
      <c r="B42" s="85">
        <v>17</v>
      </c>
      <c r="C42" s="264" t="s">
        <v>94</v>
      </c>
      <c r="D42" s="265" t="s">
        <v>95</v>
      </c>
      <c r="E42" s="265"/>
      <c r="F42" s="257">
        <v>12</v>
      </c>
      <c r="G42" s="266"/>
      <c r="H42" s="258"/>
      <c r="I42" s="259">
        <f t="shared" ref="I42:I44" si="67">MIN(F42,3)</f>
        <v>3</v>
      </c>
      <c r="J42" s="262">
        <f>IF(F42&gt;0,1,0)</f>
        <v>1</v>
      </c>
      <c r="K42" s="262">
        <f t="shared" si="60"/>
        <v>1</v>
      </c>
      <c r="L42" s="262">
        <f t="shared" si="61"/>
        <v>1</v>
      </c>
      <c r="M42" s="263">
        <f>IF(F42&gt;0,1,0)</f>
        <v>1</v>
      </c>
      <c r="N42" s="263"/>
      <c r="O42" s="263">
        <f>IF(F42&gt;0,1,0)</f>
        <v>1</v>
      </c>
      <c r="P42" s="263"/>
      <c r="Q42" s="267"/>
      <c r="R42" s="267"/>
      <c r="S42" s="267"/>
      <c r="T42" s="267"/>
      <c r="U42" s="267"/>
      <c r="V42" s="260"/>
      <c r="W42" s="189"/>
      <c r="X42" s="269" t="s">
        <v>26</v>
      </c>
      <c r="Y42" s="85">
        <v>17</v>
      </c>
      <c r="Z42" s="264" t="s">
        <v>94</v>
      </c>
      <c r="AA42" s="265" t="s">
        <v>95</v>
      </c>
      <c r="AB42" s="265"/>
      <c r="AC42" s="257">
        <v>12</v>
      </c>
      <c r="AD42" s="266"/>
      <c r="AE42" s="258"/>
      <c r="AF42" s="259">
        <f t="shared" ref="AF42:AF44" si="68">MIN(AC42,3)</f>
        <v>3</v>
      </c>
      <c r="AG42" s="262">
        <f>IF(AC42&gt;0,1,0)</f>
        <v>1</v>
      </c>
      <c r="AH42" s="262">
        <f t="shared" si="62"/>
        <v>1</v>
      </c>
      <c r="AI42" s="262">
        <f t="shared" si="63"/>
        <v>1</v>
      </c>
      <c r="AJ42" s="263">
        <f>IF(AC42&gt;0,1,0)</f>
        <v>1</v>
      </c>
      <c r="AK42" s="263"/>
      <c r="AL42" s="263">
        <f t="shared" si="64"/>
        <v>1</v>
      </c>
      <c r="AM42" s="263"/>
      <c r="AN42" s="267"/>
      <c r="AO42" s="267"/>
      <c r="AP42" s="267"/>
      <c r="AQ42" s="267"/>
      <c r="AR42" s="267"/>
      <c r="AS42" s="261"/>
    </row>
    <row r="43" s="63" customFormat="1" spans="1:45">
      <c r="A43" s="85" t="s">
        <v>26</v>
      </c>
      <c r="B43" s="85">
        <v>18</v>
      </c>
      <c r="C43" s="264" t="s">
        <v>96</v>
      </c>
      <c r="D43" s="265" t="s">
        <v>97</v>
      </c>
      <c r="E43" s="265"/>
      <c r="F43" s="257">
        <v>12</v>
      </c>
      <c r="G43" s="266"/>
      <c r="H43" s="258"/>
      <c r="I43" s="259">
        <f t="shared" si="67"/>
        <v>3</v>
      </c>
      <c r="J43" s="262">
        <f>I43</f>
        <v>3</v>
      </c>
      <c r="K43" s="262">
        <f>I43</f>
        <v>3</v>
      </c>
      <c r="L43" s="262">
        <f>I43</f>
        <v>3</v>
      </c>
      <c r="M43" s="263">
        <f>I43</f>
        <v>3</v>
      </c>
      <c r="N43" s="263"/>
      <c r="O43" s="263">
        <f t="shared" si="65"/>
        <v>3</v>
      </c>
      <c r="P43" s="263"/>
      <c r="Q43" s="267"/>
      <c r="R43" s="267"/>
      <c r="S43" s="267"/>
      <c r="T43" s="267"/>
      <c r="U43" s="267"/>
      <c r="V43" s="260"/>
      <c r="W43" s="189"/>
      <c r="X43" s="269" t="s">
        <v>26</v>
      </c>
      <c r="Y43" s="85">
        <v>18</v>
      </c>
      <c r="Z43" s="264" t="s">
        <v>96</v>
      </c>
      <c r="AA43" s="265" t="s">
        <v>97</v>
      </c>
      <c r="AB43" s="265"/>
      <c r="AC43" s="257">
        <v>12</v>
      </c>
      <c r="AD43" s="266"/>
      <c r="AE43" s="258"/>
      <c r="AF43" s="259">
        <f t="shared" si="68"/>
        <v>3</v>
      </c>
      <c r="AG43" s="262">
        <f>AF43</f>
        <v>3</v>
      </c>
      <c r="AH43" s="262">
        <f>AF43</f>
        <v>3</v>
      </c>
      <c r="AI43" s="262">
        <f>AF43</f>
        <v>3</v>
      </c>
      <c r="AJ43" s="263">
        <f>AF43</f>
        <v>3</v>
      </c>
      <c r="AK43" s="263"/>
      <c r="AL43" s="263">
        <f t="shared" si="66"/>
        <v>3</v>
      </c>
      <c r="AM43" s="263"/>
      <c r="AN43" s="267"/>
      <c r="AO43" s="267"/>
      <c r="AP43" s="267"/>
      <c r="AQ43" s="267"/>
      <c r="AR43" s="267"/>
      <c r="AS43" s="261"/>
    </row>
    <row r="44" s="63" customFormat="1" spans="1:45">
      <c r="A44" s="85" t="s">
        <v>26</v>
      </c>
      <c r="B44" s="85">
        <v>19</v>
      </c>
      <c r="C44" s="264" t="s">
        <v>98</v>
      </c>
      <c r="D44" s="265" t="s">
        <v>99</v>
      </c>
      <c r="E44" s="265"/>
      <c r="F44" s="257">
        <v>12</v>
      </c>
      <c r="G44" s="266"/>
      <c r="H44" s="258"/>
      <c r="I44" s="259">
        <f t="shared" si="67"/>
        <v>3</v>
      </c>
      <c r="J44" s="262">
        <f>I44</f>
        <v>3</v>
      </c>
      <c r="K44" s="262">
        <f>I44</f>
        <v>3</v>
      </c>
      <c r="L44" s="262">
        <f>I44</f>
        <v>3</v>
      </c>
      <c r="M44" s="263">
        <f>I44</f>
        <v>3</v>
      </c>
      <c r="N44" s="263"/>
      <c r="O44" s="263">
        <f t="shared" si="65"/>
        <v>3</v>
      </c>
      <c r="P44" s="263"/>
      <c r="Q44" s="267"/>
      <c r="R44" s="267"/>
      <c r="S44" s="267"/>
      <c r="T44" s="267"/>
      <c r="U44" s="267"/>
      <c r="V44" s="260"/>
      <c r="W44" s="189"/>
      <c r="X44" s="269" t="s">
        <v>26</v>
      </c>
      <c r="Y44" s="85">
        <v>19</v>
      </c>
      <c r="Z44" s="264" t="s">
        <v>98</v>
      </c>
      <c r="AA44" s="265" t="s">
        <v>99</v>
      </c>
      <c r="AB44" s="265"/>
      <c r="AC44" s="257">
        <v>12</v>
      </c>
      <c r="AD44" s="266"/>
      <c r="AE44" s="258"/>
      <c r="AF44" s="259">
        <f t="shared" si="68"/>
        <v>3</v>
      </c>
      <c r="AG44" s="262">
        <f>AF44</f>
        <v>3</v>
      </c>
      <c r="AH44" s="262">
        <f>AF44</f>
        <v>3</v>
      </c>
      <c r="AI44" s="262">
        <f>AF44</f>
        <v>3</v>
      </c>
      <c r="AJ44" s="263">
        <f>AF44</f>
        <v>3</v>
      </c>
      <c r="AK44" s="263"/>
      <c r="AL44" s="263">
        <f t="shared" si="66"/>
        <v>3</v>
      </c>
      <c r="AM44" s="263"/>
      <c r="AN44" s="267"/>
      <c r="AO44" s="267"/>
      <c r="AP44" s="267"/>
      <c r="AQ44" s="267"/>
      <c r="AR44" s="267"/>
      <c r="AS44" s="261"/>
    </row>
    <row r="45" s="63" customFormat="1" ht="17.6" spans="1:45">
      <c r="A45" s="85" t="s">
        <v>26</v>
      </c>
      <c r="B45" s="85">
        <v>20</v>
      </c>
      <c r="C45" s="73" t="s">
        <v>66</v>
      </c>
      <c r="D45" s="18" t="s">
        <v>67</v>
      </c>
      <c r="E45" s="18"/>
      <c r="F45" s="257">
        <v>12</v>
      </c>
      <c r="G45" s="266"/>
      <c r="H45" s="258"/>
      <c r="I45" s="259"/>
      <c r="J45" s="262">
        <f>F45</f>
        <v>12</v>
      </c>
      <c r="K45" s="262">
        <f>F45</f>
        <v>12</v>
      </c>
      <c r="L45" s="262">
        <f>F45</f>
        <v>12</v>
      </c>
      <c r="M45" s="263">
        <f>F45</f>
        <v>12</v>
      </c>
      <c r="N45" s="263"/>
      <c r="O45" s="263">
        <f>F45</f>
        <v>12</v>
      </c>
      <c r="P45" s="263"/>
      <c r="Q45" s="267"/>
      <c r="R45" s="267"/>
      <c r="S45" s="267"/>
      <c r="T45" s="267"/>
      <c r="U45" s="267"/>
      <c r="V45" s="270"/>
      <c r="W45" s="189"/>
      <c r="X45" s="269" t="s">
        <v>26</v>
      </c>
      <c r="Y45" s="85">
        <v>20</v>
      </c>
      <c r="Z45" s="73" t="s">
        <v>66</v>
      </c>
      <c r="AA45" s="18" t="s">
        <v>67</v>
      </c>
      <c r="AB45" s="18"/>
      <c r="AC45" s="257">
        <v>12</v>
      </c>
      <c r="AD45" s="266"/>
      <c r="AE45" s="258"/>
      <c r="AF45" s="259"/>
      <c r="AG45" s="262">
        <f>AC45</f>
        <v>12</v>
      </c>
      <c r="AH45" s="262">
        <f>AC45</f>
        <v>12</v>
      </c>
      <c r="AI45" s="262">
        <f>AC45</f>
        <v>12</v>
      </c>
      <c r="AJ45" s="263">
        <f>AC45</f>
        <v>12</v>
      </c>
      <c r="AK45" s="263"/>
      <c r="AL45" s="263">
        <f>AC45</f>
        <v>12</v>
      </c>
      <c r="AM45" s="263"/>
      <c r="AN45" s="267"/>
      <c r="AO45" s="267"/>
      <c r="AP45" s="267"/>
      <c r="AQ45" s="267"/>
      <c r="AR45" s="267"/>
      <c r="AS45" s="261"/>
    </row>
    <row r="46" s="63" customFormat="1" ht="17.6" spans="1:45">
      <c r="A46" s="85" t="s">
        <v>26</v>
      </c>
      <c r="B46" s="85">
        <v>21</v>
      </c>
      <c r="C46" s="73" t="s">
        <v>64</v>
      </c>
      <c r="D46" s="18" t="s">
        <v>65</v>
      </c>
      <c r="E46" s="18"/>
      <c r="F46" s="257">
        <v>12</v>
      </c>
      <c r="G46" s="266"/>
      <c r="H46" s="258"/>
      <c r="I46" s="259"/>
      <c r="J46" s="262"/>
      <c r="K46" s="262"/>
      <c r="L46" s="262"/>
      <c r="M46" s="263"/>
      <c r="N46" s="263"/>
      <c r="O46" s="263"/>
      <c r="P46" s="263"/>
      <c r="Q46" s="267"/>
      <c r="R46" s="267"/>
      <c r="S46" s="267"/>
      <c r="T46" s="267"/>
      <c r="U46" s="267"/>
      <c r="V46" s="270"/>
      <c r="W46" s="189"/>
      <c r="X46" s="269" t="s">
        <v>26</v>
      </c>
      <c r="Y46" s="85">
        <v>21</v>
      </c>
      <c r="Z46" s="73" t="s">
        <v>64</v>
      </c>
      <c r="AA46" s="18" t="s">
        <v>65</v>
      </c>
      <c r="AB46" s="18"/>
      <c r="AC46" s="257">
        <v>12</v>
      </c>
      <c r="AD46" s="266"/>
      <c r="AE46" s="258"/>
      <c r="AF46" s="259"/>
      <c r="AG46" s="262"/>
      <c r="AH46" s="262"/>
      <c r="AI46" s="262"/>
      <c r="AJ46" s="263"/>
      <c r="AK46" s="263"/>
      <c r="AL46" s="263"/>
      <c r="AM46" s="263"/>
      <c r="AN46" s="267"/>
      <c r="AO46" s="267"/>
      <c r="AP46" s="267"/>
      <c r="AQ46" s="267"/>
      <c r="AR46" s="267"/>
      <c r="AS46" s="261"/>
    </row>
    <row r="47" s="63" customFormat="1" ht="17.6" spans="1:45">
      <c r="A47" s="85" t="s">
        <v>26</v>
      </c>
      <c r="B47" s="85">
        <v>22</v>
      </c>
      <c r="C47" s="73" t="s">
        <v>100</v>
      </c>
      <c r="D47" s="18" t="s">
        <v>100</v>
      </c>
      <c r="E47" s="18"/>
      <c r="F47" s="257">
        <v>12</v>
      </c>
      <c r="G47" s="266"/>
      <c r="H47" s="258"/>
      <c r="I47" s="259"/>
      <c r="J47" s="262"/>
      <c r="K47" s="262"/>
      <c r="L47" s="262"/>
      <c r="M47" s="263"/>
      <c r="N47" s="263"/>
      <c r="O47" s="263"/>
      <c r="P47" s="263"/>
      <c r="Q47" s="267"/>
      <c r="R47" s="267"/>
      <c r="S47" s="267"/>
      <c r="T47" s="267"/>
      <c r="U47" s="267"/>
      <c r="V47" s="270"/>
      <c r="W47" s="189"/>
      <c r="X47" s="269" t="s">
        <v>26</v>
      </c>
      <c r="Y47" s="85">
        <v>22</v>
      </c>
      <c r="Z47" s="73" t="s">
        <v>100</v>
      </c>
      <c r="AA47" s="18" t="s">
        <v>100</v>
      </c>
      <c r="AB47" s="18"/>
      <c r="AC47" s="257">
        <v>12</v>
      </c>
      <c r="AD47" s="266"/>
      <c r="AE47" s="258"/>
      <c r="AF47" s="259"/>
      <c r="AG47" s="262"/>
      <c r="AH47" s="262"/>
      <c r="AI47" s="262"/>
      <c r="AJ47" s="263"/>
      <c r="AK47" s="263"/>
      <c r="AL47" s="263"/>
      <c r="AM47" s="263"/>
      <c r="AN47" s="267"/>
      <c r="AO47" s="267"/>
      <c r="AP47" s="267"/>
      <c r="AQ47" s="267"/>
      <c r="AR47" s="267"/>
      <c r="AS47" s="261"/>
    </row>
    <row r="48" s="60" customFormat="1" spans="1:45">
      <c r="A48" s="271" t="s">
        <v>101</v>
      </c>
      <c r="B48" s="271"/>
      <c r="C48" s="271"/>
      <c r="D48" s="271"/>
      <c r="E48" s="271"/>
      <c r="F48" s="272">
        <f t="shared" ref="F48:U48" si="69">MAX(F26:F47)</f>
        <v>14</v>
      </c>
      <c r="G48" s="273">
        <f t="shared" si="69"/>
        <v>0</v>
      </c>
      <c r="H48" s="274">
        <f t="shared" si="69"/>
        <v>6</v>
      </c>
      <c r="I48" s="274">
        <f t="shared" si="69"/>
        <v>3</v>
      </c>
      <c r="J48" s="275">
        <f t="shared" si="69"/>
        <v>14</v>
      </c>
      <c r="K48" s="275">
        <f t="shared" si="69"/>
        <v>14</v>
      </c>
      <c r="L48" s="275">
        <f t="shared" si="69"/>
        <v>14</v>
      </c>
      <c r="M48" s="276">
        <f t="shared" si="69"/>
        <v>14</v>
      </c>
      <c r="N48" s="276">
        <f t="shared" si="69"/>
        <v>6</v>
      </c>
      <c r="O48" s="276">
        <f t="shared" si="69"/>
        <v>14</v>
      </c>
      <c r="P48" s="276">
        <f t="shared" si="69"/>
        <v>6</v>
      </c>
      <c r="Q48" s="277">
        <f t="shared" si="69"/>
        <v>12</v>
      </c>
      <c r="R48" s="277">
        <f t="shared" si="69"/>
        <v>36</v>
      </c>
      <c r="S48" s="277">
        <f t="shared" si="69"/>
        <v>36</v>
      </c>
      <c r="T48" s="277">
        <f t="shared" si="69"/>
        <v>36</v>
      </c>
      <c r="U48" s="277">
        <f t="shared" si="69"/>
        <v>36</v>
      </c>
      <c r="V48" s="278"/>
      <c r="W48" s="189"/>
      <c r="X48" s="279" t="s">
        <v>101</v>
      </c>
      <c r="Y48" s="271"/>
      <c r="Z48" s="271"/>
      <c r="AA48" s="280"/>
      <c r="AB48" s="280"/>
      <c r="AC48" s="281">
        <f>MAX(AC26:AC47)</f>
        <v>14</v>
      </c>
      <c r="AD48" s="282">
        <f>MAX(AD26:AD47)</f>
        <v>0</v>
      </c>
      <c r="AE48" s="283">
        <v>6</v>
      </c>
      <c r="AF48" s="284">
        <v>3</v>
      </c>
      <c r="AG48" s="285">
        <v>14</v>
      </c>
      <c r="AH48" s="286">
        <v>14</v>
      </c>
      <c r="AI48" s="287">
        <v>14</v>
      </c>
      <c r="AJ48" s="288">
        <v>14</v>
      </c>
      <c r="AK48" s="289">
        <v>6</v>
      </c>
      <c r="AL48" s="289">
        <v>14</v>
      </c>
      <c r="AM48" s="290">
        <v>6</v>
      </c>
      <c r="AN48" s="291">
        <v>12</v>
      </c>
      <c r="AO48" s="292">
        <v>36</v>
      </c>
      <c r="AP48" s="292">
        <v>36</v>
      </c>
      <c r="AQ48" s="292">
        <v>36</v>
      </c>
      <c r="AR48" s="292">
        <v>36</v>
      </c>
      <c r="AS48" s="293"/>
    </row>
    <row r="49" s="60" customFormat="1" spans="1:45">
      <c r="A49" s="235" t="s">
        <v>102</v>
      </c>
      <c r="B49" s="236"/>
      <c r="C49" s="236"/>
      <c r="D49" s="236"/>
      <c r="E49" s="236"/>
      <c r="F49" s="249" t="s">
        <v>4</v>
      </c>
      <c r="G49" s="249"/>
      <c r="H49" s="250" t="s">
        <v>5</v>
      </c>
      <c r="I49" s="251"/>
      <c r="J49" s="294" t="s">
        <v>6</v>
      </c>
      <c r="K49" s="294"/>
      <c r="L49" s="294"/>
      <c r="M49" s="295" t="s">
        <v>7</v>
      </c>
      <c r="N49" s="295"/>
      <c r="O49" s="295"/>
      <c r="P49" s="295"/>
      <c r="Q49" s="296" t="s">
        <v>49</v>
      </c>
      <c r="R49" s="296"/>
      <c r="S49" s="296"/>
      <c r="T49" s="296"/>
      <c r="U49" s="296"/>
      <c r="V49" s="243" t="s">
        <v>50</v>
      </c>
      <c r="W49" s="189"/>
      <c r="X49" s="297" t="s">
        <v>102</v>
      </c>
      <c r="Y49" s="236"/>
      <c r="Z49" s="236"/>
      <c r="AA49" s="236"/>
      <c r="AB49" s="236"/>
      <c r="AC49" s="298" t="s">
        <v>4</v>
      </c>
      <c r="AD49" s="299"/>
      <c r="AE49" s="300" t="s">
        <v>5</v>
      </c>
      <c r="AF49" s="301"/>
      <c r="AG49" s="302" t="s">
        <v>6</v>
      </c>
      <c r="AH49" s="303"/>
      <c r="AI49" s="303"/>
      <c r="AJ49" s="304" t="s">
        <v>7</v>
      </c>
      <c r="AK49" s="305"/>
      <c r="AL49" s="305"/>
      <c r="AM49" s="305"/>
      <c r="AN49" s="306" t="s">
        <v>49</v>
      </c>
      <c r="AO49" s="307"/>
      <c r="AP49" s="307"/>
      <c r="AQ49" s="307"/>
      <c r="AR49" s="307"/>
      <c r="AS49" s="256" t="s">
        <v>50</v>
      </c>
    </row>
    <row r="50" s="60" customFormat="1" ht="31" spans="1:45">
      <c r="A50" s="70" t="s">
        <v>51</v>
      </c>
      <c r="B50" s="70" t="s">
        <v>52</v>
      </c>
      <c r="C50" s="70" t="s">
        <v>53</v>
      </c>
      <c r="D50" s="86" t="s">
        <v>54</v>
      </c>
      <c r="E50" s="86"/>
      <c r="F50" s="248" t="s">
        <v>10</v>
      </c>
      <c r="G50" s="249" t="s">
        <v>11</v>
      </c>
      <c r="H50" s="250" t="s">
        <v>55</v>
      </c>
      <c r="I50" s="251" t="s">
        <v>13</v>
      </c>
      <c r="J50" s="252" t="s">
        <v>14</v>
      </c>
      <c r="K50" s="252" t="s">
        <v>15</v>
      </c>
      <c r="L50" s="252" t="s">
        <v>56</v>
      </c>
      <c r="M50" s="253" t="s">
        <v>57</v>
      </c>
      <c r="N50" s="253" t="s">
        <v>58</v>
      </c>
      <c r="O50" s="253" t="s">
        <v>59</v>
      </c>
      <c r="P50" s="253" t="s">
        <v>60</v>
      </c>
      <c r="Q50" s="254" t="s">
        <v>21</v>
      </c>
      <c r="R50" s="254" t="s">
        <v>22</v>
      </c>
      <c r="S50" s="254" t="s">
        <v>61</v>
      </c>
      <c r="T50" s="254" t="s">
        <v>62</v>
      </c>
      <c r="U50" s="254" t="s">
        <v>63</v>
      </c>
      <c r="V50" s="243"/>
      <c r="W50" s="189"/>
      <c r="X50" s="155" t="s">
        <v>51</v>
      </c>
      <c r="Y50" s="70" t="s">
        <v>52</v>
      </c>
      <c r="Z50" s="70" t="s">
        <v>53</v>
      </c>
      <c r="AA50" s="86" t="s">
        <v>54</v>
      </c>
      <c r="AB50" s="86"/>
      <c r="AC50" s="308" t="s">
        <v>10</v>
      </c>
      <c r="AD50" s="309" t="s">
        <v>11</v>
      </c>
      <c r="AE50" s="300" t="s">
        <v>55</v>
      </c>
      <c r="AF50" s="310" t="s">
        <v>13</v>
      </c>
      <c r="AG50" s="311" t="s">
        <v>14</v>
      </c>
      <c r="AH50" s="312" t="s">
        <v>15</v>
      </c>
      <c r="AI50" s="313" t="s">
        <v>56</v>
      </c>
      <c r="AJ50" s="314" t="s">
        <v>57</v>
      </c>
      <c r="AK50" s="315" t="s">
        <v>58</v>
      </c>
      <c r="AL50" s="315" t="s">
        <v>59</v>
      </c>
      <c r="AM50" s="316" t="s">
        <v>60</v>
      </c>
      <c r="AN50" s="317" t="s">
        <v>21</v>
      </c>
      <c r="AO50" s="318" t="s">
        <v>22</v>
      </c>
      <c r="AP50" s="318" t="s">
        <v>61</v>
      </c>
      <c r="AQ50" s="318" t="s">
        <v>62</v>
      </c>
      <c r="AR50" s="318" t="s">
        <v>63</v>
      </c>
      <c r="AS50" s="256"/>
    </row>
    <row r="51" s="63" customFormat="1" spans="1:45">
      <c r="A51" s="73" t="s">
        <v>27</v>
      </c>
      <c r="B51" s="73">
        <v>1</v>
      </c>
      <c r="C51" s="73" t="s">
        <v>64</v>
      </c>
      <c r="D51" s="18" t="s">
        <v>65</v>
      </c>
      <c r="E51" s="18"/>
      <c r="F51" s="257">
        <v>12</v>
      </c>
      <c r="G51" s="249"/>
      <c r="H51" s="250"/>
      <c r="I51" s="251"/>
      <c r="J51" s="252"/>
      <c r="K51" s="252"/>
      <c r="L51" s="252"/>
      <c r="M51" s="253"/>
      <c r="N51" s="253"/>
      <c r="O51" s="253"/>
      <c r="P51" s="253"/>
      <c r="Q51" s="254"/>
      <c r="R51" s="254"/>
      <c r="S51" s="254"/>
      <c r="T51" s="254"/>
      <c r="U51" s="254"/>
      <c r="V51" s="319"/>
      <c r="W51" s="189"/>
      <c r="X51" s="161" t="s">
        <v>27</v>
      </c>
      <c r="Y51" s="73">
        <v>1</v>
      </c>
      <c r="Z51" s="73" t="s">
        <v>64</v>
      </c>
      <c r="AA51" s="18" t="s">
        <v>65</v>
      </c>
      <c r="AB51" s="18"/>
      <c r="AC51" s="320">
        <v>12</v>
      </c>
      <c r="AD51" s="321"/>
      <c r="AE51" s="322"/>
      <c r="AF51" s="322"/>
      <c r="AG51" s="323"/>
      <c r="AH51" s="323"/>
      <c r="AI51" s="323"/>
      <c r="AJ51" s="324"/>
      <c r="AK51" s="324"/>
      <c r="AL51" s="324"/>
      <c r="AM51" s="324"/>
      <c r="AN51" s="325"/>
      <c r="AO51" s="325"/>
      <c r="AP51" s="325"/>
      <c r="AQ51" s="325"/>
      <c r="AR51" s="326"/>
      <c r="AS51" s="261"/>
    </row>
    <row r="52" s="63" customFormat="1" spans="1:45">
      <c r="A52" s="73" t="s">
        <v>27</v>
      </c>
      <c r="B52" s="73">
        <v>2</v>
      </c>
      <c r="C52" s="73" t="s">
        <v>66</v>
      </c>
      <c r="D52" s="18" t="s">
        <v>67</v>
      </c>
      <c r="E52" s="18"/>
      <c r="F52" s="257">
        <v>12</v>
      </c>
      <c r="G52" s="249"/>
      <c r="H52" s="250"/>
      <c r="I52" s="251"/>
      <c r="J52" s="262">
        <f>F52</f>
        <v>12</v>
      </c>
      <c r="K52" s="262">
        <f>F52</f>
        <v>12</v>
      </c>
      <c r="L52" s="262">
        <f>F52</f>
        <v>12</v>
      </c>
      <c r="M52" s="263">
        <f>F52</f>
        <v>12</v>
      </c>
      <c r="N52" s="263"/>
      <c r="O52" s="263">
        <f>F52</f>
        <v>12</v>
      </c>
      <c r="P52" s="263"/>
      <c r="Q52" s="254"/>
      <c r="R52" s="254"/>
      <c r="S52" s="254"/>
      <c r="T52" s="254"/>
      <c r="U52" s="254"/>
      <c r="V52" s="319"/>
      <c r="W52" s="189"/>
      <c r="X52" s="161" t="s">
        <v>27</v>
      </c>
      <c r="Y52" s="73">
        <v>2</v>
      </c>
      <c r="Z52" s="73" t="s">
        <v>66</v>
      </c>
      <c r="AA52" s="18" t="s">
        <v>67</v>
      </c>
      <c r="AB52" s="18"/>
      <c r="AC52" s="320">
        <v>12</v>
      </c>
      <c r="AD52" s="327"/>
      <c r="AE52" s="328"/>
      <c r="AF52" s="328"/>
      <c r="AG52" s="329">
        <f>AC52</f>
        <v>12</v>
      </c>
      <c r="AH52" s="329">
        <f>AC52</f>
        <v>12</v>
      </c>
      <c r="AI52" s="329">
        <f>AC52</f>
        <v>12</v>
      </c>
      <c r="AJ52" s="330">
        <f>AC52</f>
        <v>12</v>
      </c>
      <c r="AK52" s="331"/>
      <c r="AL52" s="330">
        <f>AC52</f>
        <v>12</v>
      </c>
      <c r="AM52" s="331"/>
      <c r="AN52" s="332"/>
      <c r="AO52" s="332"/>
      <c r="AP52" s="332"/>
      <c r="AQ52" s="332"/>
      <c r="AR52" s="333"/>
      <c r="AS52" s="261"/>
    </row>
    <row r="53" s="63" customFormat="1" ht="31" spans="1:45">
      <c r="A53" s="73" t="s">
        <v>27</v>
      </c>
      <c r="B53" s="73">
        <v>3</v>
      </c>
      <c r="C53" s="264" t="s">
        <v>103</v>
      </c>
      <c r="D53" s="265" t="s">
        <v>104</v>
      </c>
      <c r="E53" s="265"/>
      <c r="F53" s="257">
        <v>12</v>
      </c>
      <c r="G53" s="266"/>
      <c r="H53" s="258"/>
      <c r="I53" s="259"/>
      <c r="J53" s="262">
        <f>IF(F53&gt;0,1,0)</f>
        <v>1</v>
      </c>
      <c r="K53" s="262">
        <f>IF(F53&gt;0,1,0)</f>
        <v>1</v>
      </c>
      <c r="L53" s="262">
        <f>IF(F53&gt;0,1,0)</f>
        <v>1</v>
      </c>
      <c r="M53" s="263">
        <f>IF(F53&gt;0,1,0)</f>
        <v>1</v>
      </c>
      <c r="N53" s="263"/>
      <c r="O53" s="263">
        <f>IF(F53&gt;0,1,0)</f>
        <v>1</v>
      </c>
      <c r="P53" s="263"/>
      <c r="Q53" s="267"/>
      <c r="R53" s="267"/>
      <c r="S53" s="267"/>
      <c r="T53" s="267"/>
      <c r="U53" s="267"/>
      <c r="V53" s="260" t="s">
        <v>105</v>
      </c>
      <c r="W53" s="189"/>
      <c r="X53" s="161" t="s">
        <v>27</v>
      </c>
      <c r="Y53" s="73">
        <v>3</v>
      </c>
      <c r="Z53" s="264" t="s">
        <v>103</v>
      </c>
      <c r="AA53" s="265" t="s">
        <v>104</v>
      </c>
      <c r="AB53" s="265"/>
      <c r="AC53" s="320">
        <v>12</v>
      </c>
      <c r="AD53" s="327"/>
      <c r="AE53" s="328"/>
      <c r="AF53" s="328"/>
      <c r="AG53" s="329">
        <f>IF(AC53&gt;0,1,0)</f>
        <v>1</v>
      </c>
      <c r="AH53" s="329">
        <f>IF(AC53&gt;0,1,0)</f>
        <v>1</v>
      </c>
      <c r="AI53" s="329">
        <f>IF(AC53&gt;0,1,0)</f>
        <v>1</v>
      </c>
      <c r="AJ53" s="330">
        <f>IF(AC53&gt;0,1,0)</f>
        <v>1</v>
      </c>
      <c r="AK53" s="331"/>
      <c r="AL53" s="330">
        <f>IF(AC53&gt;0,1,0)</f>
        <v>1</v>
      </c>
      <c r="AM53" s="331"/>
      <c r="AN53" s="332"/>
      <c r="AO53" s="332"/>
      <c r="AP53" s="332"/>
      <c r="AQ53" s="332"/>
      <c r="AR53" s="333"/>
      <c r="AS53" s="203" t="s">
        <v>105</v>
      </c>
    </row>
    <row r="54" s="63" customFormat="1" ht="16" spans="1:45">
      <c r="A54" s="73" t="s">
        <v>27</v>
      </c>
      <c r="B54" s="73">
        <v>4</v>
      </c>
      <c r="C54" s="264" t="s">
        <v>106</v>
      </c>
      <c r="D54" s="265" t="s">
        <v>107</v>
      </c>
      <c r="E54" s="265"/>
      <c r="F54" s="257">
        <v>12</v>
      </c>
      <c r="G54" s="266"/>
      <c r="H54" s="258"/>
      <c r="I54" s="259"/>
      <c r="J54" s="262">
        <f>IF(F54&gt;0,1,0)</f>
        <v>1</v>
      </c>
      <c r="K54" s="262">
        <f>IF(F54&gt;0,1,0)</f>
        <v>1</v>
      </c>
      <c r="L54" s="262">
        <f>IF(F54&gt;0,1,0)</f>
        <v>1</v>
      </c>
      <c r="M54" s="263">
        <f>F54*2</f>
        <v>24</v>
      </c>
      <c r="N54" s="263"/>
      <c r="O54" s="263">
        <f>F54*2</f>
        <v>24</v>
      </c>
      <c r="P54" s="263"/>
      <c r="Q54" s="267"/>
      <c r="R54" s="267"/>
      <c r="S54" s="267"/>
      <c r="T54" s="267"/>
      <c r="U54" s="267"/>
      <c r="V54" s="260" t="s">
        <v>108</v>
      </c>
      <c r="W54" s="189"/>
      <c r="X54" s="161" t="s">
        <v>27</v>
      </c>
      <c r="Y54" s="73">
        <v>4</v>
      </c>
      <c r="Z54" s="264" t="s">
        <v>106</v>
      </c>
      <c r="AA54" s="265" t="s">
        <v>107</v>
      </c>
      <c r="AB54" s="265"/>
      <c r="AC54" s="320">
        <v>12</v>
      </c>
      <c r="AD54" s="327"/>
      <c r="AE54" s="328"/>
      <c r="AF54" s="328"/>
      <c r="AG54" s="329">
        <f>IF(AC54&gt;0,1,0)</f>
        <v>1</v>
      </c>
      <c r="AH54" s="329">
        <f>IF(AC54&gt;0,1,0)</f>
        <v>1</v>
      </c>
      <c r="AI54" s="329">
        <f>IF(AC54&gt;0,1,0)</f>
        <v>1</v>
      </c>
      <c r="AJ54" s="330">
        <f>AC54*2</f>
        <v>24</v>
      </c>
      <c r="AK54" s="331"/>
      <c r="AL54" s="330">
        <f>AC54*2</f>
        <v>24</v>
      </c>
      <c r="AM54" s="331"/>
      <c r="AN54" s="332"/>
      <c r="AO54" s="332"/>
      <c r="AP54" s="332"/>
      <c r="AQ54" s="332"/>
      <c r="AR54" s="333"/>
      <c r="AS54" s="203" t="s">
        <v>108</v>
      </c>
    </row>
    <row r="55" s="63" customFormat="1" spans="1:45">
      <c r="A55" s="73" t="s">
        <v>27</v>
      </c>
      <c r="B55" s="73">
        <v>5</v>
      </c>
      <c r="C55" s="73" t="s">
        <v>66</v>
      </c>
      <c r="D55" s="18" t="s">
        <v>67</v>
      </c>
      <c r="E55" s="18"/>
      <c r="F55" s="257">
        <v>12</v>
      </c>
      <c r="G55" s="249"/>
      <c r="H55" s="250"/>
      <c r="I55" s="251"/>
      <c r="J55" s="262">
        <f>F55</f>
        <v>12</v>
      </c>
      <c r="K55" s="262">
        <f>F55</f>
        <v>12</v>
      </c>
      <c r="L55" s="262">
        <f>F55</f>
        <v>12</v>
      </c>
      <c r="M55" s="263">
        <f>F55</f>
        <v>12</v>
      </c>
      <c r="N55" s="263"/>
      <c r="O55" s="263">
        <f>F55</f>
        <v>12</v>
      </c>
      <c r="P55" s="263"/>
      <c r="Q55" s="254"/>
      <c r="R55" s="254"/>
      <c r="S55" s="254"/>
      <c r="T55" s="254"/>
      <c r="U55" s="254"/>
      <c r="V55" s="319"/>
      <c r="W55" s="189"/>
      <c r="X55" s="161" t="s">
        <v>27</v>
      </c>
      <c r="Y55" s="73">
        <v>5</v>
      </c>
      <c r="Z55" s="73" t="s">
        <v>66</v>
      </c>
      <c r="AA55" s="18" t="s">
        <v>67</v>
      </c>
      <c r="AB55" s="18"/>
      <c r="AC55" s="320">
        <v>12</v>
      </c>
      <c r="AD55" s="327"/>
      <c r="AE55" s="328"/>
      <c r="AF55" s="328"/>
      <c r="AG55" s="329">
        <f>AC55</f>
        <v>12</v>
      </c>
      <c r="AH55" s="329">
        <f>AC55</f>
        <v>12</v>
      </c>
      <c r="AI55" s="329">
        <f>AC55</f>
        <v>12</v>
      </c>
      <c r="AJ55" s="330">
        <f>AC55</f>
        <v>12</v>
      </c>
      <c r="AK55" s="331"/>
      <c r="AL55" s="330">
        <f>AC55</f>
        <v>12</v>
      </c>
      <c r="AM55" s="331"/>
      <c r="AN55" s="332"/>
      <c r="AO55" s="332"/>
      <c r="AP55" s="332"/>
      <c r="AQ55" s="332"/>
      <c r="AR55" s="333"/>
      <c r="AS55" s="261"/>
    </row>
    <row r="56" s="63" customFormat="1" spans="1:45">
      <c r="A56" s="73" t="s">
        <v>27</v>
      </c>
      <c r="B56" s="73">
        <v>6</v>
      </c>
      <c r="C56" s="73" t="s">
        <v>64</v>
      </c>
      <c r="D56" s="18" t="s">
        <v>65</v>
      </c>
      <c r="E56" s="18"/>
      <c r="F56" s="257">
        <v>12</v>
      </c>
      <c r="G56" s="266"/>
      <c r="H56" s="258"/>
      <c r="I56" s="259"/>
      <c r="J56" s="262"/>
      <c r="K56" s="262"/>
      <c r="L56" s="262"/>
      <c r="M56" s="263"/>
      <c r="N56" s="263"/>
      <c r="O56" s="263"/>
      <c r="P56" s="263"/>
      <c r="Q56" s="267"/>
      <c r="R56" s="267"/>
      <c r="S56" s="267"/>
      <c r="T56" s="267"/>
      <c r="U56" s="267"/>
      <c r="V56" s="260"/>
      <c r="W56" s="189"/>
      <c r="X56" s="161" t="s">
        <v>27</v>
      </c>
      <c r="Y56" s="73">
        <v>6</v>
      </c>
      <c r="Z56" s="73" t="s">
        <v>64</v>
      </c>
      <c r="AA56" s="18" t="s">
        <v>65</v>
      </c>
      <c r="AB56" s="18"/>
      <c r="AC56" s="320">
        <v>12</v>
      </c>
      <c r="AD56" s="327"/>
      <c r="AE56" s="328"/>
      <c r="AF56" s="328"/>
      <c r="AG56" s="334"/>
      <c r="AH56" s="334"/>
      <c r="AI56" s="334"/>
      <c r="AJ56" s="331"/>
      <c r="AK56" s="331"/>
      <c r="AL56" s="331"/>
      <c r="AM56" s="331"/>
      <c r="AN56" s="332"/>
      <c r="AO56" s="332"/>
      <c r="AP56" s="332"/>
      <c r="AQ56" s="332"/>
      <c r="AR56" s="333"/>
      <c r="AS56" s="261"/>
    </row>
    <row r="57" s="63" customFormat="1" spans="1:45">
      <c r="A57" s="73" t="s">
        <v>27</v>
      </c>
      <c r="B57" s="73">
        <v>7</v>
      </c>
      <c r="C57" s="73" t="s">
        <v>100</v>
      </c>
      <c r="D57" s="18" t="s">
        <v>100</v>
      </c>
      <c r="E57" s="18"/>
      <c r="F57" s="257">
        <v>12</v>
      </c>
      <c r="G57" s="266"/>
      <c r="H57" s="258"/>
      <c r="I57" s="259"/>
      <c r="J57" s="262"/>
      <c r="K57" s="262"/>
      <c r="L57" s="262"/>
      <c r="M57" s="263"/>
      <c r="N57" s="263"/>
      <c r="O57" s="263"/>
      <c r="P57" s="263"/>
      <c r="Q57" s="267"/>
      <c r="R57" s="267"/>
      <c r="S57" s="267"/>
      <c r="T57" s="267"/>
      <c r="U57" s="267"/>
      <c r="V57" s="260"/>
      <c r="W57" s="189"/>
      <c r="X57" s="161" t="s">
        <v>27</v>
      </c>
      <c r="Y57" s="73">
        <v>7</v>
      </c>
      <c r="Z57" s="73" t="s">
        <v>100</v>
      </c>
      <c r="AA57" s="18" t="s">
        <v>100</v>
      </c>
      <c r="AB57" s="18"/>
      <c r="AC57" s="320">
        <v>12</v>
      </c>
      <c r="AD57" s="335"/>
      <c r="AE57" s="336"/>
      <c r="AF57" s="336"/>
      <c r="AG57" s="337"/>
      <c r="AH57" s="337"/>
      <c r="AI57" s="337"/>
      <c r="AJ57" s="338"/>
      <c r="AK57" s="338"/>
      <c r="AL57" s="338"/>
      <c r="AM57" s="338"/>
      <c r="AN57" s="339"/>
      <c r="AO57" s="339"/>
      <c r="AP57" s="339"/>
      <c r="AQ57" s="339"/>
      <c r="AR57" s="340"/>
      <c r="AS57" s="261"/>
    </row>
    <row r="58" s="186" customFormat="1" spans="1:45">
      <c r="A58" s="271" t="s">
        <v>101</v>
      </c>
      <c r="B58" s="271"/>
      <c r="C58" s="271"/>
      <c r="D58" s="271"/>
      <c r="E58" s="271"/>
      <c r="F58" s="272">
        <f t="shared" ref="F58:U58" si="70">MAX(F51:F57)</f>
        <v>12</v>
      </c>
      <c r="G58" s="273">
        <f t="shared" si="70"/>
        <v>0</v>
      </c>
      <c r="H58" s="274">
        <f t="shared" si="70"/>
        <v>0</v>
      </c>
      <c r="I58" s="274">
        <f t="shared" si="70"/>
        <v>0</v>
      </c>
      <c r="J58" s="275">
        <f t="shared" si="70"/>
        <v>12</v>
      </c>
      <c r="K58" s="275">
        <f t="shared" si="70"/>
        <v>12</v>
      </c>
      <c r="L58" s="275">
        <f t="shared" si="70"/>
        <v>12</v>
      </c>
      <c r="M58" s="276">
        <f t="shared" si="70"/>
        <v>24</v>
      </c>
      <c r="N58" s="276">
        <f t="shared" si="70"/>
        <v>0</v>
      </c>
      <c r="O58" s="276">
        <f t="shared" si="70"/>
        <v>24</v>
      </c>
      <c r="P58" s="276">
        <f t="shared" si="70"/>
        <v>0</v>
      </c>
      <c r="Q58" s="277">
        <f t="shared" si="70"/>
        <v>0</v>
      </c>
      <c r="R58" s="277">
        <f t="shared" si="70"/>
        <v>0</v>
      </c>
      <c r="S58" s="277">
        <f t="shared" si="70"/>
        <v>0</v>
      </c>
      <c r="T58" s="277">
        <f t="shared" si="70"/>
        <v>0</v>
      </c>
      <c r="U58" s="277">
        <f t="shared" si="70"/>
        <v>0</v>
      </c>
      <c r="V58" s="341"/>
      <c r="W58" s="189"/>
      <c r="X58" s="279" t="s">
        <v>101</v>
      </c>
      <c r="Y58" s="271"/>
      <c r="Z58" s="271"/>
      <c r="AA58" s="271"/>
      <c r="AB58" s="271"/>
      <c r="AC58" s="281">
        <f>MAX(AC51:AC57)</f>
        <v>12</v>
      </c>
      <c r="AD58" s="282">
        <f>MAX(AD51:AD57)</f>
        <v>0</v>
      </c>
      <c r="AE58" s="283">
        <v>0</v>
      </c>
      <c r="AF58" s="284">
        <v>0</v>
      </c>
      <c r="AG58" s="285">
        <v>12</v>
      </c>
      <c r="AH58" s="286">
        <v>12</v>
      </c>
      <c r="AI58" s="287">
        <v>12</v>
      </c>
      <c r="AJ58" s="288">
        <v>24</v>
      </c>
      <c r="AK58" s="289">
        <v>0</v>
      </c>
      <c r="AL58" s="289">
        <v>24</v>
      </c>
      <c r="AM58" s="290">
        <v>0</v>
      </c>
      <c r="AN58" s="291">
        <v>0</v>
      </c>
      <c r="AO58" s="292">
        <v>0</v>
      </c>
      <c r="AP58" s="292">
        <v>0</v>
      </c>
      <c r="AQ58" s="292">
        <v>0</v>
      </c>
      <c r="AR58" s="292">
        <v>0</v>
      </c>
      <c r="AS58" s="293"/>
    </row>
    <row r="59" s="60" customFormat="1" spans="1:45">
      <c r="A59" s="235" t="s">
        <v>109</v>
      </c>
      <c r="B59" s="236"/>
      <c r="C59" s="236"/>
      <c r="D59" s="236"/>
      <c r="E59" s="236"/>
      <c r="F59" s="249" t="s">
        <v>4</v>
      </c>
      <c r="G59" s="249"/>
      <c r="H59" s="250" t="s">
        <v>5</v>
      </c>
      <c r="I59" s="251"/>
      <c r="J59" s="294" t="s">
        <v>6</v>
      </c>
      <c r="K59" s="294"/>
      <c r="L59" s="294"/>
      <c r="M59" s="295" t="s">
        <v>7</v>
      </c>
      <c r="N59" s="295"/>
      <c r="O59" s="295"/>
      <c r="P59" s="295"/>
      <c r="Q59" s="296" t="s">
        <v>49</v>
      </c>
      <c r="R59" s="296"/>
      <c r="S59" s="296"/>
      <c r="T59" s="296"/>
      <c r="U59" s="296"/>
      <c r="V59" s="243" t="s">
        <v>50</v>
      </c>
      <c r="W59" s="189"/>
      <c r="X59" s="297" t="s">
        <v>109</v>
      </c>
      <c r="Y59" s="236"/>
      <c r="Z59" s="236"/>
      <c r="AA59" s="236"/>
      <c r="AB59" s="236"/>
      <c r="AC59" s="298" t="s">
        <v>4</v>
      </c>
      <c r="AD59" s="299"/>
      <c r="AE59" s="300" t="s">
        <v>5</v>
      </c>
      <c r="AF59" s="301"/>
      <c r="AG59" s="302" t="s">
        <v>6</v>
      </c>
      <c r="AH59" s="303"/>
      <c r="AI59" s="303"/>
      <c r="AJ59" s="304" t="s">
        <v>7</v>
      </c>
      <c r="AK59" s="305"/>
      <c r="AL59" s="305"/>
      <c r="AM59" s="305"/>
      <c r="AN59" s="306" t="s">
        <v>49</v>
      </c>
      <c r="AO59" s="307"/>
      <c r="AP59" s="307"/>
      <c r="AQ59" s="307"/>
      <c r="AR59" s="307"/>
      <c r="AS59" s="256" t="s">
        <v>50</v>
      </c>
    </row>
    <row r="60" s="60" customFormat="1" ht="31" spans="1:45">
      <c r="A60" s="342" t="s">
        <v>51</v>
      </c>
      <c r="B60" s="343" t="s">
        <v>52</v>
      </c>
      <c r="C60" s="343" t="s">
        <v>53</v>
      </c>
      <c r="D60" s="344" t="s">
        <v>54</v>
      </c>
      <c r="E60" s="345"/>
      <c r="F60" s="248" t="s">
        <v>10</v>
      </c>
      <c r="G60" s="249" t="s">
        <v>11</v>
      </c>
      <c r="H60" s="250" t="s">
        <v>55</v>
      </c>
      <c r="I60" s="251" t="s">
        <v>13</v>
      </c>
      <c r="J60" s="252" t="s">
        <v>14</v>
      </c>
      <c r="K60" s="252" t="s">
        <v>15</v>
      </c>
      <c r="L60" s="252" t="s">
        <v>56</v>
      </c>
      <c r="M60" s="253" t="s">
        <v>57</v>
      </c>
      <c r="N60" s="253" t="s">
        <v>58</v>
      </c>
      <c r="O60" s="253" t="s">
        <v>59</v>
      </c>
      <c r="P60" s="253" t="s">
        <v>60</v>
      </c>
      <c r="Q60" s="254" t="s">
        <v>21</v>
      </c>
      <c r="R60" s="254" t="s">
        <v>22</v>
      </c>
      <c r="S60" s="254" t="s">
        <v>61</v>
      </c>
      <c r="T60" s="254" t="s">
        <v>62</v>
      </c>
      <c r="U60" s="254" t="s">
        <v>63</v>
      </c>
      <c r="V60" s="243"/>
      <c r="W60" s="189"/>
      <c r="X60" s="346" t="s">
        <v>51</v>
      </c>
      <c r="Y60" s="343" t="s">
        <v>52</v>
      </c>
      <c r="Z60" s="70" t="s">
        <v>53</v>
      </c>
      <c r="AA60" s="86" t="s">
        <v>54</v>
      </c>
      <c r="AB60" s="86"/>
      <c r="AC60" s="347" t="s">
        <v>10</v>
      </c>
      <c r="AD60" s="309" t="s">
        <v>11</v>
      </c>
      <c r="AE60" s="300" t="s">
        <v>55</v>
      </c>
      <c r="AF60" s="310" t="s">
        <v>13</v>
      </c>
      <c r="AG60" s="311" t="s">
        <v>14</v>
      </c>
      <c r="AH60" s="312" t="s">
        <v>15</v>
      </c>
      <c r="AI60" s="313" t="s">
        <v>56</v>
      </c>
      <c r="AJ60" s="314" t="s">
        <v>57</v>
      </c>
      <c r="AK60" s="315" t="s">
        <v>58</v>
      </c>
      <c r="AL60" s="315" t="s">
        <v>59</v>
      </c>
      <c r="AM60" s="316" t="s">
        <v>60</v>
      </c>
      <c r="AN60" s="317" t="s">
        <v>21</v>
      </c>
      <c r="AO60" s="318" t="s">
        <v>22</v>
      </c>
      <c r="AP60" s="318" t="s">
        <v>61</v>
      </c>
      <c r="AQ60" s="318" t="s">
        <v>62</v>
      </c>
      <c r="AR60" s="318" t="s">
        <v>63</v>
      </c>
      <c r="AS60" s="256"/>
    </row>
    <row r="61" s="63" customFormat="1" spans="1:45">
      <c r="A61" s="130" t="s">
        <v>29</v>
      </c>
      <c r="B61" s="73">
        <v>1</v>
      </c>
      <c r="C61" s="73" t="s">
        <v>64</v>
      </c>
      <c r="D61" s="348" t="s">
        <v>65</v>
      </c>
      <c r="E61" s="349"/>
      <c r="F61" s="257">
        <v>6</v>
      </c>
      <c r="G61" s="249"/>
      <c r="H61" s="250"/>
      <c r="I61" s="251"/>
      <c r="J61" s="252"/>
      <c r="K61" s="252"/>
      <c r="L61" s="252"/>
      <c r="M61" s="253"/>
      <c r="N61" s="253"/>
      <c r="O61" s="253"/>
      <c r="P61" s="253"/>
      <c r="Q61" s="254"/>
      <c r="R61" s="254"/>
      <c r="S61" s="254"/>
      <c r="T61" s="254"/>
      <c r="U61" s="254"/>
      <c r="V61" s="319"/>
      <c r="W61" s="189"/>
      <c r="X61" s="161" t="s">
        <v>29</v>
      </c>
      <c r="Y61" s="73">
        <v>1</v>
      </c>
      <c r="Z61" s="73" t="s">
        <v>64</v>
      </c>
      <c r="AA61" s="18" t="s">
        <v>65</v>
      </c>
      <c r="AB61" s="18"/>
      <c r="AC61" s="350">
        <v>6</v>
      </c>
      <c r="AD61" s="351"/>
      <c r="AE61" s="322"/>
      <c r="AF61" s="322"/>
      <c r="AG61" s="323"/>
      <c r="AH61" s="323"/>
      <c r="AI61" s="323"/>
      <c r="AJ61" s="324"/>
      <c r="AK61" s="324"/>
      <c r="AL61" s="324"/>
      <c r="AM61" s="324"/>
      <c r="AN61" s="325"/>
      <c r="AO61" s="325"/>
      <c r="AP61" s="325"/>
      <c r="AQ61" s="325"/>
      <c r="AR61" s="326"/>
      <c r="AS61" s="261"/>
    </row>
    <row r="62" s="63" customFormat="1" spans="1:45">
      <c r="A62" s="130" t="s">
        <v>29</v>
      </c>
      <c r="B62" s="73">
        <v>2</v>
      </c>
      <c r="C62" s="73" t="s">
        <v>66</v>
      </c>
      <c r="D62" s="352" t="s">
        <v>67</v>
      </c>
      <c r="E62" s="18"/>
      <c r="F62" s="257">
        <v>6</v>
      </c>
      <c r="G62" s="249"/>
      <c r="H62" s="250"/>
      <c r="I62" s="251"/>
      <c r="J62" s="262">
        <f>F62</f>
        <v>6</v>
      </c>
      <c r="K62" s="262">
        <f>F62</f>
        <v>6</v>
      </c>
      <c r="L62" s="262">
        <f>F62</f>
        <v>6</v>
      </c>
      <c r="M62" s="263">
        <f>F62</f>
        <v>6</v>
      </c>
      <c r="N62" s="263"/>
      <c r="O62" s="263">
        <f>F62</f>
        <v>6</v>
      </c>
      <c r="P62" s="263"/>
      <c r="Q62" s="254"/>
      <c r="R62" s="254"/>
      <c r="S62" s="254"/>
      <c r="T62" s="254"/>
      <c r="U62" s="254"/>
      <c r="V62" s="319"/>
      <c r="W62" s="189"/>
      <c r="X62" s="161" t="s">
        <v>29</v>
      </c>
      <c r="Y62" s="73">
        <v>2</v>
      </c>
      <c r="Z62" s="73" t="s">
        <v>66</v>
      </c>
      <c r="AA62" s="18" t="s">
        <v>67</v>
      </c>
      <c r="AB62" s="18"/>
      <c r="AC62" s="350">
        <v>6</v>
      </c>
      <c r="AD62" s="353"/>
      <c r="AE62" s="328"/>
      <c r="AF62" s="328"/>
      <c r="AG62" s="329">
        <f>AC62</f>
        <v>6</v>
      </c>
      <c r="AH62" s="329">
        <f>AC62</f>
        <v>6</v>
      </c>
      <c r="AI62" s="329">
        <f>AC62</f>
        <v>6</v>
      </c>
      <c r="AJ62" s="330">
        <f>AC62</f>
        <v>6</v>
      </c>
      <c r="AK62" s="331"/>
      <c r="AL62" s="330">
        <f>AC62</f>
        <v>6</v>
      </c>
      <c r="AM62" s="331"/>
      <c r="AN62" s="332"/>
      <c r="AO62" s="332"/>
      <c r="AP62" s="332"/>
      <c r="AQ62" s="332"/>
      <c r="AR62" s="333"/>
      <c r="AS62" s="261"/>
    </row>
    <row r="63" s="63" customFormat="1" spans="1:45">
      <c r="A63" s="73" t="s">
        <v>29</v>
      </c>
      <c r="B63" s="73">
        <v>3</v>
      </c>
      <c r="C63" s="264" t="s">
        <v>82</v>
      </c>
      <c r="D63" s="265" t="s">
        <v>83</v>
      </c>
      <c r="E63" s="265"/>
      <c r="F63" s="257">
        <v>6</v>
      </c>
      <c r="G63" s="266"/>
      <c r="H63" s="258"/>
      <c r="I63" s="259"/>
      <c r="J63" s="262">
        <f>IF(F63&gt;0,1,0)</f>
        <v>1</v>
      </c>
      <c r="K63" s="262">
        <f>IF(F63&gt;0,1,0)</f>
        <v>1</v>
      </c>
      <c r="L63" s="262">
        <f>IF(F63&gt;0,1,0)</f>
        <v>1</v>
      </c>
      <c r="M63" s="263">
        <f>IF(F63&gt;0,1,0)</f>
        <v>1</v>
      </c>
      <c r="N63" s="263"/>
      <c r="O63" s="263">
        <f>IF(F63&gt;0,1,0)</f>
        <v>1</v>
      </c>
      <c r="P63" s="263"/>
      <c r="Q63" s="267"/>
      <c r="R63" s="267"/>
      <c r="S63" s="267"/>
      <c r="T63" s="267"/>
      <c r="U63" s="267"/>
      <c r="V63" s="260"/>
      <c r="W63" s="189"/>
      <c r="X63" s="161" t="s">
        <v>29</v>
      </c>
      <c r="Y63" s="73">
        <v>3</v>
      </c>
      <c r="Z63" s="264" t="s">
        <v>82</v>
      </c>
      <c r="AA63" s="265" t="s">
        <v>83</v>
      </c>
      <c r="AB63" s="265"/>
      <c r="AC63" s="350">
        <v>6</v>
      </c>
      <c r="AD63" s="353"/>
      <c r="AE63" s="328"/>
      <c r="AF63" s="328"/>
      <c r="AG63" s="329">
        <f>IF(AC63&gt;0,1,0)</f>
        <v>1</v>
      </c>
      <c r="AH63" s="329">
        <f>IF(AC63&gt;0,1,0)</f>
        <v>1</v>
      </c>
      <c r="AI63" s="329">
        <f>IF(AC63&gt;0,1,0)</f>
        <v>1</v>
      </c>
      <c r="AJ63" s="330">
        <f>IF(AC63&gt;0,1,0)</f>
        <v>1</v>
      </c>
      <c r="AK63" s="331"/>
      <c r="AL63" s="330">
        <f>IF(AC63&gt;0,1,0)</f>
        <v>1</v>
      </c>
      <c r="AM63" s="331"/>
      <c r="AN63" s="332"/>
      <c r="AO63" s="332"/>
      <c r="AP63" s="332"/>
      <c r="AQ63" s="332"/>
      <c r="AR63" s="333"/>
      <c r="AS63" s="261"/>
    </row>
    <row r="64" s="63" customFormat="1" spans="1:45">
      <c r="A64" s="73" t="s">
        <v>29</v>
      </c>
      <c r="B64" s="73">
        <v>4</v>
      </c>
      <c r="C64" s="264" t="s">
        <v>68</v>
      </c>
      <c r="D64" s="265" t="s">
        <v>69</v>
      </c>
      <c r="E64" s="265"/>
      <c r="F64" s="257">
        <v>6</v>
      </c>
      <c r="G64" s="266"/>
      <c r="H64" s="258"/>
      <c r="I64" s="259">
        <f t="shared" ref="I64:I67" si="71">MIN(F64,3)</f>
        <v>3</v>
      </c>
      <c r="J64" s="262">
        <f t="shared" ref="J64:J67" si="72">I64</f>
        <v>3</v>
      </c>
      <c r="K64" s="262">
        <f t="shared" ref="K64:K67" si="73">I64</f>
        <v>3</v>
      </c>
      <c r="L64" s="262">
        <f t="shared" ref="L64:L67" si="74">I64</f>
        <v>3</v>
      </c>
      <c r="M64" s="263">
        <f t="shared" ref="M64:M67" si="75">I64</f>
        <v>3</v>
      </c>
      <c r="N64" s="263"/>
      <c r="O64" s="263">
        <f t="shared" ref="O64:O67" si="76">I64</f>
        <v>3</v>
      </c>
      <c r="P64" s="263"/>
      <c r="Q64" s="267"/>
      <c r="R64" s="267"/>
      <c r="S64" s="267"/>
      <c r="T64" s="267"/>
      <c r="U64" s="267"/>
      <c r="V64" s="260"/>
      <c r="W64" s="189"/>
      <c r="X64" s="161" t="s">
        <v>29</v>
      </c>
      <c r="Y64" s="73">
        <v>4</v>
      </c>
      <c r="Z64" s="264" t="s">
        <v>68</v>
      </c>
      <c r="AA64" s="265" t="s">
        <v>69</v>
      </c>
      <c r="AB64" s="265"/>
      <c r="AC64" s="350">
        <v>6</v>
      </c>
      <c r="AD64" s="353"/>
      <c r="AE64" s="328"/>
      <c r="AF64" s="354">
        <f t="shared" ref="AF64:AF67" si="77">MIN(AC64,3)</f>
        <v>3</v>
      </c>
      <c r="AG64" s="329">
        <f t="shared" ref="AG64:AG67" si="78">AF64</f>
        <v>3</v>
      </c>
      <c r="AH64" s="329">
        <f t="shared" ref="AH64:AH67" si="79">AF64</f>
        <v>3</v>
      </c>
      <c r="AI64" s="329">
        <f t="shared" ref="AI64:AI67" si="80">AF64</f>
        <v>3</v>
      </c>
      <c r="AJ64" s="330">
        <f t="shared" ref="AJ64:AJ67" si="81">AF64</f>
        <v>3</v>
      </c>
      <c r="AK64" s="331"/>
      <c r="AL64" s="330">
        <f t="shared" ref="AL64:AL67" si="82">AF64</f>
        <v>3</v>
      </c>
      <c r="AM64" s="331"/>
      <c r="AN64" s="332"/>
      <c r="AO64" s="332"/>
      <c r="AP64" s="332"/>
      <c r="AQ64" s="332"/>
      <c r="AR64" s="333"/>
      <c r="AS64" s="261"/>
    </row>
    <row r="65" s="63" customFormat="1" spans="1:45">
      <c r="A65" s="73" t="s">
        <v>29</v>
      </c>
      <c r="B65" s="73">
        <v>5</v>
      </c>
      <c r="C65" s="264" t="s">
        <v>84</v>
      </c>
      <c r="D65" s="265" t="s">
        <v>110</v>
      </c>
      <c r="E65" s="265"/>
      <c r="F65" s="257">
        <v>6</v>
      </c>
      <c r="G65" s="266"/>
      <c r="H65" s="258">
        <f>IF(F65=0,0,IF(F65&lt;6,3,6))</f>
        <v>6</v>
      </c>
      <c r="I65" s="259"/>
      <c r="J65" s="262">
        <f>H65</f>
        <v>6</v>
      </c>
      <c r="K65" s="262">
        <f>H65</f>
        <v>6</v>
      </c>
      <c r="L65" s="262">
        <f>H65</f>
        <v>6</v>
      </c>
      <c r="M65" s="263"/>
      <c r="N65" s="263">
        <f>H65</f>
        <v>6</v>
      </c>
      <c r="O65" s="263"/>
      <c r="P65" s="263">
        <f>H65</f>
        <v>6</v>
      </c>
      <c r="Q65" s="267"/>
      <c r="R65" s="267"/>
      <c r="S65" s="267"/>
      <c r="T65" s="267"/>
      <c r="U65" s="267"/>
      <c r="V65" s="260"/>
      <c r="W65" s="189"/>
      <c r="X65" s="161" t="s">
        <v>29</v>
      </c>
      <c r="Y65" s="73">
        <v>5</v>
      </c>
      <c r="Z65" s="264" t="s">
        <v>84</v>
      </c>
      <c r="AA65" s="265" t="s">
        <v>110</v>
      </c>
      <c r="AB65" s="265"/>
      <c r="AC65" s="350">
        <v>6</v>
      </c>
      <c r="AD65" s="353"/>
      <c r="AE65" s="355">
        <f>IF(AC65=0,0,IF(AC65&lt;6,3,6))</f>
        <v>6</v>
      </c>
      <c r="AF65" s="328"/>
      <c r="AG65" s="329">
        <f>AE65</f>
        <v>6</v>
      </c>
      <c r="AH65" s="329">
        <f>AE65</f>
        <v>6</v>
      </c>
      <c r="AI65" s="329">
        <f>AE65</f>
        <v>6</v>
      </c>
      <c r="AJ65" s="331"/>
      <c r="AK65" s="330">
        <f>AE65</f>
        <v>6</v>
      </c>
      <c r="AL65" s="331"/>
      <c r="AM65" s="330">
        <f>AE65</f>
        <v>6</v>
      </c>
      <c r="AN65" s="332"/>
      <c r="AO65" s="332"/>
      <c r="AP65" s="332"/>
      <c r="AQ65" s="332"/>
      <c r="AR65" s="333"/>
      <c r="AS65" s="261"/>
    </row>
    <row r="66" s="63" customFormat="1" spans="1:45">
      <c r="A66" s="73" t="s">
        <v>29</v>
      </c>
      <c r="B66" s="73">
        <v>6</v>
      </c>
      <c r="C66" s="264" t="s">
        <v>96</v>
      </c>
      <c r="D66" s="265" t="s">
        <v>97</v>
      </c>
      <c r="E66" s="265"/>
      <c r="F66" s="257">
        <v>6</v>
      </c>
      <c r="G66" s="266"/>
      <c r="H66" s="258"/>
      <c r="I66" s="259">
        <f t="shared" si="71"/>
        <v>3</v>
      </c>
      <c r="J66" s="262">
        <f t="shared" si="72"/>
        <v>3</v>
      </c>
      <c r="K66" s="262">
        <f t="shared" si="73"/>
        <v>3</v>
      </c>
      <c r="L66" s="262">
        <f t="shared" si="74"/>
        <v>3</v>
      </c>
      <c r="M66" s="263">
        <f t="shared" si="75"/>
        <v>3</v>
      </c>
      <c r="N66" s="263"/>
      <c r="O66" s="263">
        <f t="shared" si="76"/>
        <v>3</v>
      </c>
      <c r="P66" s="263"/>
      <c r="Q66" s="267"/>
      <c r="R66" s="267"/>
      <c r="S66" s="267"/>
      <c r="T66" s="267"/>
      <c r="U66" s="267"/>
      <c r="V66" s="260"/>
      <c r="W66" s="189"/>
      <c r="X66" s="161" t="s">
        <v>29</v>
      </c>
      <c r="Y66" s="73">
        <v>6</v>
      </c>
      <c r="Z66" s="264" t="s">
        <v>96</v>
      </c>
      <c r="AA66" s="265" t="s">
        <v>97</v>
      </c>
      <c r="AB66" s="265"/>
      <c r="AC66" s="350">
        <v>6</v>
      </c>
      <c r="AD66" s="353"/>
      <c r="AE66" s="328"/>
      <c r="AF66" s="354">
        <f t="shared" si="77"/>
        <v>3</v>
      </c>
      <c r="AG66" s="329">
        <f t="shared" si="78"/>
        <v>3</v>
      </c>
      <c r="AH66" s="329">
        <f t="shared" si="79"/>
        <v>3</v>
      </c>
      <c r="AI66" s="329">
        <f t="shared" si="80"/>
        <v>3</v>
      </c>
      <c r="AJ66" s="330">
        <f t="shared" si="81"/>
        <v>3</v>
      </c>
      <c r="AK66" s="331"/>
      <c r="AL66" s="330">
        <f t="shared" si="82"/>
        <v>3</v>
      </c>
      <c r="AM66" s="331"/>
      <c r="AN66" s="332"/>
      <c r="AO66" s="332"/>
      <c r="AP66" s="332"/>
      <c r="AQ66" s="332"/>
      <c r="AR66" s="333"/>
      <c r="AS66" s="261"/>
    </row>
    <row r="67" s="63" customFormat="1" spans="1:45">
      <c r="A67" s="85" t="s">
        <v>29</v>
      </c>
      <c r="B67" s="85">
        <v>7</v>
      </c>
      <c r="C67" s="264" t="s">
        <v>98</v>
      </c>
      <c r="D67" s="265" t="s">
        <v>99</v>
      </c>
      <c r="E67" s="265"/>
      <c r="F67" s="257">
        <v>6</v>
      </c>
      <c r="G67" s="266"/>
      <c r="H67" s="258"/>
      <c r="I67" s="259">
        <f t="shared" si="71"/>
        <v>3</v>
      </c>
      <c r="J67" s="262">
        <f t="shared" si="72"/>
        <v>3</v>
      </c>
      <c r="K67" s="262">
        <f t="shared" si="73"/>
        <v>3</v>
      </c>
      <c r="L67" s="262">
        <f t="shared" si="74"/>
        <v>3</v>
      </c>
      <c r="M67" s="263">
        <f t="shared" si="75"/>
        <v>3</v>
      </c>
      <c r="N67" s="263"/>
      <c r="O67" s="263">
        <f t="shared" si="76"/>
        <v>3</v>
      </c>
      <c r="P67" s="263"/>
      <c r="Q67" s="267"/>
      <c r="R67" s="267"/>
      <c r="S67" s="267"/>
      <c r="T67" s="267"/>
      <c r="U67" s="267"/>
      <c r="V67" s="260"/>
      <c r="W67" s="189"/>
      <c r="X67" s="269" t="s">
        <v>29</v>
      </c>
      <c r="Y67" s="85">
        <v>7</v>
      </c>
      <c r="Z67" s="264" t="s">
        <v>98</v>
      </c>
      <c r="AA67" s="265" t="s">
        <v>99</v>
      </c>
      <c r="AB67" s="265"/>
      <c r="AC67" s="350">
        <v>6</v>
      </c>
      <c r="AD67" s="353"/>
      <c r="AE67" s="328"/>
      <c r="AF67" s="354">
        <f t="shared" si="77"/>
        <v>3</v>
      </c>
      <c r="AG67" s="329">
        <f t="shared" si="78"/>
        <v>3</v>
      </c>
      <c r="AH67" s="329">
        <f t="shared" si="79"/>
        <v>3</v>
      </c>
      <c r="AI67" s="329">
        <f t="shared" si="80"/>
        <v>3</v>
      </c>
      <c r="AJ67" s="330">
        <f t="shared" si="81"/>
        <v>3</v>
      </c>
      <c r="AK67" s="331"/>
      <c r="AL67" s="330">
        <f t="shared" si="82"/>
        <v>3</v>
      </c>
      <c r="AM67" s="331"/>
      <c r="AN67" s="332"/>
      <c r="AO67" s="332"/>
      <c r="AP67" s="332"/>
      <c r="AQ67" s="332"/>
      <c r="AR67" s="333"/>
      <c r="AS67" s="261"/>
    </row>
    <row r="68" s="63" customFormat="1" spans="1:45">
      <c r="A68" s="73" t="s">
        <v>29</v>
      </c>
      <c r="B68" s="73">
        <v>8</v>
      </c>
      <c r="C68" s="73" t="s">
        <v>111</v>
      </c>
      <c r="D68" s="268" t="s">
        <v>112</v>
      </c>
      <c r="E68" s="268"/>
      <c r="F68" s="257">
        <v>6</v>
      </c>
      <c r="G68" s="266"/>
      <c r="H68" s="258"/>
      <c r="I68" s="259"/>
      <c r="J68" s="262">
        <f>F68</f>
        <v>6</v>
      </c>
      <c r="K68" s="262">
        <f>F68</f>
        <v>6</v>
      </c>
      <c r="L68" s="262">
        <f>F68</f>
        <v>6</v>
      </c>
      <c r="M68" s="263">
        <f>F68</f>
        <v>6</v>
      </c>
      <c r="N68" s="263"/>
      <c r="O68" s="263">
        <f>F68</f>
        <v>6</v>
      </c>
      <c r="P68" s="263"/>
      <c r="Q68" s="267">
        <f>F68</f>
        <v>6</v>
      </c>
      <c r="R68" s="267">
        <f>F68*3</f>
        <v>18</v>
      </c>
      <c r="S68" s="267">
        <f>F68*3</f>
        <v>18</v>
      </c>
      <c r="T68" s="267">
        <f>F68*3</f>
        <v>18</v>
      </c>
      <c r="U68" s="267">
        <f>F68*3</f>
        <v>18</v>
      </c>
      <c r="V68" s="260"/>
      <c r="W68" s="189"/>
      <c r="X68" s="161" t="s">
        <v>29</v>
      </c>
      <c r="Y68" s="73">
        <v>8</v>
      </c>
      <c r="Z68" s="73" t="s">
        <v>111</v>
      </c>
      <c r="AA68" s="268" t="s">
        <v>112</v>
      </c>
      <c r="AB68" s="268"/>
      <c r="AC68" s="356">
        <v>6</v>
      </c>
      <c r="AD68" s="353"/>
      <c r="AE68" s="328"/>
      <c r="AF68" s="328"/>
      <c r="AG68" s="329">
        <f>AC68</f>
        <v>6</v>
      </c>
      <c r="AH68" s="329">
        <f>AC68</f>
        <v>6</v>
      </c>
      <c r="AI68" s="329">
        <f>AC68</f>
        <v>6</v>
      </c>
      <c r="AJ68" s="330">
        <f>AC68</f>
        <v>6</v>
      </c>
      <c r="AK68" s="331"/>
      <c r="AL68" s="330">
        <f>AC68</f>
        <v>6</v>
      </c>
      <c r="AM68" s="331"/>
      <c r="AN68" s="357">
        <f>AC68</f>
        <v>6</v>
      </c>
      <c r="AO68" s="357">
        <f>AC68*3</f>
        <v>18</v>
      </c>
      <c r="AP68" s="357">
        <f>AC68*3</f>
        <v>18</v>
      </c>
      <c r="AQ68" s="357">
        <f>AC68*3</f>
        <v>18</v>
      </c>
      <c r="AR68" s="358">
        <f>AC68*3</f>
        <v>18</v>
      </c>
      <c r="AS68" s="261"/>
    </row>
    <row r="69" s="63" customFormat="1" spans="1:45">
      <c r="A69" s="73" t="s">
        <v>29</v>
      </c>
      <c r="B69" s="73">
        <v>9</v>
      </c>
      <c r="C69" s="73" t="s">
        <v>66</v>
      </c>
      <c r="D69" s="18" t="s">
        <v>67</v>
      </c>
      <c r="E69" s="18"/>
      <c r="F69" s="257">
        <v>6</v>
      </c>
      <c r="G69" s="249"/>
      <c r="H69" s="250"/>
      <c r="I69" s="251"/>
      <c r="J69" s="262">
        <f>F69</f>
        <v>6</v>
      </c>
      <c r="K69" s="262">
        <f>F69</f>
        <v>6</v>
      </c>
      <c r="L69" s="262">
        <f>F69</f>
        <v>6</v>
      </c>
      <c r="M69" s="263">
        <f>F69</f>
        <v>6</v>
      </c>
      <c r="N69" s="263"/>
      <c r="O69" s="263">
        <f>F69</f>
        <v>6</v>
      </c>
      <c r="P69" s="263"/>
      <c r="Q69" s="254"/>
      <c r="R69" s="254"/>
      <c r="S69" s="254"/>
      <c r="T69" s="254"/>
      <c r="U69" s="254"/>
      <c r="V69" s="319"/>
      <c r="W69" s="189"/>
      <c r="X69" s="161" t="s">
        <v>29</v>
      </c>
      <c r="Y69" s="73">
        <v>9</v>
      </c>
      <c r="Z69" s="73" t="s">
        <v>66</v>
      </c>
      <c r="AA69" s="18" t="s">
        <v>67</v>
      </c>
      <c r="AB69" s="18"/>
      <c r="AC69" s="356">
        <v>6</v>
      </c>
      <c r="AD69" s="353"/>
      <c r="AE69" s="328"/>
      <c r="AF69" s="328"/>
      <c r="AG69" s="329">
        <f>AC69</f>
        <v>6</v>
      </c>
      <c r="AH69" s="329">
        <f>AC69</f>
        <v>6</v>
      </c>
      <c r="AI69" s="329">
        <f>AC69</f>
        <v>6</v>
      </c>
      <c r="AJ69" s="330">
        <f>AC69</f>
        <v>6</v>
      </c>
      <c r="AK69" s="331"/>
      <c r="AL69" s="330">
        <f>AC69</f>
        <v>6</v>
      </c>
      <c r="AM69" s="331"/>
      <c r="AN69" s="332"/>
      <c r="AO69" s="332"/>
      <c r="AP69" s="332"/>
      <c r="AQ69" s="332"/>
      <c r="AR69" s="333"/>
      <c r="AS69" s="261"/>
    </row>
    <row r="70" s="63" customFormat="1" spans="1:45">
      <c r="A70" s="73" t="s">
        <v>29</v>
      </c>
      <c r="B70" s="73">
        <v>10</v>
      </c>
      <c r="C70" s="73" t="s">
        <v>64</v>
      </c>
      <c r="D70" s="18" t="s">
        <v>65</v>
      </c>
      <c r="E70" s="18"/>
      <c r="F70" s="257">
        <v>6</v>
      </c>
      <c r="G70" s="249"/>
      <c r="H70" s="250"/>
      <c r="I70" s="250"/>
      <c r="J70" s="294"/>
      <c r="K70" s="294"/>
      <c r="L70" s="294"/>
      <c r="M70" s="295"/>
      <c r="N70" s="295"/>
      <c r="O70" s="295"/>
      <c r="P70" s="295"/>
      <c r="Q70" s="296"/>
      <c r="R70" s="296"/>
      <c r="S70" s="296"/>
      <c r="T70" s="296"/>
      <c r="U70" s="296"/>
      <c r="V70" s="260"/>
      <c r="W70" s="189"/>
      <c r="X70" s="161" t="s">
        <v>29</v>
      </c>
      <c r="Y70" s="73">
        <v>10</v>
      </c>
      <c r="Z70" s="73" t="s">
        <v>64</v>
      </c>
      <c r="AA70" s="18" t="s">
        <v>65</v>
      </c>
      <c r="AB70" s="18"/>
      <c r="AC70" s="356">
        <v>6</v>
      </c>
      <c r="AD70" s="353"/>
      <c r="AE70" s="328"/>
      <c r="AF70" s="328"/>
      <c r="AG70" s="334"/>
      <c r="AH70" s="334"/>
      <c r="AI70" s="334"/>
      <c r="AJ70" s="331"/>
      <c r="AK70" s="331"/>
      <c r="AL70" s="331"/>
      <c r="AM70" s="331"/>
      <c r="AN70" s="332"/>
      <c r="AO70" s="332"/>
      <c r="AP70" s="332"/>
      <c r="AQ70" s="332"/>
      <c r="AR70" s="333"/>
      <c r="AS70" s="261"/>
    </row>
    <row r="71" s="63" customFormat="1" spans="1:45">
      <c r="A71" s="73" t="s">
        <v>29</v>
      </c>
      <c r="B71" s="73">
        <v>11</v>
      </c>
      <c r="C71" s="73" t="s">
        <v>100</v>
      </c>
      <c r="D71" s="18" t="s">
        <v>100</v>
      </c>
      <c r="E71" s="18"/>
      <c r="F71" s="257">
        <v>6</v>
      </c>
      <c r="G71" s="249"/>
      <c r="H71" s="250"/>
      <c r="I71" s="250"/>
      <c r="J71" s="294"/>
      <c r="K71" s="294"/>
      <c r="L71" s="294"/>
      <c r="M71" s="295"/>
      <c r="N71" s="295"/>
      <c r="O71" s="295"/>
      <c r="P71" s="295"/>
      <c r="Q71" s="296"/>
      <c r="R71" s="296"/>
      <c r="S71" s="296"/>
      <c r="T71" s="296"/>
      <c r="U71" s="296"/>
      <c r="V71" s="260"/>
      <c r="W71" s="189"/>
      <c r="X71" s="161" t="s">
        <v>29</v>
      </c>
      <c r="Y71" s="73">
        <v>11</v>
      </c>
      <c r="Z71" s="73" t="s">
        <v>100</v>
      </c>
      <c r="AA71" s="18" t="s">
        <v>100</v>
      </c>
      <c r="AB71" s="18"/>
      <c r="AC71" s="356">
        <v>6</v>
      </c>
      <c r="AD71" s="353"/>
      <c r="AE71" s="328"/>
      <c r="AF71" s="328"/>
      <c r="AG71" s="334"/>
      <c r="AH71" s="334"/>
      <c r="AI71" s="334"/>
      <c r="AJ71" s="331"/>
      <c r="AK71" s="331"/>
      <c r="AL71" s="331"/>
      <c r="AM71" s="331"/>
      <c r="AN71" s="332"/>
      <c r="AO71" s="332"/>
      <c r="AP71" s="332"/>
      <c r="AQ71" s="332"/>
      <c r="AR71" s="333"/>
      <c r="AS71" s="261"/>
    </row>
    <row r="72" s="186" customFormat="1" spans="1:45">
      <c r="A72" s="271" t="s">
        <v>101</v>
      </c>
      <c r="B72" s="271"/>
      <c r="C72" s="271"/>
      <c r="D72" s="271"/>
      <c r="E72" s="271"/>
      <c r="F72" s="272">
        <f t="shared" ref="F72:U72" si="83">MAX(F61:F71)</f>
        <v>6</v>
      </c>
      <c r="G72" s="273">
        <f t="shared" si="83"/>
        <v>0</v>
      </c>
      <c r="H72" s="274">
        <f t="shared" si="83"/>
        <v>6</v>
      </c>
      <c r="I72" s="274">
        <f t="shared" si="83"/>
        <v>3</v>
      </c>
      <c r="J72" s="275">
        <f t="shared" si="83"/>
        <v>6</v>
      </c>
      <c r="K72" s="275">
        <f t="shared" si="83"/>
        <v>6</v>
      </c>
      <c r="L72" s="275">
        <f t="shared" si="83"/>
        <v>6</v>
      </c>
      <c r="M72" s="276">
        <f t="shared" si="83"/>
        <v>6</v>
      </c>
      <c r="N72" s="276">
        <f t="shared" si="83"/>
        <v>6</v>
      </c>
      <c r="O72" s="276">
        <f t="shared" si="83"/>
        <v>6</v>
      </c>
      <c r="P72" s="276">
        <f t="shared" si="83"/>
        <v>6</v>
      </c>
      <c r="Q72" s="277">
        <f t="shared" si="83"/>
        <v>6</v>
      </c>
      <c r="R72" s="277">
        <f t="shared" si="83"/>
        <v>18</v>
      </c>
      <c r="S72" s="277">
        <f t="shared" si="83"/>
        <v>18</v>
      </c>
      <c r="T72" s="277">
        <f t="shared" si="83"/>
        <v>18</v>
      </c>
      <c r="U72" s="277">
        <f t="shared" si="83"/>
        <v>18</v>
      </c>
      <c r="V72" s="341"/>
      <c r="W72" s="189"/>
      <c r="X72" s="279" t="s">
        <v>101</v>
      </c>
      <c r="Y72" s="271"/>
      <c r="Z72" s="271"/>
      <c r="AA72" s="271"/>
      <c r="AB72" s="271"/>
      <c r="AC72" s="281">
        <f>MAX(AC61:AC71)</f>
        <v>6</v>
      </c>
      <c r="AD72" s="359">
        <f>MAX(AD61:AD71)</f>
        <v>0</v>
      </c>
      <c r="AE72" s="360">
        <v>6</v>
      </c>
      <c r="AF72" s="360">
        <v>3</v>
      </c>
      <c r="AG72" s="361">
        <v>6</v>
      </c>
      <c r="AH72" s="361">
        <v>6</v>
      </c>
      <c r="AI72" s="361">
        <v>6</v>
      </c>
      <c r="AJ72" s="362">
        <v>6</v>
      </c>
      <c r="AK72" s="362">
        <v>6</v>
      </c>
      <c r="AL72" s="362">
        <v>6</v>
      </c>
      <c r="AM72" s="362">
        <v>6</v>
      </c>
      <c r="AN72" s="363">
        <v>6</v>
      </c>
      <c r="AO72" s="363">
        <v>18</v>
      </c>
      <c r="AP72" s="363">
        <v>18</v>
      </c>
      <c r="AQ72" s="363">
        <v>18</v>
      </c>
      <c r="AR72" s="364">
        <v>18</v>
      </c>
      <c r="AS72" s="293"/>
    </row>
    <row r="73" s="60" customFormat="1" spans="1:45">
      <c r="A73" s="235" t="s">
        <v>113</v>
      </c>
      <c r="B73" s="236"/>
      <c r="C73" s="236"/>
      <c r="D73" s="236"/>
      <c r="E73" s="236"/>
      <c r="F73" s="249" t="s">
        <v>4</v>
      </c>
      <c r="G73" s="249"/>
      <c r="H73" s="250" t="s">
        <v>5</v>
      </c>
      <c r="I73" s="251"/>
      <c r="J73" s="294" t="s">
        <v>6</v>
      </c>
      <c r="K73" s="294"/>
      <c r="L73" s="294"/>
      <c r="M73" s="295" t="s">
        <v>7</v>
      </c>
      <c r="N73" s="295"/>
      <c r="O73" s="295"/>
      <c r="P73" s="295"/>
      <c r="Q73" s="296" t="s">
        <v>49</v>
      </c>
      <c r="R73" s="296"/>
      <c r="S73" s="296"/>
      <c r="T73" s="296"/>
      <c r="U73" s="296"/>
      <c r="V73" s="243" t="s">
        <v>50</v>
      </c>
      <c r="W73" s="189"/>
      <c r="X73" s="297" t="s">
        <v>113</v>
      </c>
      <c r="Y73" s="236"/>
      <c r="Z73" s="236"/>
      <c r="AA73" s="236"/>
      <c r="AB73" s="236"/>
      <c r="AC73" s="298" t="s">
        <v>4</v>
      </c>
      <c r="AD73" s="299"/>
      <c r="AE73" s="365" t="s">
        <v>5</v>
      </c>
      <c r="AF73" s="301"/>
      <c r="AG73" s="366" t="s">
        <v>6</v>
      </c>
      <c r="AH73" s="303"/>
      <c r="AI73" s="303"/>
      <c r="AJ73" s="367" t="s">
        <v>7</v>
      </c>
      <c r="AK73" s="305"/>
      <c r="AL73" s="305"/>
      <c r="AM73" s="305"/>
      <c r="AN73" s="368" t="s">
        <v>49</v>
      </c>
      <c r="AO73" s="307"/>
      <c r="AP73" s="307"/>
      <c r="AQ73" s="307"/>
      <c r="AR73" s="307"/>
      <c r="AS73" s="256" t="s">
        <v>50</v>
      </c>
    </row>
    <row r="74" s="60" customFormat="1" ht="31" spans="1:45">
      <c r="A74" s="70" t="s">
        <v>51</v>
      </c>
      <c r="B74" s="70" t="s">
        <v>52</v>
      </c>
      <c r="C74" s="70" t="s">
        <v>53</v>
      </c>
      <c r="D74" s="86" t="s">
        <v>54</v>
      </c>
      <c r="E74" s="86"/>
      <c r="F74" s="248" t="s">
        <v>10</v>
      </c>
      <c r="G74" s="249" t="s">
        <v>11</v>
      </c>
      <c r="H74" s="250" t="s">
        <v>55</v>
      </c>
      <c r="I74" s="251" t="s">
        <v>13</v>
      </c>
      <c r="J74" s="252" t="s">
        <v>14</v>
      </c>
      <c r="K74" s="252" t="s">
        <v>15</v>
      </c>
      <c r="L74" s="252" t="s">
        <v>56</v>
      </c>
      <c r="M74" s="253" t="s">
        <v>57</v>
      </c>
      <c r="N74" s="253" t="s">
        <v>58</v>
      </c>
      <c r="O74" s="253" t="s">
        <v>59</v>
      </c>
      <c r="P74" s="253" t="s">
        <v>60</v>
      </c>
      <c r="Q74" s="254" t="s">
        <v>21</v>
      </c>
      <c r="R74" s="254" t="s">
        <v>22</v>
      </c>
      <c r="S74" s="254" t="s">
        <v>61</v>
      </c>
      <c r="T74" s="254" t="s">
        <v>62</v>
      </c>
      <c r="U74" s="254" t="s">
        <v>63</v>
      </c>
      <c r="V74" s="243"/>
      <c r="W74" s="189"/>
      <c r="X74" s="155" t="s">
        <v>51</v>
      </c>
      <c r="Y74" s="70" t="s">
        <v>52</v>
      </c>
      <c r="Z74" s="70" t="s">
        <v>53</v>
      </c>
      <c r="AA74" s="86" t="s">
        <v>54</v>
      </c>
      <c r="AB74" s="86"/>
      <c r="AC74" s="308" t="s">
        <v>10</v>
      </c>
      <c r="AD74" s="309" t="s">
        <v>11</v>
      </c>
      <c r="AE74" s="300" t="s">
        <v>55</v>
      </c>
      <c r="AF74" s="310" t="s">
        <v>13</v>
      </c>
      <c r="AG74" s="311" t="s">
        <v>14</v>
      </c>
      <c r="AH74" s="312" t="s">
        <v>15</v>
      </c>
      <c r="AI74" s="313" t="s">
        <v>56</v>
      </c>
      <c r="AJ74" s="314" t="s">
        <v>57</v>
      </c>
      <c r="AK74" s="315" t="s">
        <v>58</v>
      </c>
      <c r="AL74" s="315" t="s">
        <v>59</v>
      </c>
      <c r="AM74" s="316" t="s">
        <v>60</v>
      </c>
      <c r="AN74" s="317" t="s">
        <v>21</v>
      </c>
      <c r="AO74" s="318" t="s">
        <v>22</v>
      </c>
      <c r="AP74" s="318" t="s">
        <v>61</v>
      </c>
      <c r="AQ74" s="318" t="s">
        <v>62</v>
      </c>
      <c r="AR74" s="318" t="s">
        <v>63</v>
      </c>
      <c r="AS74" s="256"/>
    </row>
    <row r="75" s="63" customFormat="1" spans="1:45">
      <c r="A75" s="73" t="s">
        <v>30</v>
      </c>
      <c r="B75" s="73">
        <v>1</v>
      </c>
      <c r="C75" s="73" t="s">
        <v>64</v>
      </c>
      <c r="D75" s="18" t="s">
        <v>65</v>
      </c>
      <c r="E75" s="18"/>
      <c r="F75" s="257">
        <v>6</v>
      </c>
      <c r="G75" s="249"/>
      <c r="H75" s="250"/>
      <c r="I75" s="251"/>
      <c r="J75" s="252"/>
      <c r="K75" s="252"/>
      <c r="L75" s="252"/>
      <c r="M75" s="253"/>
      <c r="N75" s="253"/>
      <c r="O75" s="253"/>
      <c r="P75" s="253"/>
      <c r="Q75" s="254"/>
      <c r="R75" s="254"/>
      <c r="S75" s="254"/>
      <c r="T75" s="254"/>
      <c r="U75" s="254"/>
      <c r="V75" s="319"/>
      <c r="W75" s="189"/>
      <c r="X75" s="161" t="s">
        <v>30</v>
      </c>
      <c r="Y75" s="73">
        <v>1</v>
      </c>
      <c r="Z75" s="73" t="s">
        <v>64</v>
      </c>
      <c r="AA75" s="18" t="s">
        <v>65</v>
      </c>
      <c r="AB75" s="18"/>
      <c r="AC75" s="320">
        <v>6</v>
      </c>
      <c r="AD75" s="321"/>
      <c r="AE75" s="322"/>
      <c r="AF75" s="322"/>
      <c r="AG75" s="323"/>
      <c r="AH75" s="323"/>
      <c r="AI75" s="323"/>
      <c r="AJ75" s="324"/>
      <c r="AK75" s="324"/>
      <c r="AL75" s="324"/>
      <c r="AM75" s="324"/>
      <c r="AN75" s="325"/>
      <c r="AO75" s="325"/>
      <c r="AP75" s="325"/>
      <c r="AQ75" s="325"/>
      <c r="AR75" s="326"/>
      <c r="AS75" s="261"/>
    </row>
    <row r="76" s="63" customFormat="1" spans="1:45">
      <c r="A76" s="73" t="s">
        <v>30</v>
      </c>
      <c r="B76" s="73">
        <v>2</v>
      </c>
      <c r="C76" s="73" t="s">
        <v>66</v>
      </c>
      <c r="D76" s="18" t="s">
        <v>67</v>
      </c>
      <c r="E76" s="18"/>
      <c r="F76" s="257">
        <v>6</v>
      </c>
      <c r="G76" s="249"/>
      <c r="H76" s="250"/>
      <c r="I76" s="251"/>
      <c r="J76" s="262">
        <f>F76</f>
        <v>6</v>
      </c>
      <c r="K76" s="262">
        <f>F76</f>
        <v>6</v>
      </c>
      <c r="L76" s="262">
        <f>F76</f>
        <v>6</v>
      </c>
      <c r="M76" s="263">
        <f>F76</f>
        <v>6</v>
      </c>
      <c r="N76" s="263"/>
      <c r="O76" s="263">
        <f>F76</f>
        <v>6</v>
      </c>
      <c r="P76" s="263"/>
      <c r="Q76" s="254"/>
      <c r="R76" s="254"/>
      <c r="S76" s="254"/>
      <c r="T76" s="254"/>
      <c r="U76" s="254"/>
      <c r="V76" s="319"/>
      <c r="W76" s="189"/>
      <c r="X76" s="161" t="s">
        <v>30</v>
      </c>
      <c r="Y76" s="73">
        <v>2</v>
      </c>
      <c r="Z76" s="73" t="s">
        <v>66</v>
      </c>
      <c r="AA76" s="18" t="s">
        <v>67</v>
      </c>
      <c r="AB76" s="18"/>
      <c r="AC76" s="320">
        <v>6</v>
      </c>
      <c r="AD76" s="327"/>
      <c r="AE76" s="328"/>
      <c r="AF76" s="328"/>
      <c r="AG76" s="329">
        <f>AC76</f>
        <v>6</v>
      </c>
      <c r="AH76" s="329">
        <f>AC76</f>
        <v>6</v>
      </c>
      <c r="AI76" s="329">
        <f>AC76</f>
        <v>6</v>
      </c>
      <c r="AJ76" s="330">
        <f>AC76</f>
        <v>6</v>
      </c>
      <c r="AK76" s="331"/>
      <c r="AL76" s="330">
        <f>AC76</f>
        <v>6</v>
      </c>
      <c r="AM76" s="331"/>
      <c r="AN76" s="332"/>
      <c r="AO76" s="332"/>
      <c r="AP76" s="332"/>
      <c r="AQ76" s="332"/>
      <c r="AR76" s="333"/>
      <c r="AS76" s="261"/>
    </row>
    <row r="77" s="63" customFormat="1" spans="1:45">
      <c r="A77" s="73" t="s">
        <v>30</v>
      </c>
      <c r="B77" s="73">
        <v>3</v>
      </c>
      <c r="C77" s="264" t="s">
        <v>114</v>
      </c>
      <c r="D77" s="265" t="s">
        <v>115</v>
      </c>
      <c r="E77" s="265"/>
      <c r="F77" s="257">
        <v>6</v>
      </c>
      <c r="G77" s="266"/>
      <c r="H77" s="258"/>
      <c r="I77" s="259"/>
      <c r="J77" s="262">
        <f>IF(F77&gt;0,1,0)</f>
        <v>1</v>
      </c>
      <c r="K77" s="262">
        <f>IF(F77&gt;0,1,0)</f>
        <v>1</v>
      </c>
      <c r="L77" s="262">
        <f>IF(F77&gt;0,1,0)</f>
        <v>1</v>
      </c>
      <c r="M77" s="263">
        <f>IF(F77&gt;0,1,0)</f>
        <v>1</v>
      </c>
      <c r="N77" s="263"/>
      <c r="O77" s="263">
        <f>IF(F77&gt;0,1,0)</f>
        <v>1</v>
      </c>
      <c r="P77" s="263"/>
      <c r="Q77" s="267"/>
      <c r="R77" s="267"/>
      <c r="S77" s="267"/>
      <c r="T77" s="267"/>
      <c r="U77" s="267"/>
      <c r="V77" s="260"/>
      <c r="W77" s="189"/>
      <c r="X77" s="161" t="s">
        <v>30</v>
      </c>
      <c r="Y77" s="73">
        <v>3</v>
      </c>
      <c r="Z77" s="264" t="s">
        <v>114</v>
      </c>
      <c r="AA77" s="265" t="s">
        <v>115</v>
      </c>
      <c r="AB77" s="265"/>
      <c r="AC77" s="320">
        <v>6</v>
      </c>
      <c r="AD77" s="327"/>
      <c r="AE77" s="328"/>
      <c r="AF77" s="328"/>
      <c r="AG77" s="329">
        <f>IF(AC77&gt;0,1,0)</f>
        <v>1</v>
      </c>
      <c r="AH77" s="329">
        <f>IF(AC77&gt;0,1,0)</f>
        <v>1</v>
      </c>
      <c r="AI77" s="329">
        <f>IF(AC77&gt;0,1,0)</f>
        <v>1</v>
      </c>
      <c r="AJ77" s="330">
        <f>IF(AC77&gt;0,1,0)</f>
        <v>1</v>
      </c>
      <c r="AK77" s="331"/>
      <c r="AL77" s="330">
        <f>IF(AC77&gt;0,1,0)</f>
        <v>1</v>
      </c>
      <c r="AM77" s="331"/>
      <c r="AN77" s="332"/>
      <c r="AO77" s="332"/>
      <c r="AP77" s="332"/>
      <c r="AQ77" s="332"/>
      <c r="AR77" s="333"/>
      <c r="AS77" s="261"/>
    </row>
    <row r="78" s="63" customFormat="1" spans="1:45">
      <c r="A78" s="73" t="s">
        <v>30</v>
      </c>
      <c r="B78" s="73">
        <v>4</v>
      </c>
      <c r="C78" s="73" t="s">
        <v>66</v>
      </c>
      <c r="D78" s="18" t="s">
        <v>67</v>
      </c>
      <c r="E78" s="18"/>
      <c r="F78" s="257">
        <v>6</v>
      </c>
      <c r="G78" s="249"/>
      <c r="H78" s="250"/>
      <c r="I78" s="251"/>
      <c r="J78" s="262">
        <f>F78</f>
        <v>6</v>
      </c>
      <c r="K78" s="262">
        <f>F78</f>
        <v>6</v>
      </c>
      <c r="L78" s="262">
        <f>F78</f>
        <v>6</v>
      </c>
      <c r="M78" s="263">
        <f>F78</f>
        <v>6</v>
      </c>
      <c r="N78" s="263"/>
      <c r="O78" s="263">
        <f>F78</f>
        <v>6</v>
      </c>
      <c r="P78" s="263"/>
      <c r="Q78" s="254"/>
      <c r="R78" s="254"/>
      <c r="S78" s="254"/>
      <c r="T78" s="254"/>
      <c r="U78" s="254"/>
      <c r="V78" s="319"/>
      <c r="W78" s="189"/>
      <c r="X78" s="161" t="s">
        <v>30</v>
      </c>
      <c r="Y78" s="73">
        <v>4</v>
      </c>
      <c r="Z78" s="73" t="s">
        <v>66</v>
      </c>
      <c r="AA78" s="18" t="s">
        <v>67</v>
      </c>
      <c r="AB78" s="18"/>
      <c r="AC78" s="320">
        <v>6</v>
      </c>
      <c r="AD78" s="327"/>
      <c r="AE78" s="328"/>
      <c r="AF78" s="328"/>
      <c r="AG78" s="329">
        <f>AC78</f>
        <v>6</v>
      </c>
      <c r="AH78" s="329">
        <f>AC78</f>
        <v>6</v>
      </c>
      <c r="AI78" s="329">
        <f>AC78</f>
        <v>6</v>
      </c>
      <c r="AJ78" s="330">
        <f>AC78</f>
        <v>6</v>
      </c>
      <c r="AK78" s="331"/>
      <c r="AL78" s="330">
        <f>AC78</f>
        <v>6</v>
      </c>
      <c r="AM78" s="331"/>
      <c r="AN78" s="332"/>
      <c r="AO78" s="332"/>
      <c r="AP78" s="332"/>
      <c r="AQ78" s="332"/>
      <c r="AR78" s="333"/>
      <c r="AS78" s="261"/>
    </row>
    <row r="79" s="63" customFormat="1" spans="1:45">
      <c r="A79" s="73" t="s">
        <v>30</v>
      </c>
      <c r="B79" s="73">
        <v>5</v>
      </c>
      <c r="C79" s="73" t="s">
        <v>64</v>
      </c>
      <c r="D79" s="18" t="s">
        <v>65</v>
      </c>
      <c r="E79" s="18"/>
      <c r="F79" s="257">
        <v>6</v>
      </c>
      <c r="G79" s="249"/>
      <c r="H79" s="250"/>
      <c r="I79" s="250"/>
      <c r="J79" s="294"/>
      <c r="K79" s="294"/>
      <c r="L79" s="294"/>
      <c r="M79" s="295"/>
      <c r="N79" s="295"/>
      <c r="O79" s="295"/>
      <c r="P79" s="295"/>
      <c r="Q79" s="296"/>
      <c r="R79" s="296"/>
      <c r="S79" s="296"/>
      <c r="T79" s="296"/>
      <c r="U79" s="296"/>
      <c r="V79" s="260"/>
      <c r="W79" s="189"/>
      <c r="X79" s="161" t="s">
        <v>30</v>
      </c>
      <c r="Y79" s="73">
        <v>5</v>
      </c>
      <c r="Z79" s="73" t="s">
        <v>64</v>
      </c>
      <c r="AA79" s="18" t="s">
        <v>65</v>
      </c>
      <c r="AB79" s="18"/>
      <c r="AC79" s="320">
        <v>6</v>
      </c>
      <c r="AD79" s="327"/>
      <c r="AE79" s="328"/>
      <c r="AF79" s="328"/>
      <c r="AG79" s="334"/>
      <c r="AH79" s="334"/>
      <c r="AI79" s="334"/>
      <c r="AJ79" s="331"/>
      <c r="AK79" s="331"/>
      <c r="AL79" s="331"/>
      <c r="AM79" s="331"/>
      <c r="AN79" s="332"/>
      <c r="AO79" s="332"/>
      <c r="AP79" s="332"/>
      <c r="AQ79" s="332"/>
      <c r="AR79" s="333"/>
      <c r="AS79" s="261"/>
    </row>
    <row r="80" s="63" customFormat="1" spans="1:45">
      <c r="A80" s="73" t="s">
        <v>30</v>
      </c>
      <c r="B80" s="73">
        <v>6</v>
      </c>
      <c r="C80" s="73" t="s">
        <v>100</v>
      </c>
      <c r="D80" s="18" t="s">
        <v>100</v>
      </c>
      <c r="E80" s="18"/>
      <c r="F80" s="257">
        <v>6</v>
      </c>
      <c r="G80" s="249"/>
      <c r="H80" s="250"/>
      <c r="I80" s="250"/>
      <c r="J80" s="294"/>
      <c r="K80" s="294"/>
      <c r="L80" s="294"/>
      <c r="M80" s="295"/>
      <c r="N80" s="295"/>
      <c r="O80" s="295"/>
      <c r="P80" s="295"/>
      <c r="Q80" s="296"/>
      <c r="R80" s="296"/>
      <c r="S80" s="296"/>
      <c r="T80" s="296"/>
      <c r="U80" s="296"/>
      <c r="V80" s="260"/>
      <c r="W80" s="189"/>
      <c r="X80" s="161" t="s">
        <v>30</v>
      </c>
      <c r="Y80" s="73">
        <v>6</v>
      </c>
      <c r="Z80" s="73" t="s">
        <v>100</v>
      </c>
      <c r="AA80" s="18" t="s">
        <v>100</v>
      </c>
      <c r="AB80" s="18"/>
      <c r="AC80" s="320">
        <v>6</v>
      </c>
      <c r="AD80" s="335"/>
      <c r="AE80" s="336"/>
      <c r="AF80" s="336"/>
      <c r="AG80" s="337"/>
      <c r="AH80" s="337"/>
      <c r="AI80" s="337"/>
      <c r="AJ80" s="338"/>
      <c r="AK80" s="338"/>
      <c r="AL80" s="338"/>
      <c r="AM80" s="338"/>
      <c r="AN80" s="339"/>
      <c r="AO80" s="339"/>
      <c r="AP80" s="339"/>
      <c r="AQ80" s="339"/>
      <c r="AR80" s="340"/>
      <c r="AS80" s="261"/>
    </row>
    <row r="81" s="186" customFormat="1" spans="1:45">
      <c r="A81" s="271" t="s">
        <v>101</v>
      </c>
      <c r="B81" s="271"/>
      <c r="C81" s="271"/>
      <c r="D81" s="271"/>
      <c r="E81" s="271"/>
      <c r="F81" s="272">
        <f t="shared" ref="F81:U81" si="84">MAX(F75:F80)</f>
        <v>6</v>
      </c>
      <c r="G81" s="273">
        <f t="shared" si="84"/>
        <v>0</v>
      </c>
      <c r="H81" s="274">
        <f t="shared" si="84"/>
        <v>0</v>
      </c>
      <c r="I81" s="274">
        <f t="shared" si="84"/>
        <v>0</v>
      </c>
      <c r="J81" s="275">
        <f t="shared" si="84"/>
        <v>6</v>
      </c>
      <c r="K81" s="275">
        <f t="shared" si="84"/>
        <v>6</v>
      </c>
      <c r="L81" s="275">
        <f t="shared" si="84"/>
        <v>6</v>
      </c>
      <c r="M81" s="276">
        <f t="shared" si="84"/>
        <v>6</v>
      </c>
      <c r="N81" s="276">
        <f t="shared" si="84"/>
        <v>0</v>
      </c>
      <c r="O81" s="276">
        <f t="shared" si="84"/>
        <v>6</v>
      </c>
      <c r="P81" s="276">
        <f t="shared" si="84"/>
        <v>0</v>
      </c>
      <c r="Q81" s="277">
        <f t="shared" si="84"/>
        <v>0</v>
      </c>
      <c r="R81" s="277">
        <f t="shared" si="84"/>
        <v>0</v>
      </c>
      <c r="S81" s="277">
        <f t="shared" si="84"/>
        <v>0</v>
      </c>
      <c r="T81" s="277">
        <f t="shared" si="84"/>
        <v>0</v>
      </c>
      <c r="U81" s="277">
        <f t="shared" si="84"/>
        <v>0</v>
      </c>
      <c r="V81" s="341"/>
      <c r="W81" s="189"/>
      <c r="X81" s="279" t="s">
        <v>101</v>
      </c>
      <c r="Y81" s="271"/>
      <c r="Z81" s="271"/>
      <c r="AA81" s="271"/>
      <c r="AB81" s="271"/>
      <c r="AC81" s="281">
        <f>MAX(AC75:AC80)</f>
        <v>6</v>
      </c>
      <c r="AD81" s="282">
        <f>MAX(AD75:AD80)</f>
        <v>0</v>
      </c>
      <c r="AE81" s="283">
        <v>0</v>
      </c>
      <c r="AF81" s="284">
        <v>0</v>
      </c>
      <c r="AG81" s="285">
        <v>6</v>
      </c>
      <c r="AH81" s="286">
        <v>6</v>
      </c>
      <c r="AI81" s="287">
        <v>6</v>
      </c>
      <c r="AJ81" s="288">
        <v>6</v>
      </c>
      <c r="AK81" s="289">
        <v>0</v>
      </c>
      <c r="AL81" s="289">
        <v>6</v>
      </c>
      <c r="AM81" s="290">
        <v>0</v>
      </c>
      <c r="AN81" s="291">
        <v>0</v>
      </c>
      <c r="AO81" s="292">
        <v>0</v>
      </c>
      <c r="AP81" s="292">
        <v>0</v>
      </c>
      <c r="AQ81" s="292">
        <v>0</v>
      </c>
      <c r="AR81" s="292">
        <v>0</v>
      </c>
      <c r="AS81" s="293"/>
    </row>
    <row r="82" s="60" customFormat="1" spans="1:45">
      <c r="A82" s="235" t="s">
        <v>116</v>
      </c>
      <c r="B82" s="236"/>
      <c r="C82" s="236"/>
      <c r="D82" s="236"/>
      <c r="E82" s="236"/>
      <c r="F82" s="249" t="s">
        <v>4</v>
      </c>
      <c r="G82" s="249"/>
      <c r="H82" s="250" t="s">
        <v>5</v>
      </c>
      <c r="I82" s="251"/>
      <c r="J82" s="294" t="s">
        <v>6</v>
      </c>
      <c r="K82" s="294"/>
      <c r="L82" s="294"/>
      <c r="M82" s="295" t="s">
        <v>7</v>
      </c>
      <c r="N82" s="295"/>
      <c r="O82" s="295"/>
      <c r="P82" s="295"/>
      <c r="Q82" s="296" t="s">
        <v>49</v>
      </c>
      <c r="R82" s="296"/>
      <c r="S82" s="296"/>
      <c r="T82" s="296"/>
      <c r="U82" s="296"/>
      <c r="V82" s="243" t="s">
        <v>50</v>
      </c>
      <c r="W82" s="189"/>
      <c r="X82" s="297" t="s">
        <v>116</v>
      </c>
      <c r="Y82" s="236"/>
      <c r="Z82" s="236"/>
      <c r="AA82" s="236"/>
      <c r="AB82" s="236"/>
      <c r="AC82" s="298" t="s">
        <v>4</v>
      </c>
      <c r="AD82" s="299"/>
      <c r="AE82" s="300" t="s">
        <v>5</v>
      </c>
      <c r="AF82" s="301"/>
      <c r="AG82" s="302" t="s">
        <v>6</v>
      </c>
      <c r="AH82" s="303"/>
      <c r="AI82" s="303"/>
      <c r="AJ82" s="304" t="s">
        <v>7</v>
      </c>
      <c r="AK82" s="305"/>
      <c r="AL82" s="305"/>
      <c r="AM82" s="305"/>
      <c r="AN82" s="306" t="s">
        <v>49</v>
      </c>
      <c r="AO82" s="307"/>
      <c r="AP82" s="307"/>
      <c r="AQ82" s="307"/>
      <c r="AR82" s="307"/>
      <c r="AS82" s="256" t="s">
        <v>50</v>
      </c>
    </row>
    <row r="83" s="60" customFormat="1" ht="31" spans="1:45">
      <c r="A83" s="70" t="s">
        <v>51</v>
      </c>
      <c r="B83" s="70" t="s">
        <v>52</v>
      </c>
      <c r="C83" s="70" t="s">
        <v>53</v>
      </c>
      <c r="D83" s="86" t="s">
        <v>54</v>
      </c>
      <c r="E83" s="86"/>
      <c r="F83" s="248" t="s">
        <v>10</v>
      </c>
      <c r="G83" s="249" t="s">
        <v>11</v>
      </c>
      <c r="H83" s="250" t="s">
        <v>55</v>
      </c>
      <c r="I83" s="251" t="s">
        <v>13</v>
      </c>
      <c r="J83" s="252" t="s">
        <v>14</v>
      </c>
      <c r="K83" s="252" t="s">
        <v>15</v>
      </c>
      <c r="L83" s="252" t="s">
        <v>56</v>
      </c>
      <c r="M83" s="253" t="s">
        <v>57</v>
      </c>
      <c r="N83" s="253" t="s">
        <v>58</v>
      </c>
      <c r="O83" s="253" t="s">
        <v>59</v>
      </c>
      <c r="P83" s="253" t="s">
        <v>60</v>
      </c>
      <c r="Q83" s="254" t="s">
        <v>21</v>
      </c>
      <c r="R83" s="254" t="s">
        <v>22</v>
      </c>
      <c r="S83" s="254" t="s">
        <v>61</v>
      </c>
      <c r="T83" s="254" t="s">
        <v>62</v>
      </c>
      <c r="U83" s="254" t="s">
        <v>63</v>
      </c>
      <c r="V83" s="243"/>
      <c r="W83" s="189"/>
      <c r="X83" s="155" t="s">
        <v>51</v>
      </c>
      <c r="Y83" s="70" t="s">
        <v>52</v>
      </c>
      <c r="Z83" s="70" t="s">
        <v>53</v>
      </c>
      <c r="AA83" s="86" t="s">
        <v>54</v>
      </c>
      <c r="AB83" s="86"/>
      <c r="AC83" s="308" t="s">
        <v>10</v>
      </c>
      <c r="AD83" s="309" t="s">
        <v>11</v>
      </c>
      <c r="AE83" s="300" t="s">
        <v>55</v>
      </c>
      <c r="AF83" s="310" t="s">
        <v>13</v>
      </c>
      <c r="AG83" s="311" t="s">
        <v>14</v>
      </c>
      <c r="AH83" s="312" t="s">
        <v>15</v>
      </c>
      <c r="AI83" s="313" t="s">
        <v>56</v>
      </c>
      <c r="AJ83" s="314" t="s">
        <v>57</v>
      </c>
      <c r="AK83" s="315" t="s">
        <v>58</v>
      </c>
      <c r="AL83" s="315" t="s">
        <v>59</v>
      </c>
      <c r="AM83" s="316" t="s">
        <v>60</v>
      </c>
      <c r="AN83" s="317" t="s">
        <v>21</v>
      </c>
      <c r="AO83" s="318" t="s">
        <v>22</v>
      </c>
      <c r="AP83" s="318" t="s">
        <v>61</v>
      </c>
      <c r="AQ83" s="318" t="s">
        <v>62</v>
      </c>
      <c r="AR83" s="318" t="s">
        <v>63</v>
      </c>
      <c r="AS83" s="256"/>
    </row>
    <row r="84" s="63" customFormat="1" spans="1:45">
      <c r="A84" s="73" t="s">
        <v>31</v>
      </c>
      <c r="B84" s="73">
        <v>1</v>
      </c>
      <c r="C84" s="73" t="s">
        <v>64</v>
      </c>
      <c r="D84" s="18" t="s">
        <v>65</v>
      </c>
      <c r="E84" s="18"/>
      <c r="F84" s="257">
        <v>6</v>
      </c>
      <c r="G84" s="249"/>
      <c r="H84" s="250"/>
      <c r="I84" s="251"/>
      <c r="J84" s="252"/>
      <c r="K84" s="252"/>
      <c r="L84" s="252"/>
      <c r="M84" s="253"/>
      <c r="N84" s="253"/>
      <c r="O84" s="253"/>
      <c r="P84" s="253"/>
      <c r="Q84" s="254"/>
      <c r="R84" s="254"/>
      <c r="S84" s="254"/>
      <c r="T84" s="254"/>
      <c r="U84" s="254"/>
      <c r="V84" s="319"/>
      <c r="W84" s="189"/>
      <c r="X84" s="161" t="s">
        <v>31</v>
      </c>
      <c r="Y84" s="73">
        <v>1</v>
      </c>
      <c r="Z84" s="73" t="s">
        <v>64</v>
      </c>
      <c r="AA84" s="18" t="s">
        <v>65</v>
      </c>
      <c r="AB84" s="18"/>
      <c r="AC84" s="369">
        <v>6</v>
      </c>
      <c r="AD84" s="351"/>
      <c r="AE84" s="322"/>
      <c r="AF84" s="322"/>
      <c r="AG84" s="323"/>
      <c r="AH84" s="323"/>
      <c r="AI84" s="323"/>
      <c r="AJ84" s="324"/>
      <c r="AK84" s="324"/>
      <c r="AL84" s="324"/>
      <c r="AM84" s="324"/>
      <c r="AN84" s="325"/>
      <c r="AO84" s="325"/>
      <c r="AP84" s="325"/>
      <c r="AQ84" s="325"/>
      <c r="AR84" s="326"/>
      <c r="AS84" s="261"/>
    </row>
    <row r="85" s="63" customFormat="1" spans="1:45">
      <c r="A85" s="73" t="s">
        <v>31</v>
      </c>
      <c r="B85" s="73">
        <v>2</v>
      </c>
      <c r="C85" s="73" t="s">
        <v>66</v>
      </c>
      <c r="D85" s="18" t="s">
        <v>67</v>
      </c>
      <c r="E85" s="18"/>
      <c r="F85" s="257">
        <v>6</v>
      </c>
      <c r="G85" s="249"/>
      <c r="H85" s="250"/>
      <c r="I85" s="251"/>
      <c r="J85" s="262">
        <f>F85</f>
        <v>6</v>
      </c>
      <c r="K85" s="262">
        <f>F85</f>
        <v>6</v>
      </c>
      <c r="L85" s="262">
        <f>F85</f>
        <v>6</v>
      </c>
      <c r="M85" s="263">
        <f>F85</f>
        <v>6</v>
      </c>
      <c r="N85" s="263"/>
      <c r="O85" s="263">
        <f>F85</f>
        <v>6</v>
      </c>
      <c r="P85" s="263"/>
      <c r="Q85" s="254"/>
      <c r="R85" s="254"/>
      <c r="S85" s="254"/>
      <c r="T85" s="254"/>
      <c r="U85" s="254"/>
      <c r="V85" s="319"/>
      <c r="W85" s="189"/>
      <c r="X85" s="161" t="s">
        <v>31</v>
      </c>
      <c r="Y85" s="73">
        <v>2</v>
      </c>
      <c r="Z85" s="73" t="s">
        <v>66</v>
      </c>
      <c r="AA85" s="18" t="s">
        <v>67</v>
      </c>
      <c r="AB85" s="18"/>
      <c r="AC85" s="370">
        <v>6</v>
      </c>
      <c r="AD85" s="353"/>
      <c r="AE85" s="328"/>
      <c r="AF85" s="328"/>
      <c r="AG85" s="329">
        <f>AC85</f>
        <v>6</v>
      </c>
      <c r="AH85" s="329">
        <f>AC85</f>
        <v>6</v>
      </c>
      <c r="AI85" s="329">
        <f>AC85</f>
        <v>6</v>
      </c>
      <c r="AJ85" s="330">
        <f>AC85</f>
        <v>6</v>
      </c>
      <c r="AK85" s="331"/>
      <c r="AL85" s="330">
        <f>AC85</f>
        <v>6</v>
      </c>
      <c r="AM85" s="331"/>
      <c r="AN85" s="332"/>
      <c r="AO85" s="332"/>
      <c r="AP85" s="332"/>
      <c r="AQ85" s="332"/>
      <c r="AR85" s="333"/>
      <c r="AS85" s="261"/>
    </row>
    <row r="86" s="63" customFormat="1" spans="1:45">
      <c r="A86" s="73" t="s">
        <v>31</v>
      </c>
      <c r="B86" s="73">
        <v>3</v>
      </c>
      <c r="C86" s="264" t="s">
        <v>117</v>
      </c>
      <c r="D86" s="265" t="s">
        <v>118</v>
      </c>
      <c r="E86" s="265"/>
      <c r="F86" s="257">
        <v>6</v>
      </c>
      <c r="G86" s="266"/>
      <c r="H86" s="258"/>
      <c r="I86" s="259"/>
      <c r="J86" s="262">
        <f>IF(F86&gt;0,1,0)</f>
        <v>1</v>
      </c>
      <c r="K86" s="262">
        <f>IF(F86&gt;0,1,0)</f>
        <v>1</v>
      </c>
      <c r="L86" s="262">
        <f>IF(F86&gt;0,1,0)</f>
        <v>1</v>
      </c>
      <c r="M86" s="263">
        <f>IF(F86&gt;0,1,0)</f>
        <v>1</v>
      </c>
      <c r="N86" s="263"/>
      <c r="O86" s="263">
        <f>IF(F86&gt;0,1,0)</f>
        <v>1</v>
      </c>
      <c r="P86" s="263"/>
      <c r="Q86" s="267"/>
      <c r="R86" s="267"/>
      <c r="S86" s="267"/>
      <c r="T86" s="267"/>
      <c r="U86" s="267"/>
      <c r="V86" s="260"/>
      <c r="W86" s="189"/>
      <c r="X86" s="161" t="s">
        <v>31</v>
      </c>
      <c r="Y86" s="73">
        <v>3</v>
      </c>
      <c r="Z86" s="264" t="s">
        <v>117</v>
      </c>
      <c r="AA86" s="265" t="s">
        <v>118</v>
      </c>
      <c r="AB86" s="265"/>
      <c r="AC86" s="370">
        <v>6</v>
      </c>
      <c r="AD86" s="353"/>
      <c r="AE86" s="328"/>
      <c r="AF86" s="328"/>
      <c r="AG86" s="329">
        <f>IF(AC86&gt;0,1,0)</f>
        <v>1</v>
      </c>
      <c r="AH86" s="329">
        <f>IF(AC86&gt;0,1,0)</f>
        <v>1</v>
      </c>
      <c r="AI86" s="329">
        <f>IF(AC86&gt;0,1,0)</f>
        <v>1</v>
      </c>
      <c r="AJ86" s="330">
        <f>IF(AC86&gt;0,1,0)</f>
        <v>1</v>
      </c>
      <c r="AK86" s="331"/>
      <c r="AL86" s="330">
        <f>IF(AC86&gt;0,1,0)</f>
        <v>1</v>
      </c>
      <c r="AM86" s="331"/>
      <c r="AN86" s="332"/>
      <c r="AO86" s="332"/>
      <c r="AP86" s="332"/>
      <c r="AQ86" s="332"/>
      <c r="AR86" s="333"/>
      <c r="AS86" s="261"/>
    </row>
    <row r="87" s="63" customFormat="1" spans="1:45">
      <c r="A87" s="73" t="s">
        <v>31</v>
      </c>
      <c r="B87" s="73">
        <v>5</v>
      </c>
      <c r="C87" s="73" t="s">
        <v>66</v>
      </c>
      <c r="D87" s="18" t="s">
        <v>67</v>
      </c>
      <c r="E87" s="18"/>
      <c r="F87" s="257">
        <v>6</v>
      </c>
      <c r="G87" s="249"/>
      <c r="H87" s="250"/>
      <c r="I87" s="251"/>
      <c r="J87" s="262">
        <f>F87</f>
        <v>6</v>
      </c>
      <c r="K87" s="262">
        <f>F87</f>
        <v>6</v>
      </c>
      <c r="L87" s="262">
        <f>F87</f>
        <v>6</v>
      </c>
      <c r="M87" s="263">
        <f>F87</f>
        <v>6</v>
      </c>
      <c r="N87" s="263"/>
      <c r="O87" s="263">
        <f>F87</f>
        <v>6</v>
      </c>
      <c r="P87" s="263"/>
      <c r="Q87" s="254"/>
      <c r="R87" s="254"/>
      <c r="S87" s="254"/>
      <c r="T87" s="254"/>
      <c r="U87" s="254"/>
      <c r="V87" s="319"/>
      <c r="W87" s="189"/>
      <c r="X87" s="161" t="s">
        <v>31</v>
      </c>
      <c r="Y87" s="73">
        <v>5</v>
      </c>
      <c r="Z87" s="73" t="s">
        <v>66</v>
      </c>
      <c r="AA87" s="18" t="s">
        <v>67</v>
      </c>
      <c r="AB87" s="18"/>
      <c r="AC87" s="370">
        <v>6</v>
      </c>
      <c r="AD87" s="353"/>
      <c r="AE87" s="328"/>
      <c r="AF87" s="328"/>
      <c r="AG87" s="329">
        <f>AC87</f>
        <v>6</v>
      </c>
      <c r="AH87" s="329">
        <f>AC87</f>
        <v>6</v>
      </c>
      <c r="AI87" s="329">
        <f>AC87</f>
        <v>6</v>
      </c>
      <c r="AJ87" s="330">
        <f>AC87</f>
        <v>6</v>
      </c>
      <c r="AK87" s="331"/>
      <c r="AL87" s="330">
        <f>AC87</f>
        <v>6</v>
      </c>
      <c r="AM87" s="331"/>
      <c r="AN87" s="332"/>
      <c r="AO87" s="332"/>
      <c r="AP87" s="332"/>
      <c r="AQ87" s="332"/>
      <c r="AR87" s="333"/>
      <c r="AS87" s="261"/>
    </row>
    <row r="88" s="63" customFormat="1" spans="1:45">
      <c r="A88" s="73" t="s">
        <v>31</v>
      </c>
      <c r="B88" s="73">
        <v>6</v>
      </c>
      <c r="C88" s="73" t="s">
        <v>64</v>
      </c>
      <c r="D88" s="18" t="s">
        <v>65</v>
      </c>
      <c r="E88" s="18"/>
      <c r="F88" s="257">
        <v>6</v>
      </c>
      <c r="G88" s="249"/>
      <c r="H88" s="250"/>
      <c r="I88" s="250"/>
      <c r="J88" s="294"/>
      <c r="K88" s="294"/>
      <c r="L88" s="294"/>
      <c r="M88" s="295"/>
      <c r="N88" s="295"/>
      <c r="O88" s="295"/>
      <c r="P88" s="295"/>
      <c r="Q88" s="296"/>
      <c r="R88" s="296"/>
      <c r="S88" s="296"/>
      <c r="T88" s="296"/>
      <c r="U88" s="296"/>
      <c r="V88" s="260"/>
      <c r="W88" s="189"/>
      <c r="X88" s="161" t="s">
        <v>31</v>
      </c>
      <c r="Y88" s="73">
        <v>6</v>
      </c>
      <c r="Z88" s="73" t="s">
        <v>64</v>
      </c>
      <c r="AA88" s="18" t="s">
        <v>65</v>
      </c>
      <c r="AB88" s="18"/>
      <c r="AC88" s="370">
        <v>6</v>
      </c>
      <c r="AD88" s="353"/>
      <c r="AE88" s="328"/>
      <c r="AF88" s="328"/>
      <c r="AG88" s="334"/>
      <c r="AH88" s="334"/>
      <c r="AI88" s="334"/>
      <c r="AJ88" s="331"/>
      <c r="AK88" s="331"/>
      <c r="AL88" s="331"/>
      <c r="AM88" s="331"/>
      <c r="AN88" s="332"/>
      <c r="AO88" s="332"/>
      <c r="AP88" s="332"/>
      <c r="AQ88" s="332"/>
      <c r="AR88" s="333"/>
      <c r="AS88" s="261"/>
    </row>
    <row r="89" s="63" customFormat="1" spans="1:45">
      <c r="A89" s="73" t="s">
        <v>31</v>
      </c>
      <c r="B89" s="73">
        <v>7</v>
      </c>
      <c r="C89" s="73" t="s">
        <v>100</v>
      </c>
      <c r="D89" s="18" t="s">
        <v>100</v>
      </c>
      <c r="E89" s="18"/>
      <c r="F89" s="257">
        <v>6</v>
      </c>
      <c r="G89" s="249"/>
      <c r="H89" s="250"/>
      <c r="I89" s="250"/>
      <c r="J89" s="294"/>
      <c r="K89" s="294"/>
      <c r="L89" s="294"/>
      <c r="M89" s="295"/>
      <c r="N89" s="295"/>
      <c r="O89" s="295"/>
      <c r="P89" s="295"/>
      <c r="Q89" s="296"/>
      <c r="R89" s="296"/>
      <c r="S89" s="296"/>
      <c r="T89" s="296"/>
      <c r="U89" s="296"/>
      <c r="V89" s="260"/>
      <c r="W89" s="189"/>
      <c r="X89" s="161" t="s">
        <v>31</v>
      </c>
      <c r="Y89" s="73">
        <v>7</v>
      </c>
      <c r="Z89" s="73" t="s">
        <v>100</v>
      </c>
      <c r="AA89" s="18" t="s">
        <v>100</v>
      </c>
      <c r="AB89" s="18"/>
      <c r="AC89" s="370">
        <v>6</v>
      </c>
      <c r="AD89" s="353"/>
      <c r="AE89" s="328"/>
      <c r="AF89" s="328"/>
      <c r="AG89" s="334"/>
      <c r="AH89" s="334"/>
      <c r="AI89" s="334"/>
      <c r="AJ89" s="331"/>
      <c r="AK89" s="331"/>
      <c r="AL89" s="331"/>
      <c r="AM89" s="331"/>
      <c r="AN89" s="332"/>
      <c r="AO89" s="332"/>
      <c r="AP89" s="332"/>
      <c r="AQ89" s="332"/>
      <c r="AR89" s="333"/>
      <c r="AS89" s="261"/>
    </row>
    <row r="90" s="186" customFormat="1" spans="1:45">
      <c r="A90" s="271" t="s">
        <v>101</v>
      </c>
      <c r="B90" s="271"/>
      <c r="C90" s="271"/>
      <c r="D90" s="271"/>
      <c r="E90" s="271"/>
      <c r="F90" s="272">
        <f t="shared" ref="F90:U90" si="85">MAX(F84:F89)</f>
        <v>6</v>
      </c>
      <c r="G90" s="273">
        <f t="shared" si="85"/>
        <v>0</v>
      </c>
      <c r="H90" s="274">
        <f t="shared" si="85"/>
        <v>0</v>
      </c>
      <c r="I90" s="274">
        <f t="shared" si="85"/>
        <v>0</v>
      </c>
      <c r="J90" s="275">
        <f t="shared" si="85"/>
        <v>6</v>
      </c>
      <c r="K90" s="275">
        <f t="shared" si="85"/>
        <v>6</v>
      </c>
      <c r="L90" s="275">
        <f t="shared" si="85"/>
        <v>6</v>
      </c>
      <c r="M90" s="276">
        <f t="shared" si="85"/>
        <v>6</v>
      </c>
      <c r="N90" s="276">
        <f t="shared" si="85"/>
        <v>0</v>
      </c>
      <c r="O90" s="276">
        <f t="shared" si="85"/>
        <v>6</v>
      </c>
      <c r="P90" s="276">
        <f t="shared" si="85"/>
        <v>0</v>
      </c>
      <c r="Q90" s="277">
        <f t="shared" si="85"/>
        <v>0</v>
      </c>
      <c r="R90" s="277">
        <f t="shared" si="85"/>
        <v>0</v>
      </c>
      <c r="S90" s="277">
        <f t="shared" si="85"/>
        <v>0</v>
      </c>
      <c r="T90" s="277">
        <f t="shared" si="85"/>
        <v>0</v>
      </c>
      <c r="U90" s="277">
        <f t="shared" si="85"/>
        <v>0</v>
      </c>
      <c r="V90" s="341"/>
      <c r="W90" s="189"/>
      <c r="X90" s="279" t="s">
        <v>101</v>
      </c>
      <c r="Y90" s="271"/>
      <c r="Z90" s="271"/>
      <c r="AA90" s="271"/>
      <c r="AB90" s="371"/>
      <c r="AC90" s="359">
        <f>MAX(AC84:AC89)</f>
        <v>6</v>
      </c>
      <c r="AD90" s="359">
        <f>MAX(AD84:AD89)</f>
        <v>0</v>
      </c>
      <c r="AE90" s="360">
        <v>0</v>
      </c>
      <c r="AF90" s="360">
        <v>0</v>
      </c>
      <c r="AG90" s="361">
        <v>6</v>
      </c>
      <c r="AH90" s="361">
        <v>6</v>
      </c>
      <c r="AI90" s="361">
        <v>6</v>
      </c>
      <c r="AJ90" s="362">
        <v>6</v>
      </c>
      <c r="AK90" s="362">
        <v>0</v>
      </c>
      <c r="AL90" s="362">
        <v>6</v>
      </c>
      <c r="AM90" s="362">
        <v>0</v>
      </c>
      <c r="AN90" s="363">
        <v>0</v>
      </c>
      <c r="AO90" s="363">
        <v>0</v>
      </c>
      <c r="AP90" s="363">
        <v>0</v>
      </c>
      <c r="AQ90" s="363">
        <v>0</v>
      </c>
      <c r="AR90" s="364">
        <v>0</v>
      </c>
      <c r="AS90" s="293"/>
    </row>
    <row r="91" s="60" customFormat="1" spans="1:45">
      <c r="A91" s="235" t="s">
        <v>119</v>
      </c>
      <c r="B91" s="236"/>
      <c r="C91" s="236"/>
      <c r="D91" s="236"/>
      <c r="E91" s="236"/>
      <c r="F91" s="249" t="s">
        <v>4</v>
      </c>
      <c r="G91" s="249"/>
      <c r="H91" s="250" t="s">
        <v>5</v>
      </c>
      <c r="I91" s="251"/>
      <c r="J91" s="294" t="s">
        <v>6</v>
      </c>
      <c r="K91" s="294"/>
      <c r="L91" s="294"/>
      <c r="M91" s="295" t="s">
        <v>7</v>
      </c>
      <c r="N91" s="295"/>
      <c r="O91" s="295"/>
      <c r="P91" s="295"/>
      <c r="Q91" s="296" t="s">
        <v>49</v>
      </c>
      <c r="R91" s="296"/>
      <c r="S91" s="296"/>
      <c r="T91" s="296"/>
      <c r="U91" s="296"/>
      <c r="V91" s="243" t="s">
        <v>50</v>
      </c>
      <c r="W91" s="189"/>
      <c r="X91" s="297" t="s">
        <v>119</v>
      </c>
      <c r="Y91" s="236"/>
      <c r="Z91" s="236"/>
      <c r="AA91" s="236"/>
      <c r="AB91" s="236"/>
      <c r="AC91" s="372" t="s">
        <v>4</v>
      </c>
      <c r="AD91" s="373"/>
      <c r="AE91" s="374" t="s">
        <v>5</v>
      </c>
      <c r="AF91" s="375"/>
      <c r="AG91" s="376" t="s">
        <v>6</v>
      </c>
      <c r="AH91" s="377"/>
      <c r="AI91" s="377"/>
      <c r="AJ91" s="378" t="s">
        <v>7</v>
      </c>
      <c r="AK91" s="379"/>
      <c r="AL91" s="379"/>
      <c r="AM91" s="379"/>
      <c r="AN91" s="380" t="s">
        <v>49</v>
      </c>
      <c r="AO91" s="381"/>
      <c r="AP91" s="381"/>
      <c r="AQ91" s="381"/>
      <c r="AR91" s="382"/>
      <c r="AS91" s="256" t="s">
        <v>50</v>
      </c>
    </row>
    <row r="92" s="60" customFormat="1" ht="31" spans="1:45">
      <c r="A92" s="70" t="s">
        <v>51</v>
      </c>
      <c r="B92" s="70" t="s">
        <v>52</v>
      </c>
      <c r="C92" s="70" t="s">
        <v>53</v>
      </c>
      <c r="D92" s="86" t="s">
        <v>54</v>
      </c>
      <c r="E92" s="86"/>
      <c r="F92" s="248" t="s">
        <v>10</v>
      </c>
      <c r="G92" s="249" t="s">
        <v>11</v>
      </c>
      <c r="H92" s="250" t="s">
        <v>55</v>
      </c>
      <c r="I92" s="251" t="s">
        <v>13</v>
      </c>
      <c r="J92" s="252" t="s">
        <v>14</v>
      </c>
      <c r="K92" s="252" t="s">
        <v>15</v>
      </c>
      <c r="L92" s="252" t="s">
        <v>56</v>
      </c>
      <c r="M92" s="253" t="s">
        <v>57</v>
      </c>
      <c r="N92" s="253" t="s">
        <v>58</v>
      </c>
      <c r="O92" s="253" t="s">
        <v>59</v>
      </c>
      <c r="P92" s="253" t="s">
        <v>60</v>
      </c>
      <c r="Q92" s="254" t="s">
        <v>21</v>
      </c>
      <c r="R92" s="254" t="s">
        <v>22</v>
      </c>
      <c r="S92" s="254" t="s">
        <v>61</v>
      </c>
      <c r="T92" s="254" t="s">
        <v>62</v>
      </c>
      <c r="U92" s="254" t="s">
        <v>63</v>
      </c>
      <c r="V92" s="243"/>
      <c r="W92" s="189"/>
      <c r="X92" s="155" t="s">
        <v>51</v>
      </c>
      <c r="Y92" s="70" t="s">
        <v>52</v>
      </c>
      <c r="Z92" s="70" t="s">
        <v>53</v>
      </c>
      <c r="AA92" s="86" t="s">
        <v>54</v>
      </c>
      <c r="AB92" s="86"/>
      <c r="AC92" s="383" t="s">
        <v>10</v>
      </c>
      <c r="AD92" s="372" t="s">
        <v>11</v>
      </c>
      <c r="AE92" s="374" t="s">
        <v>55</v>
      </c>
      <c r="AF92" s="384" t="s">
        <v>13</v>
      </c>
      <c r="AG92" s="385" t="s">
        <v>14</v>
      </c>
      <c r="AH92" s="385" t="s">
        <v>15</v>
      </c>
      <c r="AI92" s="385" t="s">
        <v>56</v>
      </c>
      <c r="AJ92" s="386" t="s">
        <v>57</v>
      </c>
      <c r="AK92" s="386" t="s">
        <v>58</v>
      </c>
      <c r="AL92" s="386" t="s">
        <v>59</v>
      </c>
      <c r="AM92" s="386" t="s">
        <v>60</v>
      </c>
      <c r="AN92" s="387" t="s">
        <v>21</v>
      </c>
      <c r="AO92" s="387" t="s">
        <v>22</v>
      </c>
      <c r="AP92" s="387" t="s">
        <v>61</v>
      </c>
      <c r="AQ92" s="387" t="s">
        <v>62</v>
      </c>
      <c r="AR92" s="388" t="s">
        <v>63</v>
      </c>
      <c r="AS92" s="256"/>
    </row>
    <row r="93" s="63" customFormat="1" spans="1:45">
      <c r="A93" s="73" t="s">
        <v>32</v>
      </c>
      <c r="B93" s="73">
        <v>1</v>
      </c>
      <c r="C93" s="73" t="s">
        <v>66</v>
      </c>
      <c r="D93" s="18" t="s">
        <v>67</v>
      </c>
      <c r="E93" s="18"/>
      <c r="F93" s="257"/>
      <c r="G93" s="266">
        <v>8</v>
      </c>
      <c r="H93" s="250"/>
      <c r="I93" s="251"/>
      <c r="J93" s="262">
        <f>G93</f>
        <v>8</v>
      </c>
      <c r="K93" s="262">
        <f>G93</f>
        <v>8</v>
      </c>
      <c r="L93" s="262">
        <f>G93</f>
        <v>8</v>
      </c>
      <c r="M93" s="263">
        <f>G93</f>
        <v>8</v>
      </c>
      <c r="N93" s="263"/>
      <c r="O93" s="263">
        <f t="shared" ref="O93:O95" si="86">G93</f>
        <v>8</v>
      </c>
      <c r="P93" s="263"/>
      <c r="Q93" s="254"/>
      <c r="R93" s="254"/>
      <c r="S93" s="254"/>
      <c r="T93" s="254"/>
      <c r="U93" s="254"/>
      <c r="V93" s="319"/>
      <c r="W93" s="189"/>
      <c r="X93" s="161" t="s">
        <v>32</v>
      </c>
      <c r="Y93" s="73">
        <v>1</v>
      </c>
      <c r="Z93" s="73" t="s">
        <v>66</v>
      </c>
      <c r="AA93" s="18" t="s">
        <v>67</v>
      </c>
      <c r="AB93" s="18"/>
      <c r="AC93" s="389"/>
      <c r="AD93" s="390">
        <v>8</v>
      </c>
      <c r="AE93" s="328"/>
      <c r="AF93" s="328"/>
      <c r="AG93" s="329">
        <f>AD93</f>
        <v>8</v>
      </c>
      <c r="AH93" s="329">
        <f>AD93</f>
        <v>8</v>
      </c>
      <c r="AI93" s="329">
        <f>AD93</f>
        <v>8</v>
      </c>
      <c r="AJ93" s="330">
        <f>AD93</f>
        <v>8</v>
      </c>
      <c r="AK93" s="330"/>
      <c r="AL93" s="330">
        <f>AD93</f>
        <v>8</v>
      </c>
      <c r="AM93" s="331"/>
      <c r="AN93" s="332"/>
      <c r="AO93" s="332"/>
      <c r="AP93" s="332"/>
      <c r="AQ93" s="332"/>
      <c r="AR93" s="333"/>
      <c r="AS93" s="261"/>
    </row>
    <row r="94" s="63" customFormat="1" ht="68" customHeight="1" spans="1:45">
      <c r="A94" s="73" t="s">
        <v>32</v>
      </c>
      <c r="B94" s="73">
        <v>2</v>
      </c>
      <c r="C94" s="264" t="s">
        <v>120</v>
      </c>
      <c r="D94" s="265" t="s">
        <v>121</v>
      </c>
      <c r="E94" s="265"/>
      <c r="F94" s="257"/>
      <c r="G94" s="266">
        <v>8</v>
      </c>
      <c r="H94" s="258"/>
      <c r="I94" s="259"/>
      <c r="J94" s="262">
        <f>IF(G94&gt;0,1,0)</f>
        <v>1</v>
      </c>
      <c r="K94" s="262">
        <f>IF(G94&gt;0,1,0)</f>
        <v>1</v>
      </c>
      <c r="L94" s="262">
        <f>IF(G94&gt;0,1,0)</f>
        <v>1</v>
      </c>
      <c r="M94" s="263">
        <f>IF(G94&gt;0,1,0)</f>
        <v>1</v>
      </c>
      <c r="N94" s="263"/>
      <c r="O94" s="263">
        <f t="shared" si="86"/>
        <v>8</v>
      </c>
      <c r="P94" s="263"/>
      <c r="Q94" s="267"/>
      <c r="R94" s="267"/>
      <c r="S94" s="267"/>
      <c r="T94" s="267"/>
      <c r="U94" s="267"/>
      <c r="V94" s="260" t="s">
        <v>122</v>
      </c>
      <c r="W94" s="189"/>
      <c r="X94" s="161" t="s">
        <v>32</v>
      </c>
      <c r="Y94" s="73">
        <v>2</v>
      </c>
      <c r="Z94" s="264" t="s">
        <v>120</v>
      </c>
      <c r="AA94" s="265" t="s">
        <v>121</v>
      </c>
      <c r="AB94" s="265"/>
      <c r="AC94" s="389"/>
      <c r="AD94" s="390">
        <v>8</v>
      </c>
      <c r="AE94" s="328"/>
      <c r="AF94" s="328"/>
      <c r="AG94" s="329">
        <f>IF(AD94&gt;0,1,0)</f>
        <v>1</v>
      </c>
      <c r="AH94" s="329">
        <f>IF(AD94&gt;0,1,0)</f>
        <v>1</v>
      </c>
      <c r="AI94" s="329">
        <f>IF(AD94&gt;0,1,0)</f>
        <v>1</v>
      </c>
      <c r="AJ94" s="330">
        <f>IF(AD94&gt;0,1,0)</f>
        <v>1</v>
      </c>
      <c r="AK94" s="331"/>
      <c r="AL94" s="330">
        <f>IF(AD94&gt;0,1,0)</f>
        <v>1</v>
      </c>
      <c r="AM94" s="331"/>
      <c r="AN94" s="332"/>
      <c r="AO94" s="332"/>
      <c r="AP94" s="332"/>
      <c r="AQ94" s="332"/>
      <c r="AR94" s="333"/>
      <c r="AS94" s="203" t="s">
        <v>122</v>
      </c>
    </row>
    <row r="95" s="63" customFormat="1" spans="1:45">
      <c r="A95" s="73" t="s">
        <v>32</v>
      </c>
      <c r="B95" s="73">
        <v>3</v>
      </c>
      <c r="C95" s="73" t="s">
        <v>66</v>
      </c>
      <c r="D95" s="18" t="s">
        <v>67</v>
      </c>
      <c r="E95" s="18"/>
      <c r="F95" s="257"/>
      <c r="G95" s="266">
        <v>8</v>
      </c>
      <c r="H95" s="250"/>
      <c r="I95" s="251"/>
      <c r="J95" s="262">
        <f>G95</f>
        <v>8</v>
      </c>
      <c r="K95" s="262">
        <f>G95</f>
        <v>8</v>
      </c>
      <c r="L95" s="262">
        <f>G95</f>
        <v>8</v>
      </c>
      <c r="M95" s="263">
        <f>G95</f>
        <v>8</v>
      </c>
      <c r="N95" s="263"/>
      <c r="O95" s="263">
        <f t="shared" si="86"/>
        <v>8</v>
      </c>
      <c r="P95" s="263"/>
      <c r="Q95" s="254"/>
      <c r="R95" s="254"/>
      <c r="S95" s="254"/>
      <c r="T95" s="254"/>
      <c r="U95" s="254"/>
      <c r="V95" s="319"/>
      <c r="W95" s="189"/>
      <c r="X95" s="161" t="s">
        <v>32</v>
      </c>
      <c r="Y95" s="73">
        <v>3</v>
      </c>
      <c r="Z95" s="73" t="s">
        <v>66</v>
      </c>
      <c r="AA95" s="18" t="s">
        <v>67</v>
      </c>
      <c r="AB95" s="18"/>
      <c r="AC95" s="389"/>
      <c r="AD95" s="390">
        <v>8</v>
      </c>
      <c r="AE95" s="328"/>
      <c r="AF95" s="328"/>
      <c r="AG95" s="329">
        <f>AD95</f>
        <v>8</v>
      </c>
      <c r="AH95" s="329">
        <f>AD95</f>
        <v>8</v>
      </c>
      <c r="AI95" s="329">
        <f>AD95</f>
        <v>8</v>
      </c>
      <c r="AJ95" s="330">
        <f>AD95</f>
        <v>8</v>
      </c>
      <c r="AK95" s="330"/>
      <c r="AL95" s="330">
        <f>AD95</f>
        <v>8</v>
      </c>
      <c r="AM95" s="331"/>
      <c r="AN95" s="332"/>
      <c r="AO95" s="332"/>
      <c r="AP95" s="332"/>
      <c r="AQ95" s="332"/>
      <c r="AR95" s="333"/>
      <c r="AS95" s="261"/>
    </row>
    <row r="96" s="63" customFormat="1" spans="1:45">
      <c r="A96" s="73" t="s">
        <v>32</v>
      </c>
      <c r="B96" s="73">
        <v>4</v>
      </c>
      <c r="C96" s="73" t="s">
        <v>100</v>
      </c>
      <c r="D96" s="18" t="s">
        <v>100</v>
      </c>
      <c r="E96" s="18"/>
      <c r="F96" s="257"/>
      <c r="G96" s="266">
        <v>8</v>
      </c>
      <c r="H96" s="250"/>
      <c r="I96" s="250"/>
      <c r="J96" s="294"/>
      <c r="K96" s="294"/>
      <c r="L96" s="294"/>
      <c r="M96" s="295"/>
      <c r="N96" s="295"/>
      <c r="O96" s="295"/>
      <c r="P96" s="295"/>
      <c r="Q96" s="296"/>
      <c r="R96" s="296"/>
      <c r="S96" s="296"/>
      <c r="T96" s="296"/>
      <c r="U96" s="296"/>
      <c r="V96" s="260"/>
      <c r="W96" s="189"/>
      <c r="X96" s="161" t="s">
        <v>32</v>
      </c>
      <c r="Y96" s="73">
        <v>4</v>
      </c>
      <c r="Z96" s="73" t="s">
        <v>100</v>
      </c>
      <c r="AA96" s="18" t="s">
        <v>100</v>
      </c>
      <c r="AB96" s="18"/>
      <c r="AC96" s="389"/>
      <c r="AD96" s="390">
        <v>8</v>
      </c>
      <c r="AE96" s="328"/>
      <c r="AF96" s="328"/>
      <c r="AG96" s="334"/>
      <c r="AH96" s="334"/>
      <c r="AI96" s="334"/>
      <c r="AJ96" s="331"/>
      <c r="AK96" s="331"/>
      <c r="AL96" s="331"/>
      <c r="AM96" s="331"/>
      <c r="AN96" s="332"/>
      <c r="AO96" s="332"/>
      <c r="AP96" s="332"/>
      <c r="AQ96" s="332"/>
      <c r="AR96" s="333"/>
      <c r="AS96" s="261"/>
    </row>
    <row r="97" s="63" customFormat="1" spans="1:45">
      <c r="A97" s="73" t="s">
        <v>32</v>
      </c>
      <c r="B97" s="73">
        <v>5</v>
      </c>
      <c r="C97" s="73" t="s">
        <v>123</v>
      </c>
      <c r="D97" s="18" t="s">
        <v>123</v>
      </c>
      <c r="E97" s="18"/>
      <c r="F97" s="391"/>
      <c r="G97" s="266">
        <v>3</v>
      </c>
      <c r="H97" s="258"/>
      <c r="I97" s="259"/>
      <c r="J97" s="262"/>
      <c r="K97" s="262"/>
      <c r="L97" s="262"/>
      <c r="M97" s="263"/>
      <c r="N97" s="263"/>
      <c r="O97" s="263"/>
      <c r="P97" s="263"/>
      <c r="Q97" s="267"/>
      <c r="R97" s="267"/>
      <c r="S97" s="267"/>
      <c r="T97" s="267"/>
      <c r="U97" s="267"/>
      <c r="V97" s="260"/>
      <c r="W97" s="189"/>
      <c r="X97" s="161" t="s">
        <v>32</v>
      </c>
      <c r="Y97" s="73">
        <v>5</v>
      </c>
      <c r="Z97" s="73" t="s">
        <v>123</v>
      </c>
      <c r="AA97" s="18" t="s">
        <v>123</v>
      </c>
      <c r="AB97" s="18"/>
      <c r="AC97" s="389"/>
      <c r="AD97" s="390">
        <v>3</v>
      </c>
      <c r="AE97" s="328"/>
      <c r="AF97" s="328"/>
      <c r="AG97" s="334"/>
      <c r="AH97" s="334"/>
      <c r="AI97" s="334"/>
      <c r="AJ97" s="331"/>
      <c r="AK97" s="331"/>
      <c r="AL97" s="331"/>
      <c r="AM97" s="331"/>
      <c r="AN97" s="332"/>
      <c r="AO97" s="332"/>
      <c r="AP97" s="332"/>
      <c r="AQ97" s="332"/>
      <c r="AR97" s="333"/>
      <c r="AS97" s="261"/>
    </row>
    <row r="98" s="186" customFormat="1" spans="1:45">
      <c r="A98" s="392" t="s">
        <v>101</v>
      </c>
      <c r="B98" s="393"/>
      <c r="C98" s="393"/>
      <c r="D98" s="393"/>
      <c r="E98" s="393"/>
      <c r="F98" s="273">
        <f t="shared" ref="F98:U98" si="87">MAX(F93:F97)</f>
        <v>0</v>
      </c>
      <c r="G98" s="273">
        <f t="shared" si="87"/>
        <v>8</v>
      </c>
      <c r="H98" s="274">
        <f t="shared" si="87"/>
        <v>0</v>
      </c>
      <c r="I98" s="274">
        <f t="shared" si="87"/>
        <v>0</v>
      </c>
      <c r="J98" s="275">
        <f t="shared" si="87"/>
        <v>8</v>
      </c>
      <c r="K98" s="275">
        <f t="shared" si="87"/>
        <v>8</v>
      </c>
      <c r="L98" s="275">
        <f t="shared" si="87"/>
        <v>8</v>
      </c>
      <c r="M98" s="276">
        <f t="shared" si="87"/>
        <v>8</v>
      </c>
      <c r="N98" s="276">
        <f t="shared" si="87"/>
        <v>0</v>
      </c>
      <c r="O98" s="276">
        <f t="shared" si="87"/>
        <v>8</v>
      </c>
      <c r="P98" s="276">
        <f t="shared" si="87"/>
        <v>0</v>
      </c>
      <c r="Q98" s="277">
        <f t="shared" si="87"/>
        <v>0</v>
      </c>
      <c r="R98" s="277">
        <f t="shared" si="87"/>
        <v>0</v>
      </c>
      <c r="S98" s="277">
        <f t="shared" si="87"/>
        <v>0</v>
      </c>
      <c r="T98" s="277">
        <f t="shared" si="87"/>
        <v>0</v>
      </c>
      <c r="U98" s="277">
        <f t="shared" si="87"/>
        <v>0</v>
      </c>
      <c r="V98" s="341"/>
      <c r="W98" s="189"/>
      <c r="X98" s="394" t="s">
        <v>101</v>
      </c>
      <c r="Y98" s="393"/>
      <c r="Z98" s="393"/>
      <c r="AA98" s="393"/>
      <c r="AB98" s="393"/>
      <c r="AC98" s="359">
        <f>MAX(AC93:AC97)</f>
        <v>0</v>
      </c>
      <c r="AD98" s="359">
        <v>8</v>
      </c>
      <c r="AE98" s="360">
        <v>0</v>
      </c>
      <c r="AF98" s="360">
        <v>0</v>
      </c>
      <c r="AG98" s="361">
        <v>8</v>
      </c>
      <c r="AH98" s="361">
        <v>8</v>
      </c>
      <c r="AI98" s="361">
        <v>8</v>
      </c>
      <c r="AJ98" s="362">
        <v>1</v>
      </c>
      <c r="AK98" s="362">
        <v>0</v>
      </c>
      <c r="AL98" s="362">
        <v>1</v>
      </c>
      <c r="AM98" s="362">
        <v>0</v>
      </c>
      <c r="AN98" s="363">
        <v>0</v>
      </c>
      <c r="AO98" s="363">
        <v>0</v>
      </c>
      <c r="AP98" s="363">
        <v>0</v>
      </c>
      <c r="AQ98" s="363">
        <v>0</v>
      </c>
      <c r="AR98" s="364">
        <v>0</v>
      </c>
      <c r="AS98" s="293"/>
    </row>
    <row r="99" s="60" customFormat="1" spans="1:45">
      <c r="A99" s="235" t="s">
        <v>124</v>
      </c>
      <c r="B99" s="236"/>
      <c r="C99" s="236"/>
      <c r="D99" s="236"/>
      <c r="E99" s="236"/>
      <c r="F99" s="249" t="s">
        <v>4</v>
      </c>
      <c r="G99" s="249"/>
      <c r="H99" s="250" t="s">
        <v>5</v>
      </c>
      <c r="I99" s="251"/>
      <c r="J99" s="294" t="s">
        <v>6</v>
      </c>
      <c r="K99" s="294"/>
      <c r="L99" s="294"/>
      <c r="M99" s="295" t="s">
        <v>7</v>
      </c>
      <c r="N99" s="295"/>
      <c r="O99" s="295"/>
      <c r="P99" s="295"/>
      <c r="Q99" s="296" t="s">
        <v>49</v>
      </c>
      <c r="R99" s="296"/>
      <c r="S99" s="296"/>
      <c r="T99" s="296"/>
      <c r="U99" s="296"/>
      <c r="V99" s="243" t="s">
        <v>50</v>
      </c>
      <c r="W99" s="189"/>
      <c r="X99" s="297" t="s">
        <v>124</v>
      </c>
      <c r="Y99" s="236"/>
      <c r="Z99" s="236"/>
      <c r="AA99" s="236"/>
      <c r="AB99" s="236"/>
      <c r="AC99" s="372" t="s">
        <v>4</v>
      </c>
      <c r="AD99" s="373"/>
      <c r="AE99" s="374" t="s">
        <v>5</v>
      </c>
      <c r="AF99" s="375"/>
      <c r="AG99" s="376" t="s">
        <v>6</v>
      </c>
      <c r="AH99" s="377"/>
      <c r="AI99" s="377"/>
      <c r="AJ99" s="378" t="s">
        <v>7</v>
      </c>
      <c r="AK99" s="379"/>
      <c r="AL99" s="379"/>
      <c r="AM99" s="379"/>
      <c r="AN99" s="380" t="s">
        <v>49</v>
      </c>
      <c r="AO99" s="381"/>
      <c r="AP99" s="381"/>
      <c r="AQ99" s="381"/>
      <c r="AR99" s="382"/>
      <c r="AS99" s="256" t="s">
        <v>50</v>
      </c>
    </row>
    <row r="100" s="60" customFormat="1" ht="31" spans="1:45">
      <c r="A100" s="70" t="s">
        <v>51</v>
      </c>
      <c r="B100" s="70" t="s">
        <v>52</v>
      </c>
      <c r="C100" s="70" t="s">
        <v>53</v>
      </c>
      <c r="D100" s="86" t="s">
        <v>54</v>
      </c>
      <c r="E100" s="86"/>
      <c r="F100" s="248" t="s">
        <v>10</v>
      </c>
      <c r="G100" s="249" t="s">
        <v>11</v>
      </c>
      <c r="H100" s="250" t="s">
        <v>55</v>
      </c>
      <c r="I100" s="251" t="s">
        <v>13</v>
      </c>
      <c r="J100" s="252" t="s">
        <v>14</v>
      </c>
      <c r="K100" s="252" t="s">
        <v>15</v>
      </c>
      <c r="L100" s="252" t="s">
        <v>56</v>
      </c>
      <c r="M100" s="253" t="s">
        <v>57</v>
      </c>
      <c r="N100" s="253" t="s">
        <v>58</v>
      </c>
      <c r="O100" s="253" t="s">
        <v>59</v>
      </c>
      <c r="P100" s="253" t="s">
        <v>60</v>
      </c>
      <c r="Q100" s="254" t="s">
        <v>21</v>
      </c>
      <c r="R100" s="254" t="s">
        <v>22</v>
      </c>
      <c r="S100" s="254" t="s">
        <v>61</v>
      </c>
      <c r="T100" s="254" t="s">
        <v>62</v>
      </c>
      <c r="U100" s="254" t="s">
        <v>63</v>
      </c>
      <c r="V100" s="243"/>
      <c r="W100" s="189"/>
      <c r="X100" s="155" t="s">
        <v>51</v>
      </c>
      <c r="Y100" s="70" t="s">
        <v>52</v>
      </c>
      <c r="Z100" s="70" t="s">
        <v>53</v>
      </c>
      <c r="AA100" s="86" t="s">
        <v>54</v>
      </c>
      <c r="AB100" s="344"/>
      <c r="AC100" s="372" t="s">
        <v>10</v>
      </c>
      <c r="AD100" s="372" t="s">
        <v>11</v>
      </c>
      <c r="AE100" s="374" t="s">
        <v>55</v>
      </c>
      <c r="AF100" s="384" t="s">
        <v>13</v>
      </c>
      <c r="AG100" s="385" t="s">
        <v>14</v>
      </c>
      <c r="AH100" s="385" t="s">
        <v>15</v>
      </c>
      <c r="AI100" s="385" t="s">
        <v>56</v>
      </c>
      <c r="AJ100" s="386" t="s">
        <v>57</v>
      </c>
      <c r="AK100" s="386" t="s">
        <v>58</v>
      </c>
      <c r="AL100" s="386" t="s">
        <v>59</v>
      </c>
      <c r="AM100" s="386" t="s">
        <v>60</v>
      </c>
      <c r="AN100" s="387" t="s">
        <v>21</v>
      </c>
      <c r="AO100" s="387" t="s">
        <v>22</v>
      </c>
      <c r="AP100" s="387" t="s">
        <v>61</v>
      </c>
      <c r="AQ100" s="387" t="s">
        <v>62</v>
      </c>
      <c r="AR100" s="388" t="s">
        <v>63</v>
      </c>
      <c r="AS100" s="256"/>
    </row>
    <row r="101" s="63" customFormat="1" spans="1:45">
      <c r="A101" s="73" t="s">
        <v>34</v>
      </c>
      <c r="B101" s="73">
        <v>1</v>
      </c>
      <c r="C101" s="73" t="s">
        <v>66</v>
      </c>
      <c r="D101" s="18" t="s">
        <v>67</v>
      </c>
      <c r="E101" s="18"/>
      <c r="F101" s="257"/>
      <c r="G101" s="266">
        <v>6</v>
      </c>
      <c r="H101" s="258"/>
      <c r="I101" s="259"/>
      <c r="J101" s="262">
        <f t="shared" ref="J101:J103" si="88">G101</f>
        <v>6</v>
      </c>
      <c r="K101" s="262">
        <f t="shared" ref="K101:K103" si="89">G101</f>
        <v>6</v>
      </c>
      <c r="L101" s="262">
        <f t="shared" ref="L101:L103" si="90">G101</f>
        <v>6</v>
      </c>
      <c r="M101" s="263">
        <f t="shared" ref="M101:M103" si="91">G101</f>
        <v>6</v>
      </c>
      <c r="N101" s="263"/>
      <c r="O101" s="263">
        <f t="shared" ref="O101:O103" si="92">G101</f>
        <v>6</v>
      </c>
      <c r="P101" s="263"/>
      <c r="Q101" s="267"/>
      <c r="R101" s="267"/>
      <c r="S101" s="267"/>
      <c r="T101" s="267"/>
      <c r="U101" s="267"/>
      <c r="V101" s="260"/>
      <c r="W101" s="189"/>
      <c r="X101" s="161" t="s">
        <v>34</v>
      </c>
      <c r="Y101" s="73">
        <v>1</v>
      </c>
      <c r="Z101" s="73" t="s">
        <v>66</v>
      </c>
      <c r="AA101" s="18" t="s">
        <v>67</v>
      </c>
      <c r="AB101" s="348"/>
      <c r="AC101" s="353"/>
      <c r="AD101" s="390">
        <v>6</v>
      </c>
      <c r="AE101" s="328"/>
      <c r="AF101" s="328"/>
      <c r="AG101" s="329">
        <f t="shared" ref="AG101:AG103" si="93">AD101</f>
        <v>6</v>
      </c>
      <c r="AH101" s="329">
        <f t="shared" ref="AH101:AH103" si="94">AD101</f>
        <v>6</v>
      </c>
      <c r="AI101" s="329">
        <f t="shared" ref="AI101:AI103" si="95">AD101</f>
        <v>6</v>
      </c>
      <c r="AJ101" s="330">
        <f t="shared" ref="AJ101:AJ103" si="96">AD101</f>
        <v>6</v>
      </c>
      <c r="AK101" s="331"/>
      <c r="AL101" s="330">
        <f t="shared" ref="AL101:AL103" si="97">AD101</f>
        <v>6</v>
      </c>
      <c r="AM101" s="331"/>
      <c r="AN101" s="332"/>
      <c r="AO101" s="332"/>
      <c r="AP101" s="332"/>
      <c r="AQ101" s="332"/>
      <c r="AR101" s="333"/>
      <c r="AS101" s="261"/>
    </row>
    <row r="102" s="63" customFormat="1" ht="46" spans="1:45">
      <c r="A102" s="73" t="s">
        <v>34</v>
      </c>
      <c r="B102" s="73">
        <v>2</v>
      </c>
      <c r="C102" s="73" t="s">
        <v>125</v>
      </c>
      <c r="D102" s="18" t="s">
        <v>126</v>
      </c>
      <c r="E102" s="18"/>
      <c r="F102" s="257"/>
      <c r="G102" s="266">
        <v>6</v>
      </c>
      <c r="H102" s="258"/>
      <c r="I102" s="259"/>
      <c r="J102" s="262">
        <f t="shared" si="88"/>
        <v>6</v>
      </c>
      <c r="K102" s="262">
        <f t="shared" si="89"/>
        <v>6</v>
      </c>
      <c r="L102" s="262">
        <f t="shared" si="90"/>
        <v>6</v>
      </c>
      <c r="M102" s="263">
        <f t="shared" si="91"/>
        <v>6</v>
      </c>
      <c r="N102" s="263"/>
      <c r="O102" s="263">
        <f t="shared" si="92"/>
        <v>6</v>
      </c>
      <c r="P102" s="263"/>
      <c r="Q102" s="267"/>
      <c r="R102" s="267"/>
      <c r="S102" s="267"/>
      <c r="T102" s="267"/>
      <c r="U102" s="267"/>
      <c r="V102" s="260" t="s">
        <v>35</v>
      </c>
      <c r="W102" s="189"/>
      <c r="X102" s="161" t="s">
        <v>34</v>
      </c>
      <c r="Y102" s="73">
        <v>2</v>
      </c>
      <c r="Z102" s="73" t="s">
        <v>125</v>
      </c>
      <c r="AA102" s="18" t="s">
        <v>126</v>
      </c>
      <c r="AB102" s="348"/>
      <c r="AC102" s="353"/>
      <c r="AD102" s="390">
        <v>6</v>
      </c>
      <c r="AE102" s="328"/>
      <c r="AF102" s="328"/>
      <c r="AG102" s="329">
        <f t="shared" si="93"/>
        <v>6</v>
      </c>
      <c r="AH102" s="329">
        <f t="shared" si="94"/>
        <v>6</v>
      </c>
      <c r="AI102" s="329">
        <f t="shared" si="95"/>
        <v>6</v>
      </c>
      <c r="AJ102" s="330">
        <f t="shared" si="96"/>
        <v>6</v>
      </c>
      <c r="AK102" s="331"/>
      <c r="AL102" s="330">
        <f t="shared" si="97"/>
        <v>6</v>
      </c>
      <c r="AM102" s="331"/>
      <c r="AN102" s="332"/>
      <c r="AO102" s="332"/>
      <c r="AP102" s="332"/>
      <c r="AQ102" s="332"/>
      <c r="AR102" s="333"/>
      <c r="AS102" s="203" t="s">
        <v>35</v>
      </c>
    </row>
    <row r="103" s="63" customFormat="1" spans="1:45">
      <c r="A103" s="73" t="s">
        <v>34</v>
      </c>
      <c r="B103" s="73">
        <v>3</v>
      </c>
      <c r="C103" s="73" t="s">
        <v>66</v>
      </c>
      <c r="D103" s="18" t="s">
        <v>67</v>
      </c>
      <c r="E103" s="18"/>
      <c r="F103" s="257"/>
      <c r="G103" s="266">
        <v>6</v>
      </c>
      <c r="H103" s="258"/>
      <c r="I103" s="259"/>
      <c r="J103" s="262">
        <f t="shared" si="88"/>
        <v>6</v>
      </c>
      <c r="K103" s="262">
        <f t="shared" si="89"/>
        <v>6</v>
      </c>
      <c r="L103" s="262">
        <f t="shared" si="90"/>
        <v>6</v>
      </c>
      <c r="M103" s="263">
        <f t="shared" si="91"/>
        <v>6</v>
      </c>
      <c r="N103" s="263"/>
      <c r="O103" s="263">
        <f t="shared" si="92"/>
        <v>6</v>
      </c>
      <c r="P103" s="263"/>
      <c r="Q103" s="267"/>
      <c r="R103" s="267"/>
      <c r="S103" s="267"/>
      <c r="T103" s="267"/>
      <c r="U103" s="267"/>
      <c r="V103" s="260"/>
      <c r="W103" s="189"/>
      <c r="X103" s="161" t="s">
        <v>34</v>
      </c>
      <c r="Y103" s="73">
        <v>3</v>
      </c>
      <c r="Z103" s="73" t="s">
        <v>66</v>
      </c>
      <c r="AA103" s="18" t="s">
        <v>67</v>
      </c>
      <c r="AB103" s="348"/>
      <c r="AC103" s="353"/>
      <c r="AD103" s="390">
        <v>6</v>
      </c>
      <c r="AE103" s="328"/>
      <c r="AF103" s="328"/>
      <c r="AG103" s="329">
        <f t="shared" si="93"/>
        <v>6</v>
      </c>
      <c r="AH103" s="329">
        <f t="shared" si="94"/>
        <v>6</v>
      </c>
      <c r="AI103" s="329">
        <f t="shared" si="95"/>
        <v>6</v>
      </c>
      <c r="AJ103" s="330">
        <f t="shared" si="96"/>
        <v>6</v>
      </c>
      <c r="AK103" s="331"/>
      <c r="AL103" s="330">
        <f t="shared" si="97"/>
        <v>6</v>
      </c>
      <c r="AM103" s="331"/>
      <c r="AN103" s="332"/>
      <c r="AO103" s="332"/>
      <c r="AP103" s="332"/>
      <c r="AQ103" s="332"/>
      <c r="AR103" s="333"/>
      <c r="AS103" s="261"/>
    </row>
    <row r="104" s="63" customFormat="1" spans="1:45">
      <c r="A104" s="73" t="s">
        <v>34</v>
      </c>
      <c r="B104" s="73">
        <v>4</v>
      </c>
      <c r="C104" s="73" t="s">
        <v>100</v>
      </c>
      <c r="D104" s="18" t="s">
        <v>100</v>
      </c>
      <c r="E104" s="18"/>
      <c r="F104" s="257"/>
      <c r="G104" s="266">
        <v>6</v>
      </c>
      <c r="H104" s="258"/>
      <c r="I104" s="259"/>
      <c r="J104" s="262"/>
      <c r="K104" s="262"/>
      <c r="L104" s="262"/>
      <c r="M104" s="263"/>
      <c r="N104" s="263"/>
      <c r="O104" s="263"/>
      <c r="P104" s="263"/>
      <c r="Q104" s="267"/>
      <c r="R104" s="267"/>
      <c r="S104" s="267"/>
      <c r="T104" s="267"/>
      <c r="U104" s="267"/>
      <c r="V104" s="260"/>
      <c r="W104" s="189"/>
      <c r="X104" s="161" t="s">
        <v>34</v>
      </c>
      <c r="Y104" s="73">
        <v>4</v>
      </c>
      <c r="Z104" s="73" t="s">
        <v>100</v>
      </c>
      <c r="AA104" s="18" t="s">
        <v>100</v>
      </c>
      <c r="AB104" s="348"/>
      <c r="AC104" s="353"/>
      <c r="AD104" s="390">
        <v>6</v>
      </c>
      <c r="AE104" s="328"/>
      <c r="AF104" s="328"/>
      <c r="AG104" s="334"/>
      <c r="AH104" s="334"/>
      <c r="AI104" s="334"/>
      <c r="AJ104" s="331"/>
      <c r="AK104" s="331"/>
      <c r="AL104" s="331"/>
      <c r="AM104" s="331"/>
      <c r="AN104" s="332"/>
      <c r="AO104" s="332"/>
      <c r="AP104" s="332"/>
      <c r="AQ104" s="332"/>
      <c r="AR104" s="333"/>
      <c r="AS104" s="261"/>
    </row>
    <row r="105" s="186" customFormat="1" spans="1:45">
      <c r="A105" s="271" t="s">
        <v>101</v>
      </c>
      <c r="B105" s="271"/>
      <c r="C105" s="271"/>
      <c r="D105" s="271"/>
      <c r="E105" s="271"/>
      <c r="F105" s="272">
        <f t="shared" ref="F105:U105" si="98">MAX(F101:F104)</f>
        <v>0</v>
      </c>
      <c r="G105" s="273">
        <f t="shared" si="98"/>
        <v>6</v>
      </c>
      <c r="H105" s="274">
        <f t="shared" si="98"/>
        <v>0</v>
      </c>
      <c r="I105" s="274">
        <f t="shared" si="98"/>
        <v>0</v>
      </c>
      <c r="J105" s="275">
        <f t="shared" si="98"/>
        <v>6</v>
      </c>
      <c r="K105" s="275">
        <f t="shared" si="98"/>
        <v>6</v>
      </c>
      <c r="L105" s="275">
        <f t="shared" si="98"/>
        <v>6</v>
      </c>
      <c r="M105" s="276">
        <f t="shared" si="98"/>
        <v>6</v>
      </c>
      <c r="N105" s="276">
        <f t="shared" si="98"/>
        <v>0</v>
      </c>
      <c r="O105" s="276">
        <f t="shared" si="98"/>
        <v>6</v>
      </c>
      <c r="P105" s="276">
        <f t="shared" si="98"/>
        <v>0</v>
      </c>
      <c r="Q105" s="277">
        <f t="shared" si="98"/>
        <v>0</v>
      </c>
      <c r="R105" s="277">
        <f t="shared" si="98"/>
        <v>0</v>
      </c>
      <c r="S105" s="277">
        <f t="shared" si="98"/>
        <v>0</v>
      </c>
      <c r="T105" s="277">
        <f t="shared" si="98"/>
        <v>0</v>
      </c>
      <c r="U105" s="277">
        <f t="shared" si="98"/>
        <v>0</v>
      </c>
      <c r="V105" s="341"/>
      <c r="W105" s="189"/>
      <c r="X105" s="279" t="s">
        <v>101</v>
      </c>
      <c r="Y105" s="271"/>
      <c r="Z105" s="271"/>
      <c r="AA105" s="271"/>
      <c r="AB105" s="371"/>
      <c r="AC105" s="359">
        <f>MAX(AC101:AC104)</f>
        <v>0</v>
      </c>
      <c r="AD105" s="359">
        <f>MAX(AD101:AD104)</f>
        <v>6</v>
      </c>
      <c r="AE105" s="360">
        <v>0</v>
      </c>
      <c r="AF105" s="360">
        <v>0</v>
      </c>
      <c r="AG105" s="361">
        <v>6</v>
      </c>
      <c r="AH105" s="361">
        <v>6</v>
      </c>
      <c r="AI105" s="361">
        <v>6</v>
      </c>
      <c r="AJ105" s="362">
        <v>0</v>
      </c>
      <c r="AK105" s="362">
        <v>0</v>
      </c>
      <c r="AL105" s="362">
        <v>0</v>
      </c>
      <c r="AM105" s="362">
        <f>MAX(AM101:AM104)</f>
        <v>0</v>
      </c>
      <c r="AN105" s="363">
        <v>0</v>
      </c>
      <c r="AO105" s="363">
        <v>0</v>
      </c>
      <c r="AP105" s="363">
        <v>0</v>
      </c>
      <c r="AQ105" s="363">
        <v>0</v>
      </c>
      <c r="AR105" s="364">
        <v>0</v>
      </c>
      <c r="AS105" s="293"/>
    </row>
    <row r="106" s="60" customFormat="1" spans="1:45">
      <c r="A106" s="235" t="s">
        <v>127</v>
      </c>
      <c r="B106" s="236"/>
      <c r="C106" s="236"/>
      <c r="D106" s="236"/>
      <c r="E106" s="236"/>
      <c r="F106" s="249" t="s">
        <v>4</v>
      </c>
      <c r="G106" s="249"/>
      <c r="H106" s="250" t="s">
        <v>5</v>
      </c>
      <c r="I106" s="251"/>
      <c r="J106" s="294" t="s">
        <v>6</v>
      </c>
      <c r="K106" s="294"/>
      <c r="L106" s="294"/>
      <c r="M106" s="295" t="s">
        <v>7</v>
      </c>
      <c r="N106" s="295"/>
      <c r="O106" s="295"/>
      <c r="P106" s="295"/>
      <c r="Q106" s="296" t="s">
        <v>49</v>
      </c>
      <c r="R106" s="296"/>
      <c r="S106" s="296"/>
      <c r="T106" s="296"/>
      <c r="U106" s="296"/>
      <c r="V106" s="243" t="s">
        <v>50</v>
      </c>
      <c r="W106" s="189"/>
      <c r="X106" s="297" t="s">
        <v>127</v>
      </c>
      <c r="Y106" s="236"/>
      <c r="Z106" s="236"/>
      <c r="AA106" s="236"/>
      <c r="AB106" s="236"/>
      <c r="AC106" s="372" t="s">
        <v>4</v>
      </c>
      <c r="AD106" s="373"/>
      <c r="AE106" s="374" t="s">
        <v>5</v>
      </c>
      <c r="AF106" s="375"/>
      <c r="AG106" s="376" t="s">
        <v>6</v>
      </c>
      <c r="AH106" s="377"/>
      <c r="AI106" s="377"/>
      <c r="AJ106" s="378" t="s">
        <v>7</v>
      </c>
      <c r="AK106" s="379"/>
      <c r="AL106" s="379"/>
      <c r="AM106" s="379"/>
      <c r="AN106" s="380" t="s">
        <v>49</v>
      </c>
      <c r="AO106" s="381"/>
      <c r="AP106" s="381"/>
      <c r="AQ106" s="381"/>
      <c r="AR106" s="382"/>
      <c r="AS106" s="256" t="s">
        <v>50</v>
      </c>
    </row>
    <row r="107" s="60" customFormat="1" ht="31" spans="1:45">
      <c r="A107" s="342" t="s">
        <v>51</v>
      </c>
      <c r="B107" s="343" t="s">
        <v>52</v>
      </c>
      <c r="C107" s="343" t="s">
        <v>53</v>
      </c>
      <c r="D107" s="86" t="s">
        <v>54</v>
      </c>
      <c r="E107" s="86"/>
      <c r="F107" s="248" t="s">
        <v>10</v>
      </c>
      <c r="G107" s="249" t="s">
        <v>11</v>
      </c>
      <c r="H107" s="250" t="s">
        <v>55</v>
      </c>
      <c r="I107" s="251" t="s">
        <v>13</v>
      </c>
      <c r="J107" s="252" t="s">
        <v>14</v>
      </c>
      <c r="K107" s="252" t="s">
        <v>15</v>
      </c>
      <c r="L107" s="252" t="s">
        <v>56</v>
      </c>
      <c r="M107" s="253" t="s">
        <v>57</v>
      </c>
      <c r="N107" s="253" t="s">
        <v>58</v>
      </c>
      <c r="O107" s="253" t="s">
        <v>59</v>
      </c>
      <c r="P107" s="253" t="s">
        <v>60</v>
      </c>
      <c r="Q107" s="254" t="s">
        <v>21</v>
      </c>
      <c r="R107" s="254" t="s">
        <v>22</v>
      </c>
      <c r="S107" s="254" t="s">
        <v>61</v>
      </c>
      <c r="T107" s="254" t="s">
        <v>62</v>
      </c>
      <c r="U107" s="254" t="s">
        <v>63</v>
      </c>
      <c r="V107" s="243"/>
      <c r="W107" s="189"/>
      <c r="X107" s="346" t="s">
        <v>51</v>
      </c>
      <c r="Y107" s="343" t="s">
        <v>52</v>
      </c>
      <c r="Z107" s="343" t="s">
        <v>53</v>
      </c>
      <c r="AA107" s="86" t="s">
        <v>54</v>
      </c>
      <c r="AB107" s="86"/>
      <c r="AC107" s="383" t="s">
        <v>10</v>
      </c>
      <c r="AD107" s="372" t="s">
        <v>11</v>
      </c>
      <c r="AE107" s="374" t="s">
        <v>55</v>
      </c>
      <c r="AF107" s="384" t="s">
        <v>13</v>
      </c>
      <c r="AG107" s="385" t="s">
        <v>14</v>
      </c>
      <c r="AH107" s="385" t="s">
        <v>15</v>
      </c>
      <c r="AI107" s="385" t="s">
        <v>56</v>
      </c>
      <c r="AJ107" s="386" t="s">
        <v>57</v>
      </c>
      <c r="AK107" s="386" t="s">
        <v>58</v>
      </c>
      <c r="AL107" s="386" t="s">
        <v>59</v>
      </c>
      <c r="AM107" s="386" t="s">
        <v>60</v>
      </c>
      <c r="AN107" s="387" t="s">
        <v>21</v>
      </c>
      <c r="AO107" s="387" t="s">
        <v>22</v>
      </c>
      <c r="AP107" s="387" t="s">
        <v>61</v>
      </c>
      <c r="AQ107" s="387" t="s">
        <v>62</v>
      </c>
      <c r="AR107" s="388" t="s">
        <v>63</v>
      </c>
      <c r="AS107" s="256"/>
    </row>
    <row r="108" s="63" customFormat="1" spans="1:45">
      <c r="A108" s="395" t="s">
        <v>36</v>
      </c>
      <c r="B108" s="396">
        <v>1</v>
      </c>
      <c r="C108" s="396" t="s">
        <v>64</v>
      </c>
      <c r="D108" s="18" t="s">
        <v>65</v>
      </c>
      <c r="E108" s="18"/>
      <c r="F108" s="257">
        <v>6</v>
      </c>
      <c r="G108" s="266"/>
      <c r="H108" s="258"/>
      <c r="I108" s="259"/>
      <c r="J108" s="262"/>
      <c r="K108" s="262"/>
      <c r="L108" s="262"/>
      <c r="M108" s="263"/>
      <c r="N108" s="263"/>
      <c r="O108" s="263"/>
      <c r="P108" s="263"/>
      <c r="Q108" s="267"/>
      <c r="R108" s="267"/>
      <c r="S108" s="267"/>
      <c r="T108" s="267"/>
      <c r="U108" s="267"/>
      <c r="V108" s="260"/>
      <c r="W108" s="189"/>
      <c r="X108" s="397" t="s">
        <v>36</v>
      </c>
      <c r="Y108" s="396">
        <v>1</v>
      </c>
      <c r="Z108" s="396" t="s">
        <v>64</v>
      </c>
      <c r="AA108" s="18" t="s">
        <v>65</v>
      </c>
      <c r="AB108" s="18"/>
      <c r="AC108" s="370">
        <v>6</v>
      </c>
      <c r="AD108" s="353"/>
      <c r="AE108" s="328"/>
      <c r="AF108" s="328"/>
      <c r="AG108" s="334"/>
      <c r="AH108" s="334"/>
      <c r="AI108" s="334"/>
      <c r="AJ108" s="331"/>
      <c r="AK108" s="331"/>
      <c r="AL108" s="331"/>
      <c r="AM108" s="331"/>
      <c r="AN108" s="332"/>
      <c r="AO108" s="332"/>
      <c r="AP108" s="332"/>
      <c r="AQ108" s="332"/>
      <c r="AR108" s="333"/>
      <c r="AS108" s="261"/>
    </row>
    <row r="109" s="63" customFormat="1" spans="1:45">
      <c r="A109" s="73" t="s">
        <v>36</v>
      </c>
      <c r="B109" s="73">
        <v>2</v>
      </c>
      <c r="C109" s="73" t="s">
        <v>66</v>
      </c>
      <c r="D109" s="18" t="s">
        <v>67</v>
      </c>
      <c r="E109" s="18"/>
      <c r="F109" s="257">
        <v>6</v>
      </c>
      <c r="G109" s="266"/>
      <c r="H109" s="258"/>
      <c r="I109" s="259"/>
      <c r="J109" s="262">
        <f t="shared" ref="J109:J111" si="99">F109</f>
        <v>6</v>
      </c>
      <c r="K109" s="262">
        <f t="shared" ref="K109:K111" si="100">F109</f>
        <v>6</v>
      </c>
      <c r="L109" s="262">
        <f t="shared" ref="L109:L111" si="101">F109</f>
        <v>6</v>
      </c>
      <c r="M109" s="263">
        <f t="shared" ref="M109:M111" si="102">F109</f>
        <v>6</v>
      </c>
      <c r="N109" s="263"/>
      <c r="O109" s="263">
        <f t="shared" ref="O109:O111" si="103">F109</f>
        <v>6</v>
      </c>
      <c r="P109" s="263"/>
      <c r="Q109" s="267"/>
      <c r="R109" s="267"/>
      <c r="S109" s="267"/>
      <c r="T109" s="267"/>
      <c r="U109" s="267"/>
      <c r="V109" s="260"/>
      <c r="W109" s="189"/>
      <c r="X109" s="161" t="s">
        <v>36</v>
      </c>
      <c r="Y109" s="73">
        <v>2</v>
      </c>
      <c r="Z109" s="73" t="s">
        <v>66</v>
      </c>
      <c r="AA109" s="18" t="s">
        <v>67</v>
      </c>
      <c r="AB109" s="18"/>
      <c r="AC109" s="370">
        <v>6</v>
      </c>
      <c r="AD109" s="353"/>
      <c r="AE109" s="328"/>
      <c r="AF109" s="328"/>
      <c r="AG109" s="329">
        <f t="shared" ref="AG109:AG111" si="104">AC109</f>
        <v>6</v>
      </c>
      <c r="AH109" s="329">
        <f t="shared" ref="AH109:AH111" si="105">AC109</f>
        <v>6</v>
      </c>
      <c r="AI109" s="329">
        <f t="shared" ref="AI109:AI111" si="106">AC109</f>
        <v>6</v>
      </c>
      <c r="AJ109" s="330">
        <f t="shared" ref="AJ109:AJ111" si="107">AC109</f>
        <v>6</v>
      </c>
      <c r="AK109" s="331"/>
      <c r="AL109" s="330">
        <f t="shared" ref="AL109:AL111" si="108">AC109</f>
        <v>6</v>
      </c>
      <c r="AM109" s="331"/>
      <c r="AN109" s="332"/>
      <c r="AO109" s="332"/>
      <c r="AP109" s="332"/>
      <c r="AQ109" s="332"/>
      <c r="AR109" s="333"/>
      <c r="AS109" s="261"/>
    </row>
    <row r="110" s="63" customFormat="1" spans="1:45">
      <c r="A110" s="73" t="s">
        <v>36</v>
      </c>
      <c r="B110" s="73">
        <v>3</v>
      </c>
      <c r="C110" s="73" t="s">
        <v>128</v>
      </c>
      <c r="D110" s="268" t="s">
        <v>129</v>
      </c>
      <c r="E110" s="268"/>
      <c r="F110" s="257">
        <v>6</v>
      </c>
      <c r="G110" s="266"/>
      <c r="H110" s="258"/>
      <c r="I110" s="259"/>
      <c r="J110" s="262">
        <f t="shared" si="99"/>
        <v>6</v>
      </c>
      <c r="K110" s="262">
        <f t="shared" si="100"/>
        <v>6</v>
      </c>
      <c r="L110" s="262">
        <f t="shared" si="101"/>
        <v>6</v>
      </c>
      <c r="M110" s="263">
        <f t="shared" si="102"/>
        <v>6</v>
      </c>
      <c r="N110" s="263"/>
      <c r="O110" s="263">
        <f t="shared" si="103"/>
        <v>6</v>
      </c>
      <c r="P110" s="263"/>
      <c r="Q110" s="267">
        <f>F110</f>
        <v>6</v>
      </c>
      <c r="R110" s="267">
        <f>F110*3</f>
        <v>18</v>
      </c>
      <c r="S110" s="267">
        <f>F110*3</f>
        <v>18</v>
      </c>
      <c r="T110" s="267">
        <f>F110*3</f>
        <v>18</v>
      </c>
      <c r="U110" s="267">
        <f>F110*3</f>
        <v>18</v>
      </c>
      <c r="V110" s="260"/>
      <c r="W110" s="189"/>
      <c r="X110" s="161" t="s">
        <v>36</v>
      </c>
      <c r="Y110" s="73">
        <v>3</v>
      </c>
      <c r="Z110" s="73" t="s">
        <v>128</v>
      </c>
      <c r="AA110" s="268" t="s">
        <v>129</v>
      </c>
      <c r="AB110" s="268"/>
      <c r="AC110" s="370">
        <v>6</v>
      </c>
      <c r="AD110" s="353"/>
      <c r="AE110" s="328"/>
      <c r="AF110" s="328"/>
      <c r="AG110" s="329">
        <f t="shared" si="104"/>
        <v>6</v>
      </c>
      <c r="AH110" s="329">
        <f t="shared" si="105"/>
        <v>6</v>
      </c>
      <c r="AI110" s="329">
        <f t="shared" si="106"/>
        <v>6</v>
      </c>
      <c r="AJ110" s="330">
        <f t="shared" si="107"/>
        <v>6</v>
      </c>
      <c r="AK110" s="331"/>
      <c r="AL110" s="330">
        <f t="shared" si="108"/>
        <v>6</v>
      </c>
      <c r="AM110" s="331"/>
      <c r="AN110" s="357">
        <f>AC110</f>
        <v>6</v>
      </c>
      <c r="AO110" s="357">
        <f>AC110*3</f>
        <v>18</v>
      </c>
      <c r="AP110" s="357">
        <f>AC110*3</f>
        <v>18</v>
      </c>
      <c r="AQ110" s="357">
        <f>AC110*3</f>
        <v>18</v>
      </c>
      <c r="AR110" s="358">
        <f>AC110*3</f>
        <v>18</v>
      </c>
      <c r="AS110" s="261"/>
    </row>
    <row r="111" s="63" customFormat="1" spans="1:45">
      <c r="A111" s="73" t="s">
        <v>36</v>
      </c>
      <c r="B111" s="73">
        <v>4</v>
      </c>
      <c r="C111" s="73" t="s">
        <v>66</v>
      </c>
      <c r="D111" s="18" t="s">
        <v>67</v>
      </c>
      <c r="E111" s="18"/>
      <c r="F111" s="257">
        <v>6</v>
      </c>
      <c r="G111" s="266"/>
      <c r="H111" s="258"/>
      <c r="I111" s="259"/>
      <c r="J111" s="262">
        <f t="shared" si="99"/>
        <v>6</v>
      </c>
      <c r="K111" s="262">
        <f t="shared" si="100"/>
        <v>6</v>
      </c>
      <c r="L111" s="262">
        <f t="shared" si="101"/>
        <v>6</v>
      </c>
      <c r="M111" s="263">
        <f t="shared" si="102"/>
        <v>6</v>
      </c>
      <c r="N111" s="263"/>
      <c r="O111" s="263">
        <f t="shared" si="103"/>
        <v>6</v>
      </c>
      <c r="P111" s="263"/>
      <c r="Q111" s="267"/>
      <c r="R111" s="267"/>
      <c r="S111" s="267"/>
      <c r="T111" s="267"/>
      <c r="U111" s="267"/>
      <c r="V111" s="260"/>
      <c r="W111" s="189"/>
      <c r="X111" s="161" t="s">
        <v>36</v>
      </c>
      <c r="Y111" s="73">
        <v>4</v>
      </c>
      <c r="Z111" s="73" t="s">
        <v>66</v>
      </c>
      <c r="AA111" s="18" t="s">
        <v>67</v>
      </c>
      <c r="AB111" s="18"/>
      <c r="AC111" s="370">
        <v>6</v>
      </c>
      <c r="AD111" s="353"/>
      <c r="AE111" s="328"/>
      <c r="AF111" s="328"/>
      <c r="AG111" s="329">
        <f t="shared" si="104"/>
        <v>6</v>
      </c>
      <c r="AH111" s="329">
        <f t="shared" si="105"/>
        <v>6</v>
      </c>
      <c r="AI111" s="329">
        <f t="shared" si="106"/>
        <v>6</v>
      </c>
      <c r="AJ111" s="330">
        <f t="shared" si="107"/>
        <v>6</v>
      </c>
      <c r="AK111" s="331"/>
      <c r="AL111" s="330">
        <f t="shared" si="108"/>
        <v>6</v>
      </c>
      <c r="AM111" s="331"/>
      <c r="AN111" s="332"/>
      <c r="AO111" s="332"/>
      <c r="AP111" s="332"/>
      <c r="AQ111" s="332"/>
      <c r="AR111" s="333"/>
      <c r="AS111" s="261"/>
    </row>
    <row r="112" s="63" customFormat="1" spans="1:45">
      <c r="A112" s="73" t="s">
        <v>36</v>
      </c>
      <c r="B112" s="73">
        <v>5</v>
      </c>
      <c r="C112" s="73" t="s">
        <v>64</v>
      </c>
      <c r="D112" s="18" t="s">
        <v>65</v>
      </c>
      <c r="E112" s="18"/>
      <c r="F112" s="257">
        <v>6</v>
      </c>
      <c r="G112" s="266"/>
      <c r="H112" s="258"/>
      <c r="I112" s="259"/>
      <c r="J112" s="262"/>
      <c r="K112" s="262"/>
      <c r="L112" s="262"/>
      <c r="M112" s="263"/>
      <c r="N112" s="263"/>
      <c r="O112" s="263"/>
      <c r="P112" s="263"/>
      <c r="Q112" s="267"/>
      <c r="R112" s="267"/>
      <c r="S112" s="267"/>
      <c r="T112" s="267"/>
      <c r="U112" s="267"/>
      <c r="V112" s="260"/>
      <c r="W112" s="189"/>
      <c r="X112" s="161" t="s">
        <v>36</v>
      </c>
      <c r="Y112" s="73">
        <v>5</v>
      </c>
      <c r="Z112" s="73" t="s">
        <v>64</v>
      </c>
      <c r="AA112" s="18" t="s">
        <v>65</v>
      </c>
      <c r="AB112" s="18"/>
      <c r="AC112" s="370">
        <v>6</v>
      </c>
      <c r="AD112" s="353"/>
      <c r="AE112" s="328"/>
      <c r="AF112" s="328"/>
      <c r="AG112" s="334"/>
      <c r="AH112" s="334"/>
      <c r="AI112" s="334"/>
      <c r="AJ112" s="331"/>
      <c r="AK112" s="331"/>
      <c r="AL112" s="331"/>
      <c r="AM112" s="331"/>
      <c r="AN112" s="332"/>
      <c r="AO112" s="332"/>
      <c r="AP112" s="332"/>
      <c r="AQ112" s="332"/>
      <c r="AR112" s="333"/>
      <c r="AS112" s="261"/>
    </row>
    <row r="113" s="63" customFormat="1" spans="1:45">
      <c r="A113" s="73" t="s">
        <v>36</v>
      </c>
      <c r="B113" s="73">
        <v>6</v>
      </c>
      <c r="C113" s="73" t="s">
        <v>100</v>
      </c>
      <c r="D113" s="18" t="s">
        <v>100</v>
      </c>
      <c r="E113" s="18"/>
      <c r="F113" s="257">
        <v>6</v>
      </c>
      <c r="G113" s="266"/>
      <c r="H113" s="258"/>
      <c r="I113" s="259"/>
      <c r="J113" s="262"/>
      <c r="K113" s="262"/>
      <c r="L113" s="262"/>
      <c r="M113" s="263"/>
      <c r="N113" s="263"/>
      <c r="O113" s="263"/>
      <c r="P113" s="263"/>
      <c r="Q113" s="267"/>
      <c r="R113" s="267"/>
      <c r="S113" s="267"/>
      <c r="T113" s="267"/>
      <c r="U113" s="267"/>
      <c r="V113" s="260"/>
      <c r="W113" s="189"/>
      <c r="X113" s="161" t="s">
        <v>36</v>
      </c>
      <c r="Y113" s="73">
        <v>6</v>
      </c>
      <c r="Z113" s="73" t="s">
        <v>100</v>
      </c>
      <c r="AA113" s="18" t="s">
        <v>100</v>
      </c>
      <c r="AB113" s="18"/>
      <c r="AC113" s="370">
        <v>6</v>
      </c>
      <c r="AD113" s="353"/>
      <c r="AE113" s="328"/>
      <c r="AF113" s="328"/>
      <c r="AG113" s="334"/>
      <c r="AH113" s="334"/>
      <c r="AI113" s="334"/>
      <c r="AJ113" s="331"/>
      <c r="AK113" s="331"/>
      <c r="AL113" s="331"/>
      <c r="AM113" s="331"/>
      <c r="AN113" s="332"/>
      <c r="AO113" s="332"/>
      <c r="AP113" s="332"/>
      <c r="AQ113" s="332"/>
      <c r="AR113" s="333"/>
      <c r="AS113" s="261"/>
    </row>
    <row r="114" s="186" customFormat="1" spans="1:45">
      <c r="A114" s="271" t="s">
        <v>101</v>
      </c>
      <c r="B114" s="271"/>
      <c r="C114" s="271"/>
      <c r="D114" s="271"/>
      <c r="E114" s="271"/>
      <c r="F114" s="272">
        <f t="shared" ref="F114:U114" si="109">MAX(F108:F113)</f>
        <v>6</v>
      </c>
      <c r="G114" s="273">
        <f t="shared" si="109"/>
        <v>0</v>
      </c>
      <c r="H114" s="274">
        <f t="shared" si="109"/>
        <v>0</v>
      </c>
      <c r="I114" s="274">
        <f t="shared" si="109"/>
        <v>0</v>
      </c>
      <c r="J114" s="275">
        <f t="shared" si="109"/>
        <v>6</v>
      </c>
      <c r="K114" s="275">
        <f t="shared" si="109"/>
        <v>6</v>
      </c>
      <c r="L114" s="275">
        <f t="shared" si="109"/>
        <v>6</v>
      </c>
      <c r="M114" s="276">
        <f t="shared" si="109"/>
        <v>6</v>
      </c>
      <c r="N114" s="276">
        <f t="shared" si="109"/>
        <v>0</v>
      </c>
      <c r="O114" s="276">
        <f t="shared" si="109"/>
        <v>6</v>
      </c>
      <c r="P114" s="276">
        <f t="shared" si="109"/>
        <v>0</v>
      </c>
      <c r="Q114" s="277">
        <f t="shared" si="109"/>
        <v>6</v>
      </c>
      <c r="R114" s="277">
        <f t="shared" si="109"/>
        <v>18</v>
      </c>
      <c r="S114" s="277">
        <f t="shared" si="109"/>
        <v>18</v>
      </c>
      <c r="T114" s="277">
        <f t="shared" si="109"/>
        <v>18</v>
      </c>
      <c r="U114" s="277">
        <f t="shared" si="109"/>
        <v>18</v>
      </c>
      <c r="V114" s="341"/>
      <c r="W114" s="189"/>
      <c r="X114" s="279" t="s">
        <v>101</v>
      </c>
      <c r="Y114" s="271"/>
      <c r="Z114" s="271"/>
      <c r="AA114" s="271"/>
      <c r="AB114" s="371"/>
      <c r="AC114" s="359">
        <f>MAX(AC108:AC113)</f>
        <v>6</v>
      </c>
      <c r="AD114" s="359">
        <f>MAX(AD108:AD113)</f>
        <v>0</v>
      </c>
      <c r="AE114" s="360">
        <v>0</v>
      </c>
      <c r="AF114" s="360">
        <v>0</v>
      </c>
      <c r="AG114" s="361">
        <v>6</v>
      </c>
      <c r="AH114" s="361">
        <v>6</v>
      </c>
      <c r="AI114" s="361">
        <v>6</v>
      </c>
      <c r="AJ114" s="362">
        <v>6</v>
      </c>
      <c r="AK114" s="362">
        <v>0</v>
      </c>
      <c r="AL114" s="362">
        <v>6</v>
      </c>
      <c r="AM114" s="362">
        <v>0</v>
      </c>
      <c r="AN114" s="363">
        <v>6</v>
      </c>
      <c r="AO114" s="363">
        <v>18</v>
      </c>
      <c r="AP114" s="363">
        <v>18</v>
      </c>
      <c r="AQ114" s="363">
        <v>18</v>
      </c>
      <c r="AR114" s="364">
        <v>18</v>
      </c>
      <c r="AS114" s="293"/>
    </row>
    <row r="115" s="60" customFormat="1" spans="1:45">
      <c r="A115" s="235" t="s">
        <v>130</v>
      </c>
      <c r="B115" s="236"/>
      <c r="C115" s="236"/>
      <c r="D115" s="236"/>
      <c r="E115" s="236"/>
      <c r="F115" s="249" t="s">
        <v>4</v>
      </c>
      <c r="G115" s="249"/>
      <c r="H115" s="250" t="s">
        <v>5</v>
      </c>
      <c r="I115" s="251"/>
      <c r="J115" s="294" t="s">
        <v>6</v>
      </c>
      <c r="K115" s="294"/>
      <c r="L115" s="294"/>
      <c r="M115" s="295" t="s">
        <v>7</v>
      </c>
      <c r="N115" s="295"/>
      <c r="O115" s="295"/>
      <c r="P115" s="295"/>
      <c r="Q115" s="296" t="s">
        <v>49</v>
      </c>
      <c r="R115" s="296"/>
      <c r="S115" s="296"/>
      <c r="T115" s="296"/>
      <c r="U115" s="296"/>
      <c r="V115" s="243" t="s">
        <v>50</v>
      </c>
      <c r="W115" s="189"/>
      <c r="X115" s="297" t="s">
        <v>130</v>
      </c>
      <c r="Y115" s="236"/>
      <c r="Z115" s="236"/>
      <c r="AA115" s="236"/>
      <c r="AB115" s="236"/>
      <c r="AC115" s="372" t="s">
        <v>4</v>
      </c>
      <c r="AD115" s="373"/>
      <c r="AE115" s="374" t="s">
        <v>5</v>
      </c>
      <c r="AF115" s="375"/>
      <c r="AG115" s="376" t="s">
        <v>6</v>
      </c>
      <c r="AH115" s="377"/>
      <c r="AI115" s="377"/>
      <c r="AJ115" s="378" t="s">
        <v>7</v>
      </c>
      <c r="AK115" s="379"/>
      <c r="AL115" s="379"/>
      <c r="AM115" s="379"/>
      <c r="AN115" s="380" t="s">
        <v>49</v>
      </c>
      <c r="AO115" s="381"/>
      <c r="AP115" s="381"/>
      <c r="AQ115" s="381"/>
      <c r="AR115" s="382"/>
      <c r="AS115" s="256" t="s">
        <v>50</v>
      </c>
    </row>
    <row r="116" s="60" customFormat="1" ht="31" spans="1:45">
      <c r="A116" s="70" t="s">
        <v>51</v>
      </c>
      <c r="B116" s="70" t="s">
        <v>52</v>
      </c>
      <c r="C116" s="70" t="s">
        <v>53</v>
      </c>
      <c r="D116" s="86" t="s">
        <v>54</v>
      </c>
      <c r="E116" s="86"/>
      <c r="F116" s="248" t="s">
        <v>10</v>
      </c>
      <c r="G116" s="249" t="s">
        <v>11</v>
      </c>
      <c r="H116" s="250" t="s">
        <v>55</v>
      </c>
      <c r="I116" s="251" t="s">
        <v>13</v>
      </c>
      <c r="J116" s="252" t="s">
        <v>14</v>
      </c>
      <c r="K116" s="252" t="s">
        <v>15</v>
      </c>
      <c r="L116" s="252" t="s">
        <v>56</v>
      </c>
      <c r="M116" s="253" t="s">
        <v>57</v>
      </c>
      <c r="N116" s="253" t="s">
        <v>58</v>
      </c>
      <c r="O116" s="253" t="s">
        <v>59</v>
      </c>
      <c r="P116" s="253" t="s">
        <v>60</v>
      </c>
      <c r="Q116" s="254" t="s">
        <v>21</v>
      </c>
      <c r="R116" s="254" t="s">
        <v>22</v>
      </c>
      <c r="S116" s="254" t="s">
        <v>61</v>
      </c>
      <c r="T116" s="254" t="s">
        <v>62</v>
      </c>
      <c r="U116" s="254" t="s">
        <v>63</v>
      </c>
      <c r="V116" s="243"/>
      <c r="W116" s="189"/>
      <c r="X116" s="155" t="s">
        <v>51</v>
      </c>
      <c r="Y116" s="70" t="s">
        <v>52</v>
      </c>
      <c r="Z116" s="70" t="s">
        <v>53</v>
      </c>
      <c r="AA116" s="86" t="s">
        <v>54</v>
      </c>
      <c r="AB116" s="344"/>
      <c r="AC116" s="372" t="s">
        <v>10</v>
      </c>
      <c r="AD116" s="372" t="s">
        <v>11</v>
      </c>
      <c r="AE116" s="374" t="s">
        <v>55</v>
      </c>
      <c r="AF116" s="384" t="s">
        <v>13</v>
      </c>
      <c r="AG116" s="385" t="s">
        <v>14</v>
      </c>
      <c r="AH116" s="385" t="s">
        <v>15</v>
      </c>
      <c r="AI116" s="385" t="s">
        <v>56</v>
      </c>
      <c r="AJ116" s="386" t="s">
        <v>57</v>
      </c>
      <c r="AK116" s="386" t="s">
        <v>58</v>
      </c>
      <c r="AL116" s="386" t="s">
        <v>59</v>
      </c>
      <c r="AM116" s="386" t="s">
        <v>60</v>
      </c>
      <c r="AN116" s="387" t="s">
        <v>21</v>
      </c>
      <c r="AO116" s="387" t="s">
        <v>22</v>
      </c>
      <c r="AP116" s="387" t="s">
        <v>61</v>
      </c>
      <c r="AQ116" s="387" t="s">
        <v>62</v>
      </c>
      <c r="AR116" s="388" t="s">
        <v>63</v>
      </c>
      <c r="AS116" s="256"/>
    </row>
    <row r="117" s="63" customFormat="1" spans="1:45">
      <c r="A117" s="73" t="s">
        <v>37</v>
      </c>
      <c r="B117" s="73">
        <v>1</v>
      </c>
      <c r="C117" s="73" t="s">
        <v>64</v>
      </c>
      <c r="D117" s="18" t="s">
        <v>65</v>
      </c>
      <c r="E117" s="18"/>
      <c r="F117" s="257">
        <v>6</v>
      </c>
      <c r="G117" s="266"/>
      <c r="H117" s="258"/>
      <c r="I117" s="259"/>
      <c r="J117" s="262"/>
      <c r="K117" s="262"/>
      <c r="L117" s="262"/>
      <c r="M117" s="263"/>
      <c r="N117" s="263"/>
      <c r="O117" s="263"/>
      <c r="P117" s="263"/>
      <c r="Q117" s="267"/>
      <c r="R117" s="267"/>
      <c r="S117" s="267"/>
      <c r="T117" s="267"/>
      <c r="U117" s="267"/>
      <c r="V117" s="260"/>
      <c r="W117" s="189"/>
      <c r="X117" s="161" t="s">
        <v>37</v>
      </c>
      <c r="Y117" s="73">
        <v>1</v>
      </c>
      <c r="Z117" s="73" t="s">
        <v>64</v>
      </c>
      <c r="AA117" s="18" t="s">
        <v>65</v>
      </c>
      <c r="AB117" s="348"/>
      <c r="AC117" s="390">
        <v>6</v>
      </c>
      <c r="AD117" s="353"/>
      <c r="AE117" s="328"/>
      <c r="AF117" s="328"/>
      <c r="AG117" s="334"/>
      <c r="AH117" s="334"/>
      <c r="AI117" s="334"/>
      <c r="AJ117" s="331"/>
      <c r="AK117" s="331"/>
      <c r="AL117" s="331"/>
      <c r="AM117" s="331"/>
      <c r="AN117" s="332"/>
      <c r="AO117" s="332"/>
      <c r="AP117" s="332"/>
      <c r="AQ117" s="332"/>
      <c r="AR117" s="333"/>
      <c r="AS117" s="261"/>
    </row>
    <row r="118" s="63" customFormat="1" spans="1:45">
      <c r="A118" s="73" t="s">
        <v>37</v>
      </c>
      <c r="B118" s="73">
        <v>2</v>
      </c>
      <c r="C118" s="73" t="s">
        <v>66</v>
      </c>
      <c r="D118" s="18" t="s">
        <v>67</v>
      </c>
      <c r="E118" s="18"/>
      <c r="F118" s="257">
        <v>6</v>
      </c>
      <c r="G118" s="266"/>
      <c r="H118" s="258"/>
      <c r="I118" s="259"/>
      <c r="J118" s="262">
        <f t="shared" ref="J118:J120" si="110">F118</f>
        <v>6</v>
      </c>
      <c r="K118" s="262">
        <f t="shared" ref="K118:K120" si="111">F118</f>
        <v>6</v>
      </c>
      <c r="L118" s="262">
        <f t="shared" ref="L118:L120" si="112">F118</f>
        <v>6</v>
      </c>
      <c r="M118" s="263">
        <f t="shared" ref="M118:M120" si="113">F118</f>
        <v>6</v>
      </c>
      <c r="N118" s="263"/>
      <c r="O118" s="263">
        <f t="shared" ref="O118:O120" si="114">F118</f>
        <v>6</v>
      </c>
      <c r="P118" s="263"/>
      <c r="Q118" s="267"/>
      <c r="R118" s="267"/>
      <c r="S118" s="267"/>
      <c r="T118" s="267"/>
      <c r="U118" s="267"/>
      <c r="V118" s="260"/>
      <c r="W118" s="189"/>
      <c r="X118" s="161" t="s">
        <v>37</v>
      </c>
      <c r="Y118" s="73">
        <v>2</v>
      </c>
      <c r="Z118" s="73" t="s">
        <v>66</v>
      </c>
      <c r="AA118" s="18" t="s">
        <v>67</v>
      </c>
      <c r="AB118" s="348"/>
      <c r="AC118" s="390">
        <v>6</v>
      </c>
      <c r="AD118" s="353"/>
      <c r="AE118" s="328"/>
      <c r="AF118" s="328"/>
      <c r="AG118" s="329">
        <f t="shared" ref="AG118:AG120" si="115">AC118</f>
        <v>6</v>
      </c>
      <c r="AH118" s="329">
        <f t="shared" ref="AH118:AH120" si="116">AC118</f>
        <v>6</v>
      </c>
      <c r="AI118" s="329">
        <f t="shared" ref="AI118:AI120" si="117">AC118</f>
        <v>6</v>
      </c>
      <c r="AJ118" s="330">
        <f t="shared" ref="AJ118:AJ120" si="118">AC118</f>
        <v>6</v>
      </c>
      <c r="AK118" s="331"/>
      <c r="AL118" s="330">
        <f t="shared" ref="AL118:AL120" si="119">AC118</f>
        <v>6</v>
      </c>
      <c r="AM118" s="331"/>
      <c r="AN118" s="332"/>
      <c r="AO118" s="332"/>
      <c r="AP118" s="332"/>
      <c r="AQ118" s="332"/>
      <c r="AR118" s="333"/>
      <c r="AS118" s="261"/>
    </row>
    <row r="119" s="63" customFormat="1" spans="1:45">
      <c r="A119" s="73" t="s">
        <v>37</v>
      </c>
      <c r="B119" s="73">
        <v>3</v>
      </c>
      <c r="C119" s="73" t="s">
        <v>131</v>
      </c>
      <c r="D119" s="18" t="s">
        <v>132</v>
      </c>
      <c r="E119" s="18"/>
      <c r="F119" s="257">
        <v>6</v>
      </c>
      <c r="G119" s="266"/>
      <c r="H119" s="258"/>
      <c r="I119" s="259"/>
      <c r="J119" s="262">
        <f t="shared" si="110"/>
        <v>6</v>
      </c>
      <c r="K119" s="262">
        <f t="shared" si="111"/>
        <v>6</v>
      </c>
      <c r="L119" s="262">
        <f t="shared" si="112"/>
        <v>6</v>
      </c>
      <c r="M119" s="263">
        <f t="shared" si="113"/>
        <v>6</v>
      </c>
      <c r="N119" s="263"/>
      <c r="O119" s="263">
        <f t="shared" si="114"/>
        <v>6</v>
      </c>
      <c r="P119" s="263"/>
      <c r="Q119" s="267">
        <f>F119</f>
        <v>6</v>
      </c>
      <c r="R119" s="267">
        <f>F119*3</f>
        <v>18</v>
      </c>
      <c r="S119" s="267">
        <f>F119*3</f>
        <v>18</v>
      </c>
      <c r="T119" s="267">
        <f>F119*3</f>
        <v>18</v>
      </c>
      <c r="U119" s="267">
        <f>F119*3</f>
        <v>18</v>
      </c>
      <c r="V119" s="260"/>
      <c r="W119" s="189"/>
      <c r="X119" s="161" t="s">
        <v>37</v>
      </c>
      <c r="Y119" s="73">
        <v>3</v>
      </c>
      <c r="Z119" s="73" t="s">
        <v>131</v>
      </c>
      <c r="AA119" s="18" t="s">
        <v>132</v>
      </c>
      <c r="AB119" s="348"/>
      <c r="AC119" s="390">
        <v>6</v>
      </c>
      <c r="AD119" s="353"/>
      <c r="AE119" s="328"/>
      <c r="AF119" s="328"/>
      <c r="AG119" s="329">
        <f t="shared" si="115"/>
        <v>6</v>
      </c>
      <c r="AH119" s="329">
        <f t="shared" si="116"/>
        <v>6</v>
      </c>
      <c r="AI119" s="329">
        <f t="shared" si="117"/>
        <v>6</v>
      </c>
      <c r="AJ119" s="330">
        <f t="shared" si="118"/>
        <v>6</v>
      </c>
      <c r="AK119" s="331"/>
      <c r="AL119" s="330">
        <f t="shared" si="119"/>
        <v>6</v>
      </c>
      <c r="AM119" s="331"/>
      <c r="AN119" s="357">
        <f>AC119</f>
        <v>6</v>
      </c>
      <c r="AO119" s="357">
        <f>AC119*3</f>
        <v>18</v>
      </c>
      <c r="AP119" s="357">
        <f>AC119*3</f>
        <v>18</v>
      </c>
      <c r="AQ119" s="357">
        <f>AC119*3</f>
        <v>18</v>
      </c>
      <c r="AR119" s="358">
        <f>AC119*3</f>
        <v>18</v>
      </c>
      <c r="AS119" s="261"/>
    </row>
    <row r="120" s="63" customFormat="1" spans="1:45">
      <c r="A120" s="73" t="s">
        <v>37</v>
      </c>
      <c r="B120" s="73">
        <v>4</v>
      </c>
      <c r="C120" s="73" t="s">
        <v>66</v>
      </c>
      <c r="D120" s="18" t="s">
        <v>67</v>
      </c>
      <c r="E120" s="18"/>
      <c r="F120" s="257">
        <v>6</v>
      </c>
      <c r="G120" s="266"/>
      <c r="H120" s="258"/>
      <c r="I120" s="259"/>
      <c r="J120" s="262">
        <f t="shared" si="110"/>
        <v>6</v>
      </c>
      <c r="K120" s="262">
        <f t="shared" si="111"/>
        <v>6</v>
      </c>
      <c r="L120" s="262">
        <f t="shared" si="112"/>
        <v>6</v>
      </c>
      <c r="M120" s="263">
        <f t="shared" si="113"/>
        <v>6</v>
      </c>
      <c r="N120" s="263"/>
      <c r="O120" s="263">
        <f t="shared" si="114"/>
        <v>6</v>
      </c>
      <c r="P120" s="263"/>
      <c r="Q120" s="267"/>
      <c r="R120" s="267"/>
      <c r="S120" s="267"/>
      <c r="T120" s="267"/>
      <c r="U120" s="267"/>
      <c r="V120" s="260"/>
      <c r="W120" s="189"/>
      <c r="X120" s="161" t="s">
        <v>37</v>
      </c>
      <c r="Y120" s="73">
        <v>4</v>
      </c>
      <c r="Z120" s="73" t="s">
        <v>66</v>
      </c>
      <c r="AA120" s="18" t="s">
        <v>67</v>
      </c>
      <c r="AB120" s="348"/>
      <c r="AC120" s="390">
        <v>6</v>
      </c>
      <c r="AD120" s="353"/>
      <c r="AE120" s="328"/>
      <c r="AF120" s="328"/>
      <c r="AG120" s="329">
        <f t="shared" si="115"/>
        <v>6</v>
      </c>
      <c r="AH120" s="329">
        <f t="shared" si="116"/>
        <v>6</v>
      </c>
      <c r="AI120" s="329">
        <f t="shared" si="117"/>
        <v>6</v>
      </c>
      <c r="AJ120" s="330">
        <f t="shared" si="118"/>
        <v>6</v>
      </c>
      <c r="AK120" s="331"/>
      <c r="AL120" s="330">
        <f t="shared" si="119"/>
        <v>6</v>
      </c>
      <c r="AM120" s="331"/>
      <c r="AN120" s="332"/>
      <c r="AO120" s="332"/>
      <c r="AP120" s="332"/>
      <c r="AQ120" s="332"/>
      <c r="AR120" s="333"/>
      <c r="AS120" s="261"/>
    </row>
    <row r="121" s="63" customFormat="1" spans="1:45">
      <c r="A121" s="73" t="s">
        <v>37</v>
      </c>
      <c r="B121" s="73">
        <v>5</v>
      </c>
      <c r="C121" s="73" t="s">
        <v>100</v>
      </c>
      <c r="D121" s="18" t="s">
        <v>100</v>
      </c>
      <c r="E121" s="18"/>
      <c r="F121" s="257">
        <v>6</v>
      </c>
      <c r="G121" s="266"/>
      <c r="H121" s="258"/>
      <c r="I121" s="259"/>
      <c r="J121" s="262"/>
      <c r="K121" s="262"/>
      <c r="L121" s="262"/>
      <c r="M121" s="263"/>
      <c r="N121" s="263"/>
      <c r="O121" s="263"/>
      <c r="P121" s="263"/>
      <c r="Q121" s="267"/>
      <c r="R121" s="267"/>
      <c r="S121" s="267"/>
      <c r="T121" s="267"/>
      <c r="U121" s="267"/>
      <c r="V121" s="260"/>
      <c r="W121" s="189"/>
      <c r="X121" s="161" t="s">
        <v>37</v>
      </c>
      <c r="Y121" s="73">
        <v>5</v>
      </c>
      <c r="Z121" s="73" t="s">
        <v>100</v>
      </c>
      <c r="AA121" s="18" t="s">
        <v>100</v>
      </c>
      <c r="AB121" s="348"/>
      <c r="AC121" s="390">
        <v>6</v>
      </c>
      <c r="AD121" s="353"/>
      <c r="AE121" s="328"/>
      <c r="AF121" s="328"/>
      <c r="AG121" s="334"/>
      <c r="AH121" s="334"/>
      <c r="AI121" s="334"/>
      <c r="AJ121" s="331"/>
      <c r="AK121" s="331"/>
      <c r="AL121" s="331"/>
      <c r="AM121" s="331"/>
      <c r="AN121" s="332"/>
      <c r="AO121" s="332"/>
      <c r="AP121" s="332"/>
      <c r="AQ121" s="332"/>
      <c r="AR121" s="333"/>
      <c r="AS121" s="261"/>
    </row>
    <row r="122" s="186" customFormat="1" spans="1:45">
      <c r="A122" s="392" t="s">
        <v>101</v>
      </c>
      <c r="B122" s="393"/>
      <c r="C122" s="393"/>
      <c r="D122" s="393"/>
      <c r="E122" s="393"/>
      <c r="F122" s="273">
        <f t="shared" ref="F122:U122" si="120">MAX(F117:F121)</f>
        <v>6</v>
      </c>
      <c r="G122" s="273">
        <f t="shared" si="120"/>
        <v>0</v>
      </c>
      <c r="H122" s="274">
        <f t="shared" si="120"/>
        <v>0</v>
      </c>
      <c r="I122" s="274">
        <f t="shared" si="120"/>
        <v>0</v>
      </c>
      <c r="J122" s="275">
        <f t="shared" si="120"/>
        <v>6</v>
      </c>
      <c r="K122" s="275">
        <f t="shared" si="120"/>
        <v>6</v>
      </c>
      <c r="L122" s="275">
        <f t="shared" si="120"/>
        <v>6</v>
      </c>
      <c r="M122" s="276">
        <f t="shared" si="120"/>
        <v>6</v>
      </c>
      <c r="N122" s="276">
        <f t="shared" si="120"/>
        <v>0</v>
      </c>
      <c r="O122" s="276">
        <f t="shared" si="120"/>
        <v>6</v>
      </c>
      <c r="P122" s="276">
        <f t="shared" si="120"/>
        <v>0</v>
      </c>
      <c r="Q122" s="277">
        <f t="shared" si="120"/>
        <v>6</v>
      </c>
      <c r="R122" s="277">
        <f t="shared" si="120"/>
        <v>18</v>
      </c>
      <c r="S122" s="277">
        <f t="shared" si="120"/>
        <v>18</v>
      </c>
      <c r="T122" s="277">
        <f t="shared" si="120"/>
        <v>18</v>
      </c>
      <c r="U122" s="277">
        <f t="shared" si="120"/>
        <v>18</v>
      </c>
      <c r="V122" s="341"/>
      <c r="W122" s="189"/>
      <c r="X122" s="394" t="s">
        <v>101</v>
      </c>
      <c r="Y122" s="393"/>
      <c r="Z122" s="393"/>
      <c r="AA122" s="393"/>
      <c r="AB122" s="393"/>
      <c r="AC122" s="359">
        <f>MAX(AC117:AC121)</f>
        <v>6</v>
      </c>
      <c r="AD122" s="359">
        <f>MAX(AD117:AD121)</f>
        <v>0</v>
      </c>
      <c r="AE122" s="360">
        <v>0</v>
      </c>
      <c r="AF122" s="360">
        <v>0</v>
      </c>
      <c r="AG122" s="361">
        <v>6</v>
      </c>
      <c r="AH122" s="361">
        <v>6</v>
      </c>
      <c r="AI122" s="361">
        <v>6</v>
      </c>
      <c r="AJ122" s="362">
        <v>6</v>
      </c>
      <c r="AK122" s="362">
        <v>0</v>
      </c>
      <c r="AL122" s="362">
        <v>6</v>
      </c>
      <c r="AM122" s="362">
        <v>0</v>
      </c>
      <c r="AN122" s="363">
        <v>6</v>
      </c>
      <c r="AO122" s="363">
        <v>18</v>
      </c>
      <c r="AP122" s="363">
        <v>18</v>
      </c>
      <c r="AQ122" s="363">
        <v>18</v>
      </c>
      <c r="AR122" s="364">
        <v>18</v>
      </c>
      <c r="AS122" s="293"/>
    </row>
    <row r="123" s="60" customFormat="1" spans="1:45">
      <c r="A123" s="235" t="s">
        <v>133</v>
      </c>
      <c r="B123" s="236"/>
      <c r="C123" s="236"/>
      <c r="D123" s="236"/>
      <c r="E123" s="236"/>
      <c r="F123" s="249" t="s">
        <v>4</v>
      </c>
      <c r="G123" s="249"/>
      <c r="H123" s="250" t="s">
        <v>5</v>
      </c>
      <c r="I123" s="251"/>
      <c r="J123" s="294" t="s">
        <v>6</v>
      </c>
      <c r="K123" s="294"/>
      <c r="L123" s="294"/>
      <c r="M123" s="295" t="s">
        <v>7</v>
      </c>
      <c r="N123" s="295"/>
      <c r="O123" s="295"/>
      <c r="P123" s="295"/>
      <c r="Q123" s="296" t="s">
        <v>49</v>
      </c>
      <c r="R123" s="296"/>
      <c r="S123" s="296"/>
      <c r="T123" s="296"/>
      <c r="U123" s="296"/>
      <c r="V123" s="243" t="s">
        <v>50</v>
      </c>
      <c r="W123" s="189"/>
      <c r="X123" s="297" t="s">
        <v>133</v>
      </c>
      <c r="Y123" s="236"/>
      <c r="Z123" s="236"/>
      <c r="AA123" s="236"/>
      <c r="AB123" s="236"/>
      <c r="AC123" s="372" t="s">
        <v>4</v>
      </c>
      <c r="AD123" s="373"/>
      <c r="AE123" s="374" t="s">
        <v>5</v>
      </c>
      <c r="AF123" s="375"/>
      <c r="AG123" s="376" t="s">
        <v>6</v>
      </c>
      <c r="AH123" s="377"/>
      <c r="AI123" s="377"/>
      <c r="AJ123" s="378" t="s">
        <v>7</v>
      </c>
      <c r="AK123" s="379"/>
      <c r="AL123" s="379"/>
      <c r="AM123" s="379"/>
      <c r="AN123" s="380" t="s">
        <v>49</v>
      </c>
      <c r="AO123" s="381"/>
      <c r="AP123" s="381"/>
      <c r="AQ123" s="381"/>
      <c r="AR123" s="382"/>
      <c r="AS123" s="256" t="s">
        <v>50</v>
      </c>
    </row>
    <row r="124" s="60" customFormat="1" ht="31" spans="1:45">
      <c r="A124" s="126" t="s">
        <v>51</v>
      </c>
      <c r="B124" s="70" t="s">
        <v>52</v>
      </c>
      <c r="C124" s="70" t="s">
        <v>53</v>
      </c>
      <c r="D124" s="86" t="s">
        <v>54</v>
      </c>
      <c r="E124" s="86"/>
      <c r="F124" s="248" t="s">
        <v>10</v>
      </c>
      <c r="G124" s="249" t="s">
        <v>11</v>
      </c>
      <c r="H124" s="250" t="s">
        <v>55</v>
      </c>
      <c r="I124" s="251" t="s">
        <v>13</v>
      </c>
      <c r="J124" s="252" t="s">
        <v>14</v>
      </c>
      <c r="K124" s="252" t="s">
        <v>15</v>
      </c>
      <c r="L124" s="252" t="s">
        <v>56</v>
      </c>
      <c r="M124" s="253" t="s">
        <v>57</v>
      </c>
      <c r="N124" s="253" t="s">
        <v>58</v>
      </c>
      <c r="O124" s="253" t="s">
        <v>59</v>
      </c>
      <c r="P124" s="253" t="s">
        <v>60</v>
      </c>
      <c r="Q124" s="254" t="s">
        <v>21</v>
      </c>
      <c r="R124" s="254" t="s">
        <v>22</v>
      </c>
      <c r="S124" s="254" t="s">
        <v>61</v>
      </c>
      <c r="T124" s="254" t="s">
        <v>62</v>
      </c>
      <c r="U124" s="254" t="s">
        <v>63</v>
      </c>
      <c r="V124" s="243"/>
      <c r="W124" s="189"/>
      <c r="X124" s="155" t="s">
        <v>51</v>
      </c>
      <c r="Y124" s="70" t="s">
        <v>52</v>
      </c>
      <c r="Z124" s="70" t="s">
        <v>53</v>
      </c>
      <c r="AA124" s="86" t="s">
        <v>54</v>
      </c>
      <c r="AB124" s="344"/>
      <c r="AC124" s="372" t="s">
        <v>10</v>
      </c>
      <c r="AD124" s="372" t="s">
        <v>11</v>
      </c>
      <c r="AE124" s="374" t="s">
        <v>55</v>
      </c>
      <c r="AF124" s="384" t="s">
        <v>13</v>
      </c>
      <c r="AG124" s="385" t="s">
        <v>14</v>
      </c>
      <c r="AH124" s="385" t="s">
        <v>15</v>
      </c>
      <c r="AI124" s="385" t="s">
        <v>56</v>
      </c>
      <c r="AJ124" s="386" t="s">
        <v>57</v>
      </c>
      <c r="AK124" s="386" t="s">
        <v>58</v>
      </c>
      <c r="AL124" s="386" t="s">
        <v>59</v>
      </c>
      <c r="AM124" s="386" t="s">
        <v>60</v>
      </c>
      <c r="AN124" s="387" t="s">
        <v>21</v>
      </c>
      <c r="AO124" s="387" t="s">
        <v>22</v>
      </c>
      <c r="AP124" s="387" t="s">
        <v>61</v>
      </c>
      <c r="AQ124" s="387" t="s">
        <v>62</v>
      </c>
      <c r="AR124" s="388" t="s">
        <v>63</v>
      </c>
      <c r="AS124" s="256"/>
    </row>
    <row r="125" s="63" customFormat="1" spans="1:45">
      <c r="A125" s="130" t="s">
        <v>38</v>
      </c>
      <c r="B125" s="73">
        <v>1</v>
      </c>
      <c r="C125" s="73" t="s">
        <v>64</v>
      </c>
      <c r="D125" s="18" t="s">
        <v>65</v>
      </c>
      <c r="E125" s="18"/>
      <c r="F125" s="257">
        <v>6</v>
      </c>
      <c r="G125" s="266"/>
      <c r="H125" s="258"/>
      <c r="I125" s="259"/>
      <c r="J125" s="262"/>
      <c r="K125" s="262"/>
      <c r="L125" s="262"/>
      <c r="M125" s="263"/>
      <c r="N125" s="263"/>
      <c r="O125" s="263"/>
      <c r="P125" s="263"/>
      <c r="Q125" s="267"/>
      <c r="R125" s="267"/>
      <c r="S125" s="267"/>
      <c r="T125" s="267"/>
      <c r="U125" s="267"/>
      <c r="V125" s="260"/>
      <c r="W125" s="189"/>
      <c r="X125" s="161" t="s">
        <v>38</v>
      </c>
      <c r="Y125" s="73">
        <v>1</v>
      </c>
      <c r="Z125" s="73" t="s">
        <v>64</v>
      </c>
      <c r="AA125" s="18" t="s">
        <v>65</v>
      </c>
      <c r="AB125" s="348"/>
      <c r="AC125" s="390">
        <v>6</v>
      </c>
      <c r="AD125" s="353"/>
      <c r="AE125" s="328"/>
      <c r="AF125" s="328"/>
      <c r="AG125" s="334"/>
      <c r="AH125" s="334"/>
      <c r="AI125" s="334"/>
      <c r="AJ125" s="331"/>
      <c r="AK125" s="331"/>
      <c r="AL125" s="331"/>
      <c r="AM125" s="331"/>
      <c r="AN125" s="332"/>
      <c r="AO125" s="332"/>
      <c r="AP125" s="332"/>
      <c r="AQ125" s="332"/>
      <c r="AR125" s="333"/>
      <c r="AS125" s="261"/>
    </row>
    <row r="126" s="63" customFormat="1" spans="1:45">
      <c r="A126" s="130" t="s">
        <v>38</v>
      </c>
      <c r="B126" s="73">
        <v>2</v>
      </c>
      <c r="C126" s="73" t="s">
        <v>66</v>
      </c>
      <c r="D126" s="18" t="s">
        <v>67</v>
      </c>
      <c r="E126" s="18"/>
      <c r="F126" s="257">
        <v>6</v>
      </c>
      <c r="G126" s="266"/>
      <c r="H126" s="258"/>
      <c r="I126" s="259"/>
      <c r="J126" s="262">
        <f t="shared" ref="J126:J128" si="121">F126</f>
        <v>6</v>
      </c>
      <c r="K126" s="262">
        <f t="shared" ref="K126:K128" si="122">F126</f>
        <v>6</v>
      </c>
      <c r="L126" s="262">
        <f t="shared" ref="L126:L128" si="123">F126</f>
        <v>6</v>
      </c>
      <c r="M126" s="263">
        <f t="shared" ref="M126:M128" si="124">F126</f>
        <v>6</v>
      </c>
      <c r="N126" s="263"/>
      <c r="O126" s="263">
        <f t="shared" ref="O126:O128" si="125">F126</f>
        <v>6</v>
      </c>
      <c r="P126" s="263"/>
      <c r="Q126" s="267"/>
      <c r="R126" s="267"/>
      <c r="S126" s="267"/>
      <c r="T126" s="267"/>
      <c r="U126" s="267"/>
      <c r="V126" s="260"/>
      <c r="W126" s="189"/>
      <c r="X126" s="161" t="s">
        <v>38</v>
      </c>
      <c r="Y126" s="73">
        <v>2</v>
      </c>
      <c r="Z126" s="73" t="s">
        <v>66</v>
      </c>
      <c r="AA126" s="18" t="s">
        <v>67</v>
      </c>
      <c r="AB126" s="348"/>
      <c r="AC126" s="390">
        <v>6</v>
      </c>
      <c r="AD126" s="353"/>
      <c r="AE126" s="328"/>
      <c r="AF126" s="328"/>
      <c r="AG126" s="329">
        <f t="shared" ref="AG126:AG128" si="126">AC126</f>
        <v>6</v>
      </c>
      <c r="AH126" s="329">
        <f t="shared" ref="AH126:AH128" si="127">AC126</f>
        <v>6</v>
      </c>
      <c r="AI126" s="329">
        <f t="shared" ref="AI126:AI128" si="128">AC126</f>
        <v>6</v>
      </c>
      <c r="AJ126" s="330">
        <f t="shared" ref="AJ126:AJ128" si="129">AC126</f>
        <v>6</v>
      </c>
      <c r="AK126" s="331"/>
      <c r="AL126" s="330">
        <f t="shared" ref="AL126:AL128" si="130">AC126</f>
        <v>6</v>
      </c>
      <c r="AM126" s="331"/>
      <c r="AN126" s="332"/>
      <c r="AO126" s="332"/>
      <c r="AP126" s="332"/>
      <c r="AQ126" s="332"/>
      <c r="AR126" s="333"/>
      <c r="AS126" s="261"/>
    </row>
    <row r="127" s="63" customFormat="1" spans="1:45">
      <c r="A127" s="130" t="s">
        <v>38</v>
      </c>
      <c r="B127" s="73">
        <v>3</v>
      </c>
      <c r="C127" s="73" t="s">
        <v>131</v>
      </c>
      <c r="D127" s="268" t="s">
        <v>134</v>
      </c>
      <c r="E127" s="268"/>
      <c r="F127" s="257">
        <v>6</v>
      </c>
      <c r="G127" s="266"/>
      <c r="H127" s="258"/>
      <c r="I127" s="259"/>
      <c r="J127" s="262">
        <f t="shared" si="121"/>
        <v>6</v>
      </c>
      <c r="K127" s="262">
        <f t="shared" si="122"/>
        <v>6</v>
      </c>
      <c r="L127" s="262">
        <f t="shared" si="123"/>
        <v>6</v>
      </c>
      <c r="M127" s="263">
        <f t="shared" si="124"/>
        <v>6</v>
      </c>
      <c r="N127" s="263"/>
      <c r="O127" s="263">
        <f t="shared" si="125"/>
        <v>6</v>
      </c>
      <c r="P127" s="263"/>
      <c r="Q127" s="267">
        <f>F127</f>
        <v>6</v>
      </c>
      <c r="R127" s="267">
        <f>F127*3</f>
        <v>18</v>
      </c>
      <c r="S127" s="267">
        <f>F127*3</f>
        <v>18</v>
      </c>
      <c r="T127" s="267">
        <f>F127*3</f>
        <v>18</v>
      </c>
      <c r="U127" s="267">
        <f>F127*3</f>
        <v>18</v>
      </c>
      <c r="V127" s="260"/>
      <c r="W127" s="189"/>
      <c r="X127" s="161" t="s">
        <v>38</v>
      </c>
      <c r="Y127" s="73">
        <v>3</v>
      </c>
      <c r="Z127" s="73" t="s">
        <v>131</v>
      </c>
      <c r="AA127" s="268" t="s">
        <v>134</v>
      </c>
      <c r="AB127" s="398"/>
      <c r="AC127" s="390">
        <v>6</v>
      </c>
      <c r="AD127" s="353"/>
      <c r="AE127" s="328"/>
      <c r="AF127" s="328"/>
      <c r="AG127" s="329">
        <f t="shared" si="126"/>
        <v>6</v>
      </c>
      <c r="AH127" s="329">
        <f t="shared" si="127"/>
        <v>6</v>
      </c>
      <c r="AI127" s="329">
        <f t="shared" si="128"/>
        <v>6</v>
      </c>
      <c r="AJ127" s="330">
        <f t="shared" si="129"/>
        <v>6</v>
      </c>
      <c r="AK127" s="331"/>
      <c r="AL127" s="330">
        <f t="shared" si="130"/>
        <v>6</v>
      </c>
      <c r="AM127" s="331"/>
      <c r="AN127" s="357">
        <f>AC127</f>
        <v>6</v>
      </c>
      <c r="AO127" s="357">
        <f>AC127*3</f>
        <v>18</v>
      </c>
      <c r="AP127" s="357">
        <f>AC127*3</f>
        <v>18</v>
      </c>
      <c r="AQ127" s="357">
        <f>AC127*3</f>
        <v>18</v>
      </c>
      <c r="AR127" s="358">
        <f>AC127*3</f>
        <v>18</v>
      </c>
      <c r="AS127" s="261"/>
    </row>
    <row r="128" s="63" customFormat="1" spans="1:45">
      <c r="A128" s="130" t="s">
        <v>38</v>
      </c>
      <c r="B128" s="73">
        <v>4</v>
      </c>
      <c r="C128" s="73" t="s">
        <v>66</v>
      </c>
      <c r="D128" s="18" t="s">
        <v>67</v>
      </c>
      <c r="E128" s="18"/>
      <c r="F128" s="257">
        <v>6</v>
      </c>
      <c r="G128" s="266"/>
      <c r="H128" s="258"/>
      <c r="I128" s="259"/>
      <c r="J128" s="262">
        <f t="shared" si="121"/>
        <v>6</v>
      </c>
      <c r="K128" s="262">
        <f t="shared" si="122"/>
        <v>6</v>
      </c>
      <c r="L128" s="262">
        <f t="shared" si="123"/>
        <v>6</v>
      </c>
      <c r="M128" s="263">
        <f t="shared" si="124"/>
        <v>6</v>
      </c>
      <c r="N128" s="263"/>
      <c r="O128" s="263">
        <f t="shared" si="125"/>
        <v>6</v>
      </c>
      <c r="P128" s="263"/>
      <c r="Q128" s="267"/>
      <c r="R128" s="267"/>
      <c r="S128" s="267"/>
      <c r="T128" s="267"/>
      <c r="U128" s="267"/>
      <c r="V128" s="260"/>
      <c r="W128" s="189"/>
      <c r="X128" s="161" t="s">
        <v>38</v>
      </c>
      <c r="Y128" s="73">
        <v>4</v>
      </c>
      <c r="Z128" s="73" t="s">
        <v>66</v>
      </c>
      <c r="AA128" s="18" t="s">
        <v>67</v>
      </c>
      <c r="AB128" s="348"/>
      <c r="AC128" s="390">
        <v>6</v>
      </c>
      <c r="AD128" s="353"/>
      <c r="AE128" s="328"/>
      <c r="AF128" s="328"/>
      <c r="AG128" s="329">
        <f t="shared" si="126"/>
        <v>6</v>
      </c>
      <c r="AH128" s="329">
        <f t="shared" si="127"/>
        <v>6</v>
      </c>
      <c r="AI128" s="329">
        <f t="shared" si="128"/>
        <v>6</v>
      </c>
      <c r="AJ128" s="330">
        <f t="shared" si="129"/>
        <v>6</v>
      </c>
      <c r="AK128" s="331"/>
      <c r="AL128" s="330">
        <f t="shared" si="130"/>
        <v>6</v>
      </c>
      <c r="AM128" s="331"/>
      <c r="AN128" s="332"/>
      <c r="AO128" s="332"/>
      <c r="AP128" s="332"/>
      <c r="AQ128" s="332"/>
      <c r="AR128" s="333"/>
      <c r="AS128" s="261"/>
    </row>
    <row r="129" s="63" customFormat="1" spans="1:45">
      <c r="A129" s="130" t="s">
        <v>38</v>
      </c>
      <c r="B129" s="73">
        <v>5</v>
      </c>
      <c r="C129" s="73" t="s">
        <v>64</v>
      </c>
      <c r="D129" s="18" t="s">
        <v>65</v>
      </c>
      <c r="E129" s="18"/>
      <c r="F129" s="257">
        <v>6</v>
      </c>
      <c r="G129" s="266"/>
      <c r="H129" s="258"/>
      <c r="I129" s="259"/>
      <c r="J129" s="262"/>
      <c r="K129" s="262"/>
      <c r="L129" s="262"/>
      <c r="M129" s="263"/>
      <c r="N129" s="263"/>
      <c r="O129" s="263"/>
      <c r="P129" s="263"/>
      <c r="Q129" s="267"/>
      <c r="R129" s="267"/>
      <c r="S129" s="267"/>
      <c r="T129" s="267"/>
      <c r="U129" s="267"/>
      <c r="V129" s="260"/>
      <c r="W129" s="189"/>
      <c r="X129" s="161" t="s">
        <v>38</v>
      </c>
      <c r="Y129" s="73">
        <v>5</v>
      </c>
      <c r="Z129" s="73" t="s">
        <v>64</v>
      </c>
      <c r="AA129" s="18" t="s">
        <v>65</v>
      </c>
      <c r="AB129" s="348"/>
      <c r="AC129" s="390">
        <v>6</v>
      </c>
      <c r="AD129" s="353"/>
      <c r="AE129" s="328"/>
      <c r="AF129" s="328"/>
      <c r="AG129" s="334"/>
      <c r="AH129" s="334"/>
      <c r="AI129" s="334"/>
      <c r="AJ129" s="331"/>
      <c r="AK129" s="331"/>
      <c r="AL129" s="331"/>
      <c r="AM129" s="331"/>
      <c r="AN129" s="332"/>
      <c r="AO129" s="332"/>
      <c r="AP129" s="332"/>
      <c r="AQ129" s="332"/>
      <c r="AR129" s="333"/>
      <c r="AS129" s="261"/>
    </row>
    <row r="130" s="63" customFormat="1" spans="1:45">
      <c r="A130" s="395" t="s">
        <v>38</v>
      </c>
      <c r="B130" s="396">
        <v>6</v>
      </c>
      <c r="C130" s="396" t="s">
        <v>100</v>
      </c>
      <c r="D130" s="352" t="s">
        <v>100</v>
      </c>
      <c r="E130" s="4"/>
      <c r="F130" s="266">
        <v>6</v>
      </c>
      <c r="G130" s="266"/>
      <c r="H130" s="258"/>
      <c r="I130" s="259"/>
      <c r="J130" s="262"/>
      <c r="K130" s="262"/>
      <c r="L130" s="262"/>
      <c r="M130" s="263"/>
      <c r="N130" s="263"/>
      <c r="O130" s="263"/>
      <c r="P130" s="263"/>
      <c r="Q130" s="267"/>
      <c r="R130" s="267"/>
      <c r="S130" s="267"/>
      <c r="T130" s="267"/>
      <c r="U130" s="267"/>
      <c r="V130" s="260"/>
      <c r="W130" s="189"/>
      <c r="X130" s="161" t="s">
        <v>38</v>
      </c>
      <c r="Y130" s="73">
        <v>6</v>
      </c>
      <c r="Z130" s="73" t="s">
        <v>100</v>
      </c>
      <c r="AA130" s="18" t="s">
        <v>100</v>
      </c>
      <c r="AB130" s="348"/>
      <c r="AC130" s="390">
        <v>6</v>
      </c>
      <c r="AD130" s="353"/>
      <c r="AE130" s="328"/>
      <c r="AF130" s="328"/>
      <c r="AG130" s="334"/>
      <c r="AH130" s="334"/>
      <c r="AI130" s="334"/>
      <c r="AJ130" s="331"/>
      <c r="AK130" s="331"/>
      <c r="AL130" s="331"/>
      <c r="AM130" s="331"/>
      <c r="AN130" s="332"/>
      <c r="AO130" s="332"/>
      <c r="AP130" s="332"/>
      <c r="AQ130" s="332"/>
      <c r="AR130" s="333"/>
      <c r="AS130" s="261"/>
    </row>
    <row r="131" s="187" customFormat="1" spans="1:45">
      <c r="A131" s="271" t="s">
        <v>101</v>
      </c>
      <c r="B131" s="271"/>
      <c r="C131" s="271"/>
      <c r="D131" s="271"/>
      <c r="E131" s="271"/>
      <c r="F131" s="272">
        <f t="shared" ref="F131:U131" si="131">MAX(F125:F130)</f>
        <v>6</v>
      </c>
      <c r="G131" s="273">
        <f t="shared" si="131"/>
        <v>0</v>
      </c>
      <c r="H131" s="274">
        <f t="shared" si="131"/>
        <v>0</v>
      </c>
      <c r="I131" s="274">
        <f t="shared" si="131"/>
        <v>0</v>
      </c>
      <c r="J131" s="275">
        <f t="shared" si="131"/>
        <v>6</v>
      </c>
      <c r="K131" s="275">
        <f t="shared" si="131"/>
        <v>6</v>
      </c>
      <c r="L131" s="275">
        <f t="shared" si="131"/>
        <v>6</v>
      </c>
      <c r="M131" s="276">
        <f t="shared" si="131"/>
        <v>6</v>
      </c>
      <c r="N131" s="276">
        <f t="shared" si="131"/>
        <v>0</v>
      </c>
      <c r="O131" s="276">
        <f t="shared" si="131"/>
        <v>6</v>
      </c>
      <c r="P131" s="276">
        <f t="shared" si="131"/>
        <v>0</v>
      </c>
      <c r="Q131" s="277">
        <f t="shared" si="131"/>
        <v>6</v>
      </c>
      <c r="R131" s="277">
        <f t="shared" si="131"/>
        <v>18</v>
      </c>
      <c r="S131" s="277">
        <f t="shared" si="131"/>
        <v>18</v>
      </c>
      <c r="T131" s="277">
        <f t="shared" si="131"/>
        <v>18</v>
      </c>
      <c r="U131" s="277">
        <f t="shared" si="131"/>
        <v>18</v>
      </c>
      <c r="V131" s="399"/>
      <c r="W131" s="189"/>
      <c r="X131" s="279" t="s">
        <v>101</v>
      </c>
      <c r="Y131" s="271"/>
      <c r="Z131" s="271"/>
      <c r="AA131" s="271"/>
      <c r="AB131" s="371"/>
      <c r="AC131" s="400">
        <f>MAX(AC125:AC130)</f>
        <v>6</v>
      </c>
      <c r="AD131" s="400">
        <f>MAX(AD125:AD130)</f>
        <v>0</v>
      </c>
      <c r="AE131" s="401">
        <v>0</v>
      </c>
      <c r="AF131" s="401">
        <v>0</v>
      </c>
      <c r="AG131" s="402">
        <v>6</v>
      </c>
      <c r="AH131" s="402">
        <v>6</v>
      </c>
      <c r="AI131" s="402">
        <v>6</v>
      </c>
      <c r="AJ131" s="403">
        <v>6</v>
      </c>
      <c r="AK131" s="403">
        <v>0</v>
      </c>
      <c r="AL131" s="403">
        <v>6</v>
      </c>
      <c r="AM131" s="403">
        <v>0</v>
      </c>
      <c r="AN131" s="404">
        <v>6</v>
      </c>
      <c r="AO131" s="404">
        <v>18</v>
      </c>
      <c r="AP131" s="404">
        <v>18</v>
      </c>
      <c r="AQ131" s="404">
        <v>18</v>
      </c>
      <c r="AR131" s="405">
        <v>18</v>
      </c>
      <c r="AS131" s="261"/>
    </row>
    <row r="132" s="60" customFormat="1" spans="1:45">
      <c r="A132" s="235" t="s">
        <v>135</v>
      </c>
      <c r="B132" s="236"/>
      <c r="C132" s="236"/>
      <c r="D132" s="236"/>
      <c r="E132" s="236"/>
      <c r="F132" s="249" t="s">
        <v>4</v>
      </c>
      <c r="G132" s="249"/>
      <c r="H132" s="250" t="s">
        <v>5</v>
      </c>
      <c r="I132" s="251"/>
      <c r="J132" s="294" t="s">
        <v>6</v>
      </c>
      <c r="K132" s="294"/>
      <c r="L132" s="294"/>
      <c r="M132" s="295" t="s">
        <v>7</v>
      </c>
      <c r="N132" s="295"/>
      <c r="O132" s="295"/>
      <c r="P132" s="295"/>
      <c r="Q132" s="296" t="s">
        <v>49</v>
      </c>
      <c r="R132" s="296"/>
      <c r="S132" s="296"/>
      <c r="T132" s="296"/>
      <c r="U132" s="296"/>
      <c r="V132" s="243" t="s">
        <v>50</v>
      </c>
      <c r="W132" s="189"/>
      <c r="X132" s="406" t="s">
        <v>136</v>
      </c>
      <c r="Y132" s="407"/>
      <c r="Z132" s="407"/>
      <c r="AA132" s="407"/>
      <c r="AB132" s="407"/>
      <c r="AC132" s="249" t="s">
        <v>4</v>
      </c>
      <c r="AD132" s="249"/>
      <c r="AE132" s="250" t="s">
        <v>5</v>
      </c>
      <c r="AF132" s="251"/>
      <c r="AG132" s="294" t="s">
        <v>6</v>
      </c>
      <c r="AH132" s="294"/>
      <c r="AI132" s="294"/>
      <c r="AJ132" s="295" t="s">
        <v>7</v>
      </c>
      <c r="AK132" s="295"/>
      <c r="AL132" s="295"/>
      <c r="AM132" s="295"/>
      <c r="AN132" s="296" t="s">
        <v>49</v>
      </c>
      <c r="AO132" s="296"/>
      <c r="AP132" s="296"/>
      <c r="AQ132" s="296"/>
      <c r="AR132" s="408"/>
      <c r="AS132" s="256" t="s">
        <v>50</v>
      </c>
    </row>
    <row r="133" s="60" customFormat="1" ht="31" spans="1:45">
      <c r="A133" s="342" t="s">
        <v>51</v>
      </c>
      <c r="B133" s="343" t="s">
        <v>52</v>
      </c>
      <c r="C133" s="343" t="s">
        <v>53</v>
      </c>
      <c r="D133" s="86" t="s">
        <v>54</v>
      </c>
      <c r="E133" s="86"/>
      <c r="F133" s="248" t="s">
        <v>10</v>
      </c>
      <c r="G133" s="249" t="s">
        <v>11</v>
      </c>
      <c r="H133" s="250" t="s">
        <v>55</v>
      </c>
      <c r="I133" s="251" t="s">
        <v>13</v>
      </c>
      <c r="J133" s="252" t="s">
        <v>14</v>
      </c>
      <c r="K133" s="252" t="s">
        <v>15</v>
      </c>
      <c r="L133" s="252" t="s">
        <v>56</v>
      </c>
      <c r="M133" s="253" t="s">
        <v>57</v>
      </c>
      <c r="N133" s="253" t="s">
        <v>58</v>
      </c>
      <c r="O133" s="253" t="s">
        <v>59</v>
      </c>
      <c r="P133" s="253" t="s">
        <v>60</v>
      </c>
      <c r="Q133" s="254" t="s">
        <v>21</v>
      </c>
      <c r="R133" s="254" t="s">
        <v>22</v>
      </c>
      <c r="S133" s="254" t="s">
        <v>61</v>
      </c>
      <c r="T133" s="254" t="s">
        <v>62</v>
      </c>
      <c r="U133" s="254" t="s">
        <v>63</v>
      </c>
      <c r="V133" s="243"/>
      <c r="W133" s="189"/>
      <c r="X133" s="409" t="s">
        <v>51</v>
      </c>
      <c r="Y133" s="410" t="s">
        <v>52</v>
      </c>
      <c r="Z133" s="411" t="s">
        <v>53</v>
      </c>
      <c r="AA133" s="412" t="s">
        <v>54</v>
      </c>
      <c r="AB133" s="413"/>
      <c r="AC133" s="249" t="s">
        <v>10</v>
      </c>
      <c r="AD133" s="249" t="s">
        <v>11</v>
      </c>
      <c r="AE133" s="250" t="s">
        <v>55</v>
      </c>
      <c r="AF133" s="251" t="s">
        <v>13</v>
      </c>
      <c r="AG133" s="252" t="s">
        <v>14</v>
      </c>
      <c r="AH133" s="252" t="s">
        <v>15</v>
      </c>
      <c r="AI133" s="252" t="s">
        <v>56</v>
      </c>
      <c r="AJ133" s="253" t="s">
        <v>57</v>
      </c>
      <c r="AK133" s="253" t="s">
        <v>58</v>
      </c>
      <c r="AL133" s="253" t="s">
        <v>59</v>
      </c>
      <c r="AM133" s="253" t="s">
        <v>60</v>
      </c>
      <c r="AN133" s="254" t="s">
        <v>21</v>
      </c>
      <c r="AO133" s="254" t="s">
        <v>22</v>
      </c>
      <c r="AP133" s="254" t="s">
        <v>61</v>
      </c>
      <c r="AQ133" s="254" t="s">
        <v>62</v>
      </c>
      <c r="AR133" s="255" t="s">
        <v>63</v>
      </c>
      <c r="AS133" s="256"/>
    </row>
    <row r="134" s="63" customFormat="1" spans="1:45">
      <c r="A134" s="130" t="s">
        <v>39</v>
      </c>
      <c r="B134" s="73">
        <v>1</v>
      </c>
      <c r="C134" s="73" t="s">
        <v>64</v>
      </c>
      <c r="D134" s="18" t="s">
        <v>65</v>
      </c>
      <c r="E134" s="18"/>
      <c r="F134" s="257">
        <v>6</v>
      </c>
      <c r="G134" s="266"/>
      <c r="H134" s="258"/>
      <c r="I134" s="259"/>
      <c r="J134" s="262"/>
      <c r="K134" s="262"/>
      <c r="L134" s="262"/>
      <c r="M134" s="263"/>
      <c r="N134" s="263"/>
      <c r="O134" s="263"/>
      <c r="P134" s="263"/>
      <c r="Q134" s="267"/>
      <c r="R134" s="267"/>
      <c r="S134" s="267"/>
      <c r="T134" s="267"/>
      <c r="U134" s="267"/>
      <c r="V134" s="260"/>
      <c r="W134" s="189"/>
      <c r="X134" s="414" t="s">
        <v>40</v>
      </c>
      <c r="Y134" s="415">
        <v>1</v>
      </c>
      <c r="Z134" s="416" t="s">
        <v>64</v>
      </c>
      <c r="AA134" s="207" t="s">
        <v>65</v>
      </c>
      <c r="AB134" s="208"/>
      <c r="AC134" s="390">
        <v>12</v>
      </c>
      <c r="AD134" s="390"/>
      <c r="AE134" s="417"/>
      <c r="AF134" s="417"/>
      <c r="AG134" s="329"/>
      <c r="AH134" s="329"/>
      <c r="AI134" s="329"/>
      <c r="AJ134" s="330"/>
      <c r="AK134" s="330"/>
      <c r="AL134" s="330"/>
      <c r="AM134" s="330"/>
      <c r="AN134" s="332"/>
      <c r="AO134" s="332"/>
      <c r="AP134" s="332"/>
      <c r="AQ134" s="332"/>
      <c r="AR134" s="333"/>
      <c r="AS134" s="261"/>
    </row>
    <row r="135" s="63" customFormat="1" spans="1:45">
      <c r="A135" s="130" t="s">
        <v>39</v>
      </c>
      <c r="B135" s="73">
        <v>2</v>
      </c>
      <c r="C135" s="73" t="s">
        <v>66</v>
      </c>
      <c r="D135" s="18" t="s">
        <v>67</v>
      </c>
      <c r="E135" s="18"/>
      <c r="F135" s="257">
        <v>6</v>
      </c>
      <c r="G135" s="266"/>
      <c r="H135" s="258"/>
      <c r="I135" s="259"/>
      <c r="J135" s="262">
        <f t="shared" ref="J135:J137" si="132">F135</f>
        <v>6</v>
      </c>
      <c r="K135" s="262">
        <f t="shared" ref="K135:K137" si="133">F135</f>
        <v>6</v>
      </c>
      <c r="L135" s="262">
        <f t="shared" ref="L135:L137" si="134">F135</f>
        <v>6</v>
      </c>
      <c r="M135" s="263">
        <f t="shared" ref="M135:M137" si="135">F135</f>
        <v>6</v>
      </c>
      <c r="N135" s="263"/>
      <c r="O135" s="263">
        <f t="shared" ref="O135:O137" si="136">F135</f>
        <v>6</v>
      </c>
      <c r="P135" s="263"/>
      <c r="Q135" s="267"/>
      <c r="R135" s="267"/>
      <c r="S135" s="267"/>
      <c r="T135" s="267"/>
      <c r="U135" s="267"/>
      <c r="V135" s="260"/>
      <c r="W135" s="189"/>
      <c r="X135" s="414" t="s">
        <v>40</v>
      </c>
      <c r="Y135" s="415">
        <v>2</v>
      </c>
      <c r="Z135" s="416" t="s">
        <v>66</v>
      </c>
      <c r="AA135" s="207" t="s">
        <v>67</v>
      </c>
      <c r="AB135" s="208"/>
      <c r="AC135" s="390">
        <v>12</v>
      </c>
      <c r="AD135" s="390"/>
      <c r="AE135" s="417"/>
      <c r="AF135" s="417"/>
      <c r="AG135" s="329">
        <f>AC135</f>
        <v>12</v>
      </c>
      <c r="AH135" s="329">
        <f>AC135</f>
        <v>12</v>
      </c>
      <c r="AI135" s="329">
        <f>AC135</f>
        <v>12</v>
      </c>
      <c r="AJ135" s="330">
        <f>AC135</f>
        <v>12</v>
      </c>
      <c r="AK135" s="330"/>
      <c r="AL135" s="330">
        <f>AC135</f>
        <v>12</v>
      </c>
      <c r="AM135" s="330"/>
      <c r="AN135" s="332"/>
      <c r="AO135" s="332"/>
      <c r="AP135" s="332"/>
      <c r="AQ135" s="332"/>
      <c r="AR135" s="333"/>
      <c r="AS135" s="261"/>
    </row>
    <row r="136" s="63" customFormat="1" spans="1:45">
      <c r="A136" s="130" t="s">
        <v>39</v>
      </c>
      <c r="B136" s="73">
        <v>3</v>
      </c>
      <c r="C136" s="73" t="s">
        <v>137</v>
      </c>
      <c r="D136" s="18" t="s">
        <v>138</v>
      </c>
      <c r="E136" s="18"/>
      <c r="F136" s="257">
        <v>6</v>
      </c>
      <c r="G136" s="266"/>
      <c r="H136" s="258"/>
      <c r="I136" s="259"/>
      <c r="J136" s="262">
        <f t="shared" si="132"/>
        <v>6</v>
      </c>
      <c r="K136" s="262">
        <f t="shared" si="133"/>
        <v>6</v>
      </c>
      <c r="L136" s="262">
        <f t="shared" si="134"/>
        <v>6</v>
      </c>
      <c r="M136" s="263">
        <f t="shared" si="135"/>
        <v>6</v>
      </c>
      <c r="N136" s="263"/>
      <c r="O136" s="263">
        <f t="shared" si="136"/>
        <v>6</v>
      </c>
      <c r="P136" s="263"/>
      <c r="Q136" s="267">
        <f>F136</f>
        <v>6</v>
      </c>
      <c r="R136" s="267">
        <f>F136*3</f>
        <v>18</v>
      </c>
      <c r="S136" s="267">
        <f>F136*3</f>
        <v>18</v>
      </c>
      <c r="T136" s="267">
        <f>F136*3</f>
        <v>18</v>
      </c>
      <c r="U136" s="267">
        <f>F136*3</f>
        <v>18</v>
      </c>
      <c r="V136" s="260"/>
      <c r="W136" s="189"/>
      <c r="X136" s="414" t="s">
        <v>40</v>
      </c>
      <c r="Y136" s="415">
        <v>3</v>
      </c>
      <c r="Z136" s="416" t="s">
        <v>139</v>
      </c>
      <c r="AA136" s="207" t="s">
        <v>140</v>
      </c>
      <c r="AB136" s="208"/>
      <c r="AC136" s="390">
        <v>3</v>
      </c>
      <c r="AD136" s="390"/>
      <c r="AE136" s="417"/>
      <c r="AF136" s="417"/>
      <c r="AG136" s="329">
        <f>IF(MAX(AC134:AC143)&gt;0,3,0)</f>
        <v>3</v>
      </c>
      <c r="AH136" s="329">
        <f>IF(MAX(AC134:AC143)&gt;0,3,0)</f>
        <v>3</v>
      </c>
      <c r="AI136" s="329">
        <f>IF(MAX(AC134:AC143)&gt;0,3,0)</f>
        <v>3</v>
      </c>
      <c r="AJ136" s="330">
        <f>IF(MAX(AC134:AC143)&gt;0,3,0)</f>
        <v>3</v>
      </c>
      <c r="AK136" s="330"/>
      <c r="AL136" s="330">
        <f>IF(MAX(AC134:AC143)&gt;0,3,0)</f>
        <v>3</v>
      </c>
      <c r="AM136" s="330"/>
      <c r="AN136" s="357"/>
      <c r="AO136" s="357"/>
      <c r="AP136" s="357"/>
      <c r="AQ136" s="357"/>
      <c r="AR136" s="358"/>
      <c r="AS136" s="261"/>
    </row>
    <row r="137" s="63" customFormat="1" spans="1:45">
      <c r="A137" s="130" t="s">
        <v>39</v>
      </c>
      <c r="B137" s="73">
        <v>4</v>
      </c>
      <c r="C137" s="73" t="s">
        <v>66</v>
      </c>
      <c r="D137" s="18" t="s">
        <v>67</v>
      </c>
      <c r="E137" s="18"/>
      <c r="F137" s="257">
        <v>6</v>
      </c>
      <c r="G137" s="266"/>
      <c r="H137" s="258"/>
      <c r="I137" s="259"/>
      <c r="J137" s="262">
        <f t="shared" si="132"/>
        <v>6</v>
      </c>
      <c r="K137" s="262">
        <f t="shared" si="133"/>
        <v>6</v>
      </c>
      <c r="L137" s="262">
        <f t="shared" si="134"/>
        <v>6</v>
      </c>
      <c r="M137" s="263">
        <f t="shared" si="135"/>
        <v>6</v>
      </c>
      <c r="N137" s="263"/>
      <c r="O137" s="263">
        <f t="shared" si="136"/>
        <v>6</v>
      </c>
      <c r="P137" s="263"/>
      <c r="Q137" s="267"/>
      <c r="R137" s="267"/>
      <c r="S137" s="267"/>
      <c r="T137" s="267"/>
      <c r="U137" s="267"/>
      <c r="V137" s="260"/>
      <c r="W137" s="189"/>
      <c r="X137" s="414" t="s">
        <v>40</v>
      </c>
      <c r="Y137" s="415">
        <v>4</v>
      </c>
      <c r="Z137" s="416" t="s">
        <v>139</v>
      </c>
      <c r="AA137" s="207" t="s">
        <v>141</v>
      </c>
      <c r="AB137" s="208"/>
      <c r="AC137" s="390"/>
      <c r="AD137" s="390"/>
      <c r="AE137" s="417"/>
      <c r="AF137" s="417"/>
      <c r="AG137" s="329">
        <f>IF(MAX(AC134:AC143)&gt;0,3,0)</f>
        <v>3</v>
      </c>
      <c r="AH137" s="329">
        <f>IF(MAX(AC134:AC143)&gt;0,3,0)</f>
        <v>3</v>
      </c>
      <c r="AI137" s="329">
        <f>IF(MAX(AC134:AC143)&gt;0,3,0)</f>
        <v>3</v>
      </c>
      <c r="AJ137" s="330">
        <f>IF(MAX(AC134:AC143)&gt;0,3,0)</f>
        <v>3</v>
      </c>
      <c r="AK137" s="330"/>
      <c r="AL137" s="330">
        <f>IF(MAX(AC134:AC143)&gt;0,3,0)</f>
        <v>3</v>
      </c>
      <c r="AM137" s="330"/>
      <c r="AN137" s="332"/>
      <c r="AO137" s="332"/>
      <c r="AP137" s="332"/>
      <c r="AQ137" s="332"/>
      <c r="AR137" s="333"/>
      <c r="AS137" s="261"/>
    </row>
    <row r="138" s="63" customFormat="1" spans="1:45">
      <c r="A138" s="130" t="s">
        <v>39</v>
      </c>
      <c r="B138" s="73">
        <v>5</v>
      </c>
      <c r="C138" s="73" t="s">
        <v>64</v>
      </c>
      <c r="D138" s="18" t="s">
        <v>65</v>
      </c>
      <c r="E138" s="18"/>
      <c r="F138" s="257">
        <v>6</v>
      </c>
      <c r="G138" s="266"/>
      <c r="H138" s="258"/>
      <c r="I138" s="259"/>
      <c r="J138" s="262"/>
      <c r="K138" s="262"/>
      <c r="L138" s="262"/>
      <c r="M138" s="263"/>
      <c r="N138" s="263"/>
      <c r="O138" s="263"/>
      <c r="P138" s="263"/>
      <c r="Q138" s="267"/>
      <c r="R138" s="267"/>
      <c r="S138" s="267"/>
      <c r="T138" s="267"/>
      <c r="U138" s="267"/>
      <c r="V138" s="260"/>
      <c r="W138" s="189"/>
      <c r="X138" s="414" t="s">
        <v>40</v>
      </c>
      <c r="Y138" s="415">
        <v>5</v>
      </c>
      <c r="Z138" s="416" t="s">
        <v>139</v>
      </c>
      <c r="AA138" s="207" t="s">
        <v>142</v>
      </c>
      <c r="AB138" s="208"/>
      <c r="AC138" s="390"/>
      <c r="AD138" s="390"/>
      <c r="AE138" s="417"/>
      <c r="AF138" s="417"/>
      <c r="AG138" s="329">
        <f>IF(MAX(AC134:AC143)&gt;0,3,0)</f>
        <v>3</v>
      </c>
      <c r="AH138" s="329">
        <f>IF(MAX(AC134:AC143)&gt;0,3,0)</f>
        <v>3</v>
      </c>
      <c r="AI138" s="329">
        <f>IF(MAX(AC134:AC143)&gt;0,3,0)</f>
        <v>3</v>
      </c>
      <c r="AJ138" s="330">
        <f>IF(MAX(AC134:AC143)&gt;0,3,0)</f>
        <v>3</v>
      </c>
      <c r="AK138" s="330"/>
      <c r="AL138" s="330">
        <f>IF(MAX(AC134:AC143)&gt;0,3,0)</f>
        <v>3</v>
      </c>
      <c r="AM138" s="330"/>
      <c r="AN138" s="332"/>
      <c r="AO138" s="332"/>
      <c r="AP138" s="332"/>
      <c r="AQ138" s="332"/>
      <c r="AR138" s="333"/>
      <c r="AS138" s="261"/>
    </row>
    <row r="139" s="63" customFormat="1" spans="1:45">
      <c r="A139" s="395" t="s">
        <v>39</v>
      </c>
      <c r="B139" s="396">
        <v>6</v>
      </c>
      <c r="C139" s="396" t="s">
        <v>100</v>
      </c>
      <c r="D139" s="352" t="s">
        <v>100</v>
      </c>
      <c r="E139" s="4"/>
      <c r="F139" s="266">
        <v>6</v>
      </c>
      <c r="G139" s="266"/>
      <c r="H139" s="258"/>
      <c r="I139" s="259"/>
      <c r="J139" s="262"/>
      <c r="K139" s="262"/>
      <c r="L139" s="262"/>
      <c r="M139" s="263"/>
      <c r="N139" s="263"/>
      <c r="O139" s="263"/>
      <c r="P139" s="263"/>
      <c r="Q139" s="267"/>
      <c r="R139" s="267"/>
      <c r="S139" s="267"/>
      <c r="T139" s="267"/>
      <c r="U139" s="267"/>
      <c r="V139" s="260"/>
      <c r="W139" s="189"/>
      <c r="X139" s="414" t="s">
        <v>40</v>
      </c>
      <c r="Y139" s="415">
        <v>6</v>
      </c>
      <c r="Z139" s="416" t="s">
        <v>139</v>
      </c>
      <c r="AA139" s="207" t="s">
        <v>143</v>
      </c>
      <c r="AB139" s="208"/>
      <c r="AC139" s="390">
        <v>3</v>
      </c>
      <c r="AD139" s="390"/>
      <c r="AE139" s="417">
        <f>IF(MAX(AC134:AC143)&gt;0,3,0)</f>
        <v>3</v>
      </c>
      <c r="AF139" s="417"/>
      <c r="AG139" s="329">
        <f>IF(MAX(AC134:AC143)&gt;0,3,0)</f>
        <v>3</v>
      </c>
      <c r="AH139" s="329">
        <f>IF(MAX(AC134:AC143)&gt;0,3,0)</f>
        <v>3</v>
      </c>
      <c r="AI139" s="329">
        <f>IF(MAX(AC134:AC143)&gt;0,3,0)</f>
        <v>3</v>
      </c>
      <c r="AJ139" s="330">
        <f>IF(MAX(AC134:AC143)&gt;0,3,0)</f>
        <v>3</v>
      </c>
      <c r="AK139" s="330"/>
      <c r="AL139" s="330">
        <f>IF(MAX(AC134:AC143)&gt;0,3,0)</f>
        <v>3</v>
      </c>
      <c r="AM139" s="330"/>
      <c r="AN139" s="332"/>
      <c r="AO139" s="332"/>
      <c r="AP139" s="332"/>
      <c r="AQ139" s="332"/>
      <c r="AR139" s="333"/>
      <c r="AS139" s="261"/>
    </row>
    <row r="140" s="63" customFormat="1" spans="1:45">
      <c r="A140" s="271" t="s">
        <v>101</v>
      </c>
      <c r="B140" s="271"/>
      <c r="C140" s="271"/>
      <c r="D140" s="271"/>
      <c r="E140" s="271"/>
      <c r="F140" s="272">
        <f t="shared" ref="F140:U140" si="137">MAX(F134:F139)</f>
        <v>6</v>
      </c>
      <c r="G140" s="273">
        <f t="shared" si="137"/>
        <v>0</v>
      </c>
      <c r="H140" s="274">
        <f t="shared" si="137"/>
        <v>0</v>
      </c>
      <c r="I140" s="274">
        <f t="shared" si="137"/>
        <v>0</v>
      </c>
      <c r="J140" s="275">
        <f t="shared" si="137"/>
        <v>6</v>
      </c>
      <c r="K140" s="275">
        <f t="shared" si="137"/>
        <v>6</v>
      </c>
      <c r="L140" s="275">
        <f t="shared" si="137"/>
        <v>6</v>
      </c>
      <c r="M140" s="276">
        <f t="shared" si="137"/>
        <v>6</v>
      </c>
      <c r="N140" s="276">
        <f t="shared" si="137"/>
        <v>0</v>
      </c>
      <c r="O140" s="276">
        <f t="shared" si="137"/>
        <v>6</v>
      </c>
      <c r="P140" s="276">
        <f t="shared" si="137"/>
        <v>0</v>
      </c>
      <c r="Q140" s="277">
        <f t="shared" si="137"/>
        <v>6</v>
      </c>
      <c r="R140" s="277">
        <f t="shared" si="137"/>
        <v>18</v>
      </c>
      <c r="S140" s="277">
        <f t="shared" si="137"/>
        <v>18</v>
      </c>
      <c r="T140" s="277">
        <f t="shared" si="137"/>
        <v>18</v>
      </c>
      <c r="U140" s="277">
        <f t="shared" si="137"/>
        <v>18</v>
      </c>
      <c r="V140" s="399"/>
      <c r="W140" s="189"/>
      <c r="X140" s="414" t="s">
        <v>40</v>
      </c>
      <c r="Y140" s="418">
        <v>7</v>
      </c>
      <c r="Z140" s="73" t="s">
        <v>139</v>
      </c>
      <c r="AA140" s="207" t="s">
        <v>144</v>
      </c>
      <c r="AB140" s="208"/>
      <c r="AC140" s="390">
        <v>3</v>
      </c>
      <c r="AD140" s="390"/>
      <c r="AE140" s="355">
        <f>IF(MAX(AC134:AC143)&gt;0,3,0)</f>
        <v>3</v>
      </c>
      <c r="AF140" s="417"/>
      <c r="AG140" s="329">
        <f>IF(MAX(AC134:AC143)&gt;0,3,0)</f>
        <v>3</v>
      </c>
      <c r="AH140" s="329">
        <f>IF(MAX(AC134:AC143)&gt;0,3,0)</f>
        <v>3</v>
      </c>
      <c r="AI140" s="329">
        <f>IF(MAX(AC134:AC143)&gt;0,3,0)</f>
        <v>3</v>
      </c>
      <c r="AJ140" s="330">
        <f>IF(MAX(AC134:AC143)&gt;0,3,0)</f>
        <v>3</v>
      </c>
      <c r="AK140" s="330"/>
      <c r="AL140" s="330">
        <f>IF(MAX(AC134:AC143)&gt;0,3,0)</f>
        <v>3</v>
      </c>
      <c r="AM140" s="330"/>
      <c r="AN140" s="357"/>
      <c r="AO140" s="332"/>
      <c r="AP140" s="332"/>
      <c r="AQ140" s="332"/>
      <c r="AR140" s="333"/>
      <c r="AS140" s="203"/>
    </row>
    <row r="141" s="60" customFormat="1" spans="1:45">
      <c r="A141" s="235" t="s">
        <v>145</v>
      </c>
      <c r="B141" s="236"/>
      <c r="C141" s="236"/>
      <c r="D141" s="236"/>
      <c r="E141" s="236"/>
      <c r="F141" s="249" t="s">
        <v>4</v>
      </c>
      <c r="G141" s="249"/>
      <c r="H141" s="250" t="s">
        <v>5</v>
      </c>
      <c r="I141" s="251"/>
      <c r="J141" s="294" t="s">
        <v>6</v>
      </c>
      <c r="K141" s="294"/>
      <c r="L141" s="294"/>
      <c r="M141" s="295" t="s">
        <v>7</v>
      </c>
      <c r="N141" s="295"/>
      <c r="O141" s="295"/>
      <c r="P141" s="295"/>
      <c r="Q141" s="296" t="s">
        <v>49</v>
      </c>
      <c r="R141" s="296"/>
      <c r="S141" s="296"/>
      <c r="T141" s="296"/>
      <c r="U141" s="296"/>
      <c r="V141" s="243" t="s">
        <v>50</v>
      </c>
      <c r="W141" s="189"/>
      <c r="X141" s="414" t="s">
        <v>40</v>
      </c>
      <c r="Y141" s="415">
        <v>8</v>
      </c>
      <c r="Z141" s="416" t="s">
        <v>66</v>
      </c>
      <c r="AA141" s="207" t="s">
        <v>67</v>
      </c>
      <c r="AB141" s="208"/>
      <c r="AC141" s="390">
        <v>9</v>
      </c>
      <c r="AD141" s="390"/>
      <c r="AE141" s="355"/>
      <c r="AF141" s="354"/>
      <c r="AG141" s="329">
        <f>AC141</f>
        <v>9</v>
      </c>
      <c r="AH141" s="329">
        <f>AC141</f>
        <v>9</v>
      </c>
      <c r="AI141" s="329">
        <f>AC141</f>
        <v>9</v>
      </c>
      <c r="AJ141" s="330">
        <f>AC141</f>
        <v>9</v>
      </c>
      <c r="AK141" s="330"/>
      <c r="AL141" s="330">
        <f>AC141</f>
        <v>9</v>
      </c>
      <c r="AM141" s="330"/>
      <c r="AN141" s="357"/>
      <c r="AO141" s="357"/>
      <c r="AP141" s="357"/>
      <c r="AQ141" s="357"/>
      <c r="AR141" s="358"/>
      <c r="AS141" s="261"/>
    </row>
    <row r="142" s="60" customFormat="1" ht="31" spans="1:45">
      <c r="A142" s="342" t="s">
        <v>51</v>
      </c>
      <c r="B142" s="343" t="s">
        <v>52</v>
      </c>
      <c r="C142" s="343" t="s">
        <v>53</v>
      </c>
      <c r="D142" s="86" t="s">
        <v>54</v>
      </c>
      <c r="E142" s="86"/>
      <c r="F142" s="248" t="s">
        <v>10</v>
      </c>
      <c r="G142" s="249" t="s">
        <v>11</v>
      </c>
      <c r="H142" s="250" t="s">
        <v>55</v>
      </c>
      <c r="I142" s="251" t="s">
        <v>13</v>
      </c>
      <c r="J142" s="252" t="s">
        <v>14</v>
      </c>
      <c r="K142" s="252" t="s">
        <v>15</v>
      </c>
      <c r="L142" s="252" t="s">
        <v>56</v>
      </c>
      <c r="M142" s="253" t="s">
        <v>57</v>
      </c>
      <c r="N142" s="253" t="s">
        <v>58</v>
      </c>
      <c r="O142" s="253" t="s">
        <v>59</v>
      </c>
      <c r="P142" s="253" t="s">
        <v>60</v>
      </c>
      <c r="Q142" s="254" t="s">
        <v>21</v>
      </c>
      <c r="R142" s="254" t="s">
        <v>22</v>
      </c>
      <c r="S142" s="254" t="s">
        <v>61</v>
      </c>
      <c r="T142" s="254" t="s">
        <v>62</v>
      </c>
      <c r="U142" s="254" t="s">
        <v>63</v>
      </c>
      <c r="V142" s="243"/>
      <c r="W142" s="189"/>
      <c r="X142" s="414" t="s">
        <v>40</v>
      </c>
      <c r="Y142" s="415">
        <v>9</v>
      </c>
      <c r="Z142" s="416" t="s">
        <v>64</v>
      </c>
      <c r="AA142" s="207" t="s">
        <v>65</v>
      </c>
      <c r="AB142" s="208"/>
      <c r="AC142" s="390">
        <v>9</v>
      </c>
      <c r="AD142" s="390"/>
      <c r="AE142" s="417"/>
      <c r="AF142" s="417"/>
      <c r="AG142" s="329"/>
      <c r="AH142" s="329"/>
      <c r="AI142" s="329"/>
      <c r="AJ142" s="330"/>
      <c r="AK142" s="330"/>
      <c r="AL142" s="330"/>
      <c r="AM142" s="330"/>
      <c r="AN142" s="332"/>
      <c r="AO142" s="332"/>
      <c r="AP142" s="332"/>
      <c r="AQ142" s="332"/>
      <c r="AR142" s="333"/>
      <c r="AS142" s="203"/>
    </row>
    <row r="143" s="63" customFormat="1" ht="16" spans="1:45">
      <c r="A143" s="395" t="s">
        <v>41</v>
      </c>
      <c r="B143" s="396">
        <v>1</v>
      </c>
      <c r="C143" s="396" t="s">
        <v>146</v>
      </c>
      <c r="D143" s="352" t="s">
        <v>147</v>
      </c>
      <c r="E143" s="4"/>
      <c r="F143" s="266">
        <v>1</v>
      </c>
      <c r="G143" s="266"/>
      <c r="H143" s="258"/>
      <c r="I143" s="259"/>
      <c r="J143" s="262"/>
      <c r="K143" s="262"/>
      <c r="L143" s="262"/>
      <c r="M143" s="263"/>
      <c r="N143" s="263"/>
      <c r="O143" s="263"/>
      <c r="P143" s="263"/>
      <c r="Q143" s="267"/>
      <c r="R143" s="267"/>
      <c r="S143" s="267"/>
      <c r="T143" s="267"/>
      <c r="U143" s="267"/>
      <c r="V143" s="260" t="s">
        <v>42</v>
      </c>
      <c r="W143" s="189"/>
      <c r="X143" s="414" t="s">
        <v>40</v>
      </c>
      <c r="Y143" s="418">
        <v>10</v>
      </c>
      <c r="Z143" s="73" t="s">
        <v>100</v>
      </c>
      <c r="AA143" s="207" t="s">
        <v>100</v>
      </c>
      <c r="AB143" s="208"/>
      <c r="AC143" s="390">
        <v>9</v>
      </c>
      <c r="AD143" s="390"/>
      <c r="AE143" s="355"/>
      <c r="AF143" s="417"/>
      <c r="AG143" s="329"/>
      <c r="AH143" s="329"/>
      <c r="AI143" s="329"/>
      <c r="AJ143" s="330"/>
      <c r="AK143" s="330"/>
      <c r="AL143" s="330"/>
      <c r="AM143" s="330"/>
      <c r="AN143" s="357"/>
      <c r="AO143" s="332"/>
      <c r="AP143" s="332"/>
      <c r="AQ143" s="332"/>
      <c r="AR143" s="333"/>
      <c r="AS143" s="203"/>
    </row>
    <row r="144" s="60" customFormat="1" spans="1:45">
      <c r="A144" s="235" t="s">
        <v>148</v>
      </c>
      <c r="B144" s="236"/>
      <c r="C144" s="236"/>
      <c r="D144" s="236"/>
      <c r="E144" s="236"/>
      <c r="F144" s="249" t="s">
        <v>4</v>
      </c>
      <c r="G144" s="249"/>
      <c r="H144" s="250" t="s">
        <v>5</v>
      </c>
      <c r="I144" s="251"/>
      <c r="J144" s="294" t="s">
        <v>6</v>
      </c>
      <c r="K144" s="294"/>
      <c r="L144" s="294"/>
      <c r="M144" s="295" t="s">
        <v>7</v>
      </c>
      <c r="N144" s="295"/>
      <c r="O144" s="295"/>
      <c r="P144" s="295"/>
      <c r="Q144" s="296" t="s">
        <v>49</v>
      </c>
      <c r="R144" s="296"/>
      <c r="S144" s="296"/>
      <c r="T144" s="296"/>
      <c r="U144" s="296"/>
      <c r="V144" s="243" t="s">
        <v>50</v>
      </c>
      <c r="W144" s="189"/>
      <c r="X144" s="279" t="s">
        <v>101</v>
      </c>
      <c r="Y144" s="271"/>
      <c r="Z144" s="271"/>
      <c r="AA144" s="271"/>
      <c r="AB144" s="371"/>
      <c r="AC144" s="359">
        <f>MAX(AC134:AC143)</f>
        <v>12</v>
      </c>
      <c r="AD144" s="359">
        <f>MAX(AD134:AD143)</f>
        <v>0</v>
      </c>
      <c r="AE144" s="360">
        <v>3</v>
      </c>
      <c r="AF144" s="360">
        <v>0</v>
      </c>
      <c r="AG144" s="361">
        <v>12</v>
      </c>
      <c r="AH144" s="361">
        <v>12</v>
      </c>
      <c r="AI144" s="361">
        <v>12</v>
      </c>
      <c r="AJ144" s="362">
        <v>12</v>
      </c>
      <c r="AK144" s="362">
        <v>0</v>
      </c>
      <c r="AL144" s="362">
        <v>12</v>
      </c>
      <c r="AM144" s="362">
        <v>0</v>
      </c>
      <c r="AN144" s="363">
        <v>0</v>
      </c>
      <c r="AO144" s="363">
        <v>0</v>
      </c>
      <c r="AP144" s="363">
        <v>0</v>
      </c>
      <c r="AQ144" s="363">
        <v>0</v>
      </c>
      <c r="AR144" s="364">
        <v>0</v>
      </c>
      <c r="AS144" s="293"/>
    </row>
    <row r="145" s="186" customFormat="1" ht="31" spans="1:45">
      <c r="A145" s="70" t="s">
        <v>51</v>
      </c>
      <c r="B145" s="70" t="s">
        <v>52</v>
      </c>
      <c r="C145" s="70" t="s">
        <v>53</v>
      </c>
      <c r="D145" s="86" t="s">
        <v>54</v>
      </c>
      <c r="E145" s="86"/>
      <c r="F145" s="248" t="s">
        <v>10</v>
      </c>
      <c r="G145" s="249" t="s">
        <v>11</v>
      </c>
      <c r="H145" s="250" t="s">
        <v>55</v>
      </c>
      <c r="I145" s="251" t="s">
        <v>13</v>
      </c>
      <c r="J145" s="252" t="s">
        <v>14</v>
      </c>
      <c r="K145" s="252" t="s">
        <v>15</v>
      </c>
      <c r="L145" s="252" t="s">
        <v>56</v>
      </c>
      <c r="M145" s="253" t="s">
        <v>57</v>
      </c>
      <c r="N145" s="253" t="s">
        <v>58</v>
      </c>
      <c r="O145" s="253" t="s">
        <v>59</v>
      </c>
      <c r="P145" s="253" t="s">
        <v>60</v>
      </c>
      <c r="Q145" s="254" t="s">
        <v>21</v>
      </c>
      <c r="R145" s="254" t="s">
        <v>22</v>
      </c>
      <c r="S145" s="254" t="s">
        <v>61</v>
      </c>
      <c r="T145" s="254" t="s">
        <v>62</v>
      </c>
      <c r="U145" s="254" t="s">
        <v>63</v>
      </c>
      <c r="V145" s="243"/>
      <c r="W145" s="189"/>
      <c r="X145" s="297" t="s">
        <v>135</v>
      </c>
      <c r="Y145" s="236"/>
      <c r="Z145" s="236"/>
      <c r="AA145" s="236"/>
      <c r="AB145" s="236"/>
      <c r="AC145" s="249" t="s">
        <v>4</v>
      </c>
      <c r="AD145" s="249"/>
      <c r="AE145" s="250" t="s">
        <v>5</v>
      </c>
      <c r="AF145" s="251"/>
      <c r="AG145" s="294" t="s">
        <v>6</v>
      </c>
      <c r="AH145" s="294"/>
      <c r="AI145" s="294"/>
      <c r="AJ145" s="295" t="s">
        <v>7</v>
      </c>
      <c r="AK145" s="295"/>
      <c r="AL145" s="295"/>
      <c r="AM145" s="295"/>
      <c r="AN145" s="296" t="s">
        <v>49</v>
      </c>
      <c r="AO145" s="296"/>
      <c r="AP145" s="296"/>
      <c r="AQ145" s="296"/>
      <c r="AR145" s="408"/>
      <c r="AS145" s="256" t="s">
        <v>50</v>
      </c>
    </row>
    <row r="146" s="63" customFormat="1" ht="31" spans="1:45">
      <c r="A146" s="73" t="s">
        <v>43</v>
      </c>
      <c r="B146" s="73">
        <v>1</v>
      </c>
      <c r="C146" s="73" t="s">
        <v>149</v>
      </c>
      <c r="D146" s="18" t="s">
        <v>150</v>
      </c>
      <c r="E146" s="18"/>
      <c r="F146" s="248">
        <v>25</v>
      </c>
      <c r="G146" s="249"/>
      <c r="H146" s="250"/>
      <c r="I146" s="251"/>
      <c r="J146" s="294"/>
      <c r="K146" s="294"/>
      <c r="L146" s="294"/>
      <c r="M146" s="295"/>
      <c r="N146" s="295"/>
      <c r="O146" s="295"/>
      <c r="P146" s="295"/>
      <c r="Q146" s="296"/>
      <c r="R146" s="296"/>
      <c r="S146" s="296"/>
      <c r="T146" s="296"/>
      <c r="U146" s="296"/>
      <c r="V146" s="243" t="s">
        <v>44</v>
      </c>
      <c r="W146" s="189"/>
      <c r="X146" s="419" t="s">
        <v>51</v>
      </c>
      <c r="Y146" s="420" t="s">
        <v>52</v>
      </c>
      <c r="Z146" s="420" t="s">
        <v>53</v>
      </c>
      <c r="AA146" s="18" t="s">
        <v>54</v>
      </c>
      <c r="AB146" s="348"/>
      <c r="AC146" s="249" t="s">
        <v>10</v>
      </c>
      <c r="AD146" s="249" t="s">
        <v>11</v>
      </c>
      <c r="AE146" s="250" t="s">
        <v>55</v>
      </c>
      <c r="AF146" s="251" t="s">
        <v>13</v>
      </c>
      <c r="AG146" s="252" t="s">
        <v>14</v>
      </c>
      <c r="AH146" s="252" t="s">
        <v>15</v>
      </c>
      <c r="AI146" s="252" t="s">
        <v>56</v>
      </c>
      <c r="AJ146" s="253" t="s">
        <v>57</v>
      </c>
      <c r="AK146" s="253" t="s">
        <v>58</v>
      </c>
      <c r="AL146" s="253" t="s">
        <v>59</v>
      </c>
      <c r="AM146" s="253" t="s">
        <v>60</v>
      </c>
      <c r="AN146" s="254" t="s">
        <v>21</v>
      </c>
      <c r="AO146" s="254" t="s">
        <v>22</v>
      </c>
      <c r="AP146" s="254" t="s">
        <v>61</v>
      </c>
      <c r="AQ146" s="254" t="s">
        <v>62</v>
      </c>
      <c r="AR146" s="255" t="s">
        <v>63</v>
      </c>
      <c r="AS146" s="256"/>
    </row>
    <row r="147" s="63" customFormat="1" ht="17.6" spans="1:45">
      <c r="A147" s="421"/>
      <c r="B147" s="421"/>
      <c r="C147" s="421"/>
      <c r="D147" s="421"/>
      <c r="E147" s="421"/>
      <c r="F147" s="421"/>
      <c r="G147" s="421"/>
      <c r="H147" s="421"/>
      <c r="I147" s="421"/>
      <c r="J147" s="421"/>
      <c r="K147" s="421"/>
      <c r="L147" s="421"/>
      <c r="M147" s="421"/>
      <c r="N147" s="421"/>
      <c r="O147" s="421"/>
      <c r="P147" s="421"/>
      <c r="Q147" s="421"/>
      <c r="R147" s="421"/>
      <c r="S147" s="421"/>
      <c r="T147" s="421"/>
      <c r="U147" s="421"/>
      <c r="V147" s="113"/>
      <c r="W147" s="189"/>
      <c r="X147" s="161" t="s">
        <v>39</v>
      </c>
      <c r="Y147" s="73">
        <v>1</v>
      </c>
      <c r="Z147" s="73" t="s">
        <v>64</v>
      </c>
      <c r="AA147" s="18" t="s">
        <v>65</v>
      </c>
      <c r="AB147" s="348"/>
      <c r="AC147" s="266">
        <v>6</v>
      </c>
      <c r="AD147" s="266"/>
      <c r="AE147" s="258"/>
      <c r="AF147" s="259"/>
      <c r="AG147" s="262"/>
      <c r="AH147" s="262"/>
      <c r="AI147" s="262"/>
      <c r="AJ147" s="263"/>
      <c r="AK147" s="263"/>
      <c r="AL147" s="263"/>
      <c r="AM147" s="263"/>
      <c r="AN147" s="267"/>
      <c r="AO147" s="267"/>
      <c r="AP147" s="267"/>
      <c r="AQ147" s="267"/>
      <c r="AR147" s="422"/>
      <c r="AS147" s="214"/>
    </row>
    <row r="148" s="63" customFormat="1" ht="17.6" spans="1:45">
      <c r="A148" s="421"/>
      <c r="B148" s="421"/>
      <c r="C148" s="421"/>
      <c r="D148" s="421"/>
      <c r="E148" s="421"/>
      <c r="F148" s="421"/>
      <c r="G148" s="421"/>
      <c r="H148" s="421"/>
      <c r="I148" s="421"/>
      <c r="J148" s="421"/>
      <c r="K148" s="421"/>
      <c r="L148" s="421"/>
      <c r="M148" s="421"/>
      <c r="N148" s="421"/>
      <c r="O148" s="421"/>
      <c r="P148" s="421"/>
      <c r="Q148" s="421"/>
      <c r="R148" s="421"/>
      <c r="S148" s="421"/>
      <c r="T148" s="421"/>
      <c r="U148" s="421"/>
      <c r="V148" s="113"/>
      <c r="W148" s="189"/>
      <c r="X148" s="161" t="s">
        <v>39</v>
      </c>
      <c r="Y148" s="73">
        <v>2</v>
      </c>
      <c r="Z148" s="73" t="s">
        <v>66</v>
      </c>
      <c r="AA148" s="18" t="s">
        <v>67</v>
      </c>
      <c r="AB148" s="348"/>
      <c r="AC148" s="266">
        <v>6</v>
      </c>
      <c r="AD148" s="266"/>
      <c r="AE148" s="258"/>
      <c r="AF148" s="259"/>
      <c r="AG148" s="262">
        <f t="shared" ref="AG148:AG150" si="138">AC148</f>
        <v>6</v>
      </c>
      <c r="AH148" s="262">
        <f t="shared" ref="AH148:AH150" si="139">AC148</f>
        <v>6</v>
      </c>
      <c r="AI148" s="262">
        <f t="shared" ref="AI148:AI150" si="140">AC148</f>
        <v>6</v>
      </c>
      <c r="AJ148" s="263">
        <f t="shared" ref="AJ148:AJ150" si="141">AC148</f>
        <v>6</v>
      </c>
      <c r="AK148" s="263"/>
      <c r="AL148" s="263">
        <f t="shared" ref="AL148:AL150" si="142">AC148</f>
        <v>6</v>
      </c>
      <c r="AM148" s="263"/>
      <c r="AN148" s="267"/>
      <c r="AO148" s="267"/>
      <c r="AP148" s="267"/>
      <c r="AQ148" s="267"/>
      <c r="AR148" s="422"/>
      <c r="AS148" s="214"/>
    </row>
    <row r="149" s="63" customFormat="1" ht="17.6" spans="1:45">
      <c r="A149" s="421"/>
      <c r="B149" s="421"/>
      <c r="C149" s="421"/>
      <c r="D149" s="421"/>
      <c r="E149" s="421"/>
      <c r="F149" s="421"/>
      <c r="G149" s="421"/>
      <c r="H149" s="421"/>
      <c r="I149" s="421"/>
      <c r="J149" s="421"/>
      <c r="K149" s="421"/>
      <c r="L149" s="421"/>
      <c r="M149" s="421"/>
      <c r="N149" s="421"/>
      <c r="O149" s="421"/>
      <c r="P149" s="421"/>
      <c r="Q149" s="421"/>
      <c r="R149" s="421"/>
      <c r="S149" s="421"/>
      <c r="T149" s="421"/>
      <c r="U149" s="421"/>
      <c r="V149" s="113"/>
      <c r="W149" s="189"/>
      <c r="X149" s="161" t="s">
        <v>39</v>
      </c>
      <c r="Y149" s="73">
        <v>3</v>
      </c>
      <c r="Z149" s="73" t="s">
        <v>137</v>
      </c>
      <c r="AA149" s="18" t="s">
        <v>138</v>
      </c>
      <c r="AB149" s="348"/>
      <c r="AC149" s="266">
        <v>6</v>
      </c>
      <c r="AD149" s="266"/>
      <c r="AE149" s="258"/>
      <c r="AF149" s="259"/>
      <c r="AG149" s="262">
        <f t="shared" si="138"/>
        <v>6</v>
      </c>
      <c r="AH149" s="262">
        <f t="shared" si="139"/>
        <v>6</v>
      </c>
      <c r="AI149" s="262">
        <f t="shared" si="140"/>
        <v>6</v>
      </c>
      <c r="AJ149" s="263">
        <f t="shared" si="141"/>
        <v>6</v>
      </c>
      <c r="AK149" s="263"/>
      <c r="AL149" s="263">
        <f t="shared" si="142"/>
        <v>6</v>
      </c>
      <c r="AM149" s="263"/>
      <c r="AN149" s="267">
        <f>AC149</f>
        <v>6</v>
      </c>
      <c r="AO149" s="267">
        <f>AC149*3</f>
        <v>18</v>
      </c>
      <c r="AP149" s="267">
        <f>AC149*3</f>
        <v>18</v>
      </c>
      <c r="AQ149" s="267">
        <f>AC149*3</f>
        <v>18</v>
      </c>
      <c r="AR149" s="422">
        <f>AC149*3</f>
        <v>18</v>
      </c>
      <c r="AS149" s="214"/>
    </row>
    <row r="150" s="63" customFormat="1" ht="17.6" spans="1:45">
      <c r="A150" s="421"/>
      <c r="B150" s="421"/>
      <c r="C150" s="421"/>
      <c r="D150" s="421"/>
      <c r="E150" s="421"/>
      <c r="F150" s="421"/>
      <c r="G150" s="421"/>
      <c r="H150" s="421"/>
      <c r="I150" s="421"/>
      <c r="J150" s="421"/>
      <c r="K150" s="421"/>
      <c r="L150" s="421"/>
      <c r="M150" s="421"/>
      <c r="N150" s="421"/>
      <c r="O150" s="421"/>
      <c r="P150" s="421"/>
      <c r="Q150" s="421"/>
      <c r="R150" s="421"/>
      <c r="S150" s="421"/>
      <c r="T150" s="421"/>
      <c r="U150" s="421"/>
      <c r="V150" s="113"/>
      <c r="W150" s="189"/>
      <c r="X150" s="161" t="s">
        <v>39</v>
      </c>
      <c r="Y150" s="73">
        <v>4</v>
      </c>
      <c r="Z150" s="73" t="s">
        <v>66</v>
      </c>
      <c r="AA150" s="18" t="s">
        <v>67</v>
      </c>
      <c r="AB150" s="348"/>
      <c r="AC150" s="266">
        <v>6</v>
      </c>
      <c r="AD150" s="266"/>
      <c r="AE150" s="258"/>
      <c r="AF150" s="259"/>
      <c r="AG150" s="262">
        <f t="shared" si="138"/>
        <v>6</v>
      </c>
      <c r="AH150" s="262">
        <f t="shared" si="139"/>
        <v>6</v>
      </c>
      <c r="AI150" s="262">
        <f t="shared" si="140"/>
        <v>6</v>
      </c>
      <c r="AJ150" s="263">
        <f t="shared" si="141"/>
        <v>6</v>
      </c>
      <c r="AK150" s="263"/>
      <c r="AL150" s="263">
        <f t="shared" si="142"/>
        <v>6</v>
      </c>
      <c r="AM150" s="263"/>
      <c r="AN150" s="267"/>
      <c r="AO150" s="267"/>
      <c r="AP150" s="267"/>
      <c r="AQ150" s="267"/>
      <c r="AR150" s="422"/>
      <c r="AS150" s="214"/>
    </row>
    <row r="151" s="63" customFormat="1" ht="17.6" spans="1:45">
      <c r="A151" s="421"/>
      <c r="B151" s="421"/>
      <c r="C151" s="421"/>
      <c r="D151" s="421"/>
      <c r="E151" s="421"/>
      <c r="F151" s="421"/>
      <c r="G151" s="421"/>
      <c r="H151" s="421"/>
      <c r="I151" s="421"/>
      <c r="J151" s="421"/>
      <c r="K151" s="421"/>
      <c r="L151" s="421"/>
      <c r="M151" s="421"/>
      <c r="N151" s="421"/>
      <c r="O151" s="421"/>
      <c r="P151" s="421"/>
      <c r="Q151" s="421"/>
      <c r="R151" s="421"/>
      <c r="S151" s="421"/>
      <c r="T151" s="421"/>
      <c r="U151" s="421"/>
      <c r="V151" s="113"/>
      <c r="W151" s="189"/>
      <c r="X151" s="161" t="s">
        <v>39</v>
      </c>
      <c r="Y151" s="73">
        <v>5</v>
      </c>
      <c r="Z151" s="73" t="s">
        <v>64</v>
      </c>
      <c r="AA151" s="18" t="s">
        <v>65</v>
      </c>
      <c r="AB151" s="348"/>
      <c r="AC151" s="266">
        <v>6</v>
      </c>
      <c r="AD151" s="266"/>
      <c r="AE151" s="258"/>
      <c r="AF151" s="259"/>
      <c r="AG151" s="262"/>
      <c r="AH151" s="262"/>
      <c r="AI151" s="262"/>
      <c r="AJ151" s="263"/>
      <c r="AK151" s="263"/>
      <c r="AL151" s="263"/>
      <c r="AM151" s="263"/>
      <c r="AN151" s="267"/>
      <c r="AO151" s="267"/>
      <c r="AP151" s="267"/>
      <c r="AQ151" s="267"/>
      <c r="AR151" s="422"/>
      <c r="AS151" s="214"/>
    </row>
    <row r="152" s="63" customFormat="1" ht="17.6" spans="1:45">
      <c r="A152" s="421"/>
      <c r="B152" s="421"/>
      <c r="C152" s="421"/>
      <c r="D152" s="421"/>
      <c r="E152" s="421"/>
      <c r="F152" s="421"/>
      <c r="G152" s="421"/>
      <c r="H152" s="421"/>
      <c r="I152" s="421"/>
      <c r="J152" s="421"/>
      <c r="K152" s="421"/>
      <c r="L152" s="421"/>
      <c r="M152" s="421"/>
      <c r="N152" s="421"/>
      <c r="O152" s="421"/>
      <c r="P152" s="421"/>
      <c r="Q152" s="421"/>
      <c r="R152" s="421"/>
      <c r="S152" s="421"/>
      <c r="T152" s="421"/>
      <c r="U152" s="421"/>
      <c r="V152" s="113"/>
      <c r="W152" s="189"/>
      <c r="X152" s="397" t="s">
        <v>39</v>
      </c>
      <c r="Y152" s="396">
        <v>6</v>
      </c>
      <c r="Z152" s="396" t="s">
        <v>100</v>
      </c>
      <c r="AA152" s="18" t="s">
        <v>100</v>
      </c>
      <c r="AB152" s="348"/>
      <c r="AC152" s="266">
        <v>6</v>
      </c>
      <c r="AD152" s="266"/>
      <c r="AE152" s="258"/>
      <c r="AF152" s="259"/>
      <c r="AG152" s="262"/>
      <c r="AH152" s="262"/>
      <c r="AI152" s="262"/>
      <c r="AJ152" s="263"/>
      <c r="AK152" s="263"/>
      <c r="AL152" s="263"/>
      <c r="AM152" s="263"/>
      <c r="AN152" s="267"/>
      <c r="AO152" s="267"/>
      <c r="AP152" s="267"/>
      <c r="AQ152" s="267"/>
      <c r="AR152" s="422"/>
      <c r="AS152" s="214"/>
    </row>
    <row r="153" s="63" customFormat="1" ht="17.6" spans="1:45">
      <c r="A153" s="421"/>
      <c r="B153" s="421"/>
      <c r="C153" s="421"/>
      <c r="D153" s="421"/>
      <c r="E153" s="421"/>
      <c r="F153" s="421"/>
      <c r="G153" s="421"/>
      <c r="H153" s="421"/>
      <c r="I153" s="421"/>
      <c r="J153" s="421"/>
      <c r="K153" s="421"/>
      <c r="L153" s="421"/>
      <c r="M153" s="421"/>
      <c r="N153" s="421"/>
      <c r="O153" s="421"/>
      <c r="P153" s="421"/>
      <c r="Q153" s="421"/>
      <c r="R153" s="421"/>
      <c r="S153" s="421"/>
      <c r="T153" s="421"/>
      <c r="U153" s="421"/>
      <c r="V153" s="113"/>
      <c r="W153" s="189"/>
      <c r="X153" s="279" t="s">
        <v>101</v>
      </c>
      <c r="Y153" s="271"/>
      <c r="Z153" s="271"/>
      <c r="AA153" s="271"/>
      <c r="AB153" s="371"/>
      <c r="AC153" s="273">
        <f t="shared" ref="AC153:AR153" si="143">MAX(AC147:AC152)</f>
        <v>6</v>
      </c>
      <c r="AD153" s="273">
        <f t="shared" si="143"/>
        <v>0</v>
      </c>
      <c r="AE153" s="274">
        <f t="shared" si="143"/>
        <v>0</v>
      </c>
      <c r="AF153" s="274">
        <f t="shared" si="143"/>
        <v>0</v>
      </c>
      <c r="AG153" s="275">
        <f t="shared" si="143"/>
        <v>6</v>
      </c>
      <c r="AH153" s="275">
        <f t="shared" si="143"/>
        <v>6</v>
      </c>
      <c r="AI153" s="275">
        <f t="shared" si="143"/>
        <v>6</v>
      </c>
      <c r="AJ153" s="276">
        <f t="shared" si="143"/>
        <v>6</v>
      </c>
      <c r="AK153" s="276">
        <f t="shared" si="143"/>
        <v>0</v>
      </c>
      <c r="AL153" s="276">
        <f t="shared" si="143"/>
        <v>6</v>
      </c>
      <c r="AM153" s="276">
        <f t="shared" si="143"/>
        <v>0</v>
      </c>
      <c r="AN153" s="277">
        <f t="shared" si="143"/>
        <v>6</v>
      </c>
      <c r="AO153" s="277">
        <f t="shared" si="143"/>
        <v>18</v>
      </c>
      <c r="AP153" s="277">
        <f t="shared" si="143"/>
        <v>18</v>
      </c>
      <c r="AQ153" s="277">
        <f t="shared" si="143"/>
        <v>18</v>
      </c>
      <c r="AR153" s="423">
        <f t="shared" si="143"/>
        <v>18</v>
      </c>
      <c r="AS153" s="424"/>
    </row>
    <row r="154" s="63" customFormat="1" ht="17.6" spans="1:45">
      <c r="A154" s="421"/>
      <c r="B154" s="421"/>
      <c r="C154" s="421"/>
      <c r="D154" s="421"/>
      <c r="E154" s="421"/>
      <c r="F154" s="421"/>
      <c r="G154" s="421"/>
      <c r="H154" s="421"/>
      <c r="I154" s="421"/>
      <c r="J154" s="421"/>
      <c r="K154" s="421"/>
      <c r="L154" s="421"/>
      <c r="M154" s="421"/>
      <c r="N154" s="421"/>
      <c r="O154" s="421"/>
      <c r="P154" s="421"/>
      <c r="Q154" s="421"/>
      <c r="R154" s="421"/>
      <c r="S154" s="421"/>
      <c r="T154" s="421"/>
      <c r="U154" s="421"/>
      <c r="V154" s="113"/>
      <c r="W154" s="189"/>
      <c r="X154" s="244" t="s">
        <v>145</v>
      </c>
      <c r="Y154" s="245"/>
      <c r="Z154" s="245"/>
      <c r="AA154" s="245"/>
      <c r="AB154" s="245"/>
      <c r="AC154" s="248" t="s">
        <v>4</v>
      </c>
      <c r="AD154" s="249"/>
      <c r="AE154" s="250" t="s">
        <v>5</v>
      </c>
      <c r="AF154" s="251"/>
      <c r="AG154" s="294" t="s">
        <v>6</v>
      </c>
      <c r="AH154" s="294"/>
      <c r="AI154" s="294"/>
      <c r="AJ154" s="295" t="s">
        <v>7</v>
      </c>
      <c r="AK154" s="295"/>
      <c r="AL154" s="295"/>
      <c r="AM154" s="295"/>
      <c r="AN154" s="296" t="s">
        <v>49</v>
      </c>
      <c r="AO154" s="296"/>
      <c r="AP154" s="296"/>
      <c r="AQ154" s="296"/>
      <c r="AR154" s="408"/>
      <c r="AS154" s="256" t="s">
        <v>50</v>
      </c>
    </row>
    <row r="155" s="63" customFormat="1" ht="31" spans="1:45">
      <c r="A155" s="421"/>
      <c r="B155" s="421"/>
      <c r="C155" s="421"/>
      <c r="D155" s="421"/>
      <c r="E155" s="421"/>
      <c r="F155" s="421"/>
      <c r="G155" s="421"/>
      <c r="H155" s="421"/>
      <c r="I155" s="421"/>
      <c r="J155" s="421"/>
      <c r="K155" s="421"/>
      <c r="L155" s="421"/>
      <c r="M155" s="421"/>
      <c r="N155" s="421"/>
      <c r="O155" s="421"/>
      <c r="P155" s="421"/>
      <c r="Q155" s="421"/>
      <c r="R155" s="421"/>
      <c r="S155" s="421"/>
      <c r="T155" s="421"/>
      <c r="U155" s="421"/>
      <c r="V155" s="113"/>
      <c r="W155" s="189"/>
      <c r="X155" s="161" t="s">
        <v>51</v>
      </c>
      <c r="Y155" s="73" t="s">
        <v>52</v>
      </c>
      <c r="Z155" s="73" t="s">
        <v>53</v>
      </c>
      <c r="AA155" s="18" t="s">
        <v>54</v>
      </c>
      <c r="AB155" s="18"/>
      <c r="AC155" s="248" t="s">
        <v>10</v>
      </c>
      <c r="AD155" s="249" t="s">
        <v>11</v>
      </c>
      <c r="AE155" s="250" t="s">
        <v>55</v>
      </c>
      <c r="AF155" s="251" t="s">
        <v>13</v>
      </c>
      <c r="AG155" s="252" t="s">
        <v>14</v>
      </c>
      <c r="AH155" s="252" t="s">
        <v>15</v>
      </c>
      <c r="AI155" s="252" t="s">
        <v>56</v>
      </c>
      <c r="AJ155" s="253" t="s">
        <v>57</v>
      </c>
      <c r="AK155" s="253" t="s">
        <v>58</v>
      </c>
      <c r="AL155" s="253" t="s">
        <v>59</v>
      </c>
      <c r="AM155" s="253" t="s">
        <v>60</v>
      </c>
      <c r="AN155" s="254" t="s">
        <v>21</v>
      </c>
      <c r="AO155" s="254" t="s">
        <v>22</v>
      </c>
      <c r="AP155" s="254" t="s">
        <v>61</v>
      </c>
      <c r="AQ155" s="254" t="s">
        <v>62</v>
      </c>
      <c r="AR155" s="255" t="s">
        <v>63</v>
      </c>
      <c r="AS155" s="256"/>
    </row>
    <row r="156" s="63" customFormat="1" ht="17.6" spans="1:45">
      <c r="A156" s="421"/>
      <c r="B156" s="421"/>
      <c r="C156" s="421"/>
      <c r="D156" s="421"/>
      <c r="E156" s="421"/>
      <c r="F156" s="421"/>
      <c r="G156" s="421"/>
      <c r="H156" s="421"/>
      <c r="I156" s="421"/>
      <c r="J156" s="421"/>
      <c r="K156" s="421"/>
      <c r="L156" s="421"/>
      <c r="M156" s="421"/>
      <c r="N156" s="421"/>
      <c r="O156" s="421"/>
      <c r="P156" s="421"/>
      <c r="Q156" s="421"/>
      <c r="R156" s="421"/>
      <c r="S156" s="421"/>
      <c r="T156" s="421"/>
      <c r="U156" s="421"/>
      <c r="V156" s="113"/>
      <c r="W156" s="189"/>
      <c r="X156" s="161" t="s">
        <v>41</v>
      </c>
      <c r="Y156" s="73">
        <v>1</v>
      </c>
      <c r="Z156" s="73" t="s">
        <v>146</v>
      </c>
      <c r="AA156" s="18" t="s">
        <v>147</v>
      </c>
      <c r="AB156" s="18"/>
      <c r="AC156" s="257">
        <v>1</v>
      </c>
      <c r="AD156" s="266"/>
      <c r="AE156" s="258"/>
      <c r="AF156" s="259"/>
      <c r="AG156" s="262"/>
      <c r="AH156" s="262"/>
      <c r="AI156" s="262"/>
      <c r="AJ156" s="263"/>
      <c r="AK156" s="263"/>
      <c r="AL156" s="263"/>
      <c r="AM156" s="263"/>
      <c r="AN156" s="267"/>
      <c r="AO156" s="267"/>
      <c r="AP156" s="267"/>
      <c r="AQ156" s="267"/>
      <c r="AR156" s="422"/>
      <c r="AS156" s="214" t="s">
        <v>42</v>
      </c>
    </row>
    <row r="157" s="63" customFormat="1" ht="17.6" spans="1:45">
      <c r="A157" s="421"/>
      <c r="B157" s="421"/>
      <c r="C157" s="421"/>
      <c r="D157" s="421"/>
      <c r="E157" s="421"/>
      <c r="F157" s="421"/>
      <c r="G157" s="421"/>
      <c r="H157" s="421"/>
      <c r="I157" s="421"/>
      <c r="J157" s="421"/>
      <c r="K157" s="421"/>
      <c r="L157" s="421"/>
      <c r="M157" s="421"/>
      <c r="N157" s="421"/>
      <c r="O157" s="421"/>
      <c r="P157" s="421"/>
      <c r="Q157" s="421"/>
      <c r="R157" s="421"/>
      <c r="S157" s="421"/>
      <c r="T157" s="421"/>
      <c r="U157" s="421"/>
      <c r="V157" s="113"/>
      <c r="W157" s="189"/>
      <c r="X157" s="244" t="s">
        <v>148</v>
      </c>
      <c r="Y157" s="245"/>
      <c r="Z157" s="245"/>
      <c r="AA157" s="245"/>
      <c r="AB157" s="245"/>
      <c r="AC157" s="248" t="s">
        <v>4</v>
      </c>
      <c r="AD157" s="249"/>
      <c r="AE157" s="250" t="s">
        <v>5</v>
      </c>
      <c r="AF157" s="251"/>
      <c r="AG157" s="294" t="s">
        <v>6</v>
      </c>
      <c r="AH157" s="294"/>
      <c r="AI157" s="294"/>
      <c r="AJ157" s="295" t="s">
        <v>7</v>
      </c>
      <c r="AK157" s="295"/>
      <c r="AL157" s="295"/>
      <c r="AM157" s="295"/>
      <c r="AN157" s="296" t="s">
        <v>49</v>
      </c>
      <c r="AO157" s="296"/>
      <c r="AP157" s="296"/>
      <c r="AQ157" s="296"/>
      <c r="AR157" s="408"/>
      <c r="AS157" s="256" t="s">
        <v>50</v>
      </c>
    </row>
    <row r="158" s="63" customFormat="1" ht="31" spans="1:45">
      <c r="A158" s="421"/>
      <c r="B158" s="421"/>
      <c r="C158" s="421"/>
      <c r="D158" s="421"/>
      <c r="E158" s="421"/>
      <c r="F158" s="421"/>
      <c r="G158" s="421"/>
      <c r="H158" s="421"/>
      <c r="I158" s="421"/>
      <c r="J158" s="421"/>
      <c r="K158" s="421"/>
      <c r="L158" s="421"/>
      <c r="M158" s="421"/>
      <c r="N158" s="421"/>
      <c r="O158" s="421"/>
      <c r="P158" s="421"/>
      <c r="Q158" s="421"/>
      <c r="R158" s="421"/>
      <c r="S158" s="421"/>
      <c r="T158" s="421"/>
      <c r="U158" s="421"/>
      <c r="V158" s="113"/>
      <c r="W158" s="189"/>
      <c r="X158" s="161" t="s">
        <v>51</v>
      </c>
      <c r="Y158" s="73" t="s">
        <v>52</v>
      </c>
      <c r="Z158" s="73" t="s">
        <v>53</v>
      </c>
      <c r="AA158" s="18" t="s">
        <v>54</v>
      </c>
      <c r="AB158" s="18"/>
      <c r="AC158" s="248" t="s">
        <v>10</v>
      </c>
      <c r="AD158" s="249" t="s">
        <v>11</v>
      </c>
      <c r="AE158" s="250" t="s">
        <v>55</v>
      </c>
      <c r="AF158" s="251" t="s">
        <v>13</v>
      </c>
      <c r="AG158" s="252" t="s">
        <v>14</v>
      </c>
      <c r="AH158" s="252" t="s">
        <v>15</v>
      </c>
      <c r="AI158" s="252" t="s">
        <v>56</v>
      </c>
      <c r="AJ158" s="253" t="s">
        <v>57</v>
      </c>
      <c r="AK158" s="253" t="s">
        <v>58</v>
      </c>
      <c r="AL158" s="253" t="s">
        <v>59</v>
      </c>
      <c r="AM158" s="253" t="s">
        <v>60</v>
      </c>
      <c r="AN158" s="254" t="s">
        <v>21</v>
      </c>
      <c r="AO158" s="254" t="s">
        <v>22</v>
      </c>
      <c r="AP158" s="254" t="s">
        <v>61</v>
      </c>
      <c r="AQ158" s="254" t="s">
        <v>62</v>
      </c>
      <c r="AR158" s="255" t="s">
        <v>63</v>
      </c>
      <c r="AS158" s="256"/>
    </row>
    <row r="159" s="63" customFormat="1" ht="17.6" spans="1:45">
      <c r="A159" s="421"/>
      <c r="B159" s="421"/>
      <c r="C159" s="421"/>
      <c r="D159" s="421"/>
      <c r="E159" s="421"/>
      <c r="F159" s="421"/>
      <c r="G159" s="421"/>
      <c r="H159" s="421"/>
      <c r="I159" s="421"/>
      <c r="J159" s="421"/>
      <c r="K159" s="421"/>
      <c r="L159" s="421"/>
      <c r="M159" s="421"/>
      <c r="N159" s="421"/>
      <c r="O159" s="421"/>
      <c r="P159" s="421"/>
      <c r="Q159" s="421"/>
      <c r="R159" s="421"/>
      <c r="S159" s="421"/>
      <c r="T159" s="421"/>
      <c r="U159" s="421"/>
      <c r="V159" s="113"/>
      <c r="W159" s="189"/>
      <c r="X159" s="161" t="s">
        <v>43</v>
      </c>
      <c r="Y159" s="73">
        <v>1</v>
      </c>
      <c r="Z159" s="73" t="s">
        <v>149</v>
      </c>
      <c r="AA159" s="18" t="s">
        <v>150</v>
      </c>
      <c r="AB159" s="18"/>
      <c r="AC159" s="248">
        <v>25</v>
      </c>
      <c r="AD159" s="249"/>
      <c r="AE159" s="250"/>
      <c r="AF159" s="251"/>
      <c r="AG159" s="294"/>
      <c r="AH159" s="294"/>
      <c r="AI159" s="294"/>
      <c r="AJ159" s="295"/>
      <c r="AK159" s="295"/>
      <c r="AL159" s="295"/>
      <c r="AM159" s="295"/>
      <c r="AN159" s="296"/>
      <c r="AO159" s="296"/>
      <c r="AP159" s="296"/>
      <c r="AQ159" s="296"/>
      <c r="AR159" s="408"/>
      <c r="AS159" s="214" t="s">
        <v>44</v>
      </c>
    </row>
  </sheetData>
  <mergeCells count="476">
    <mergeCell ref="A1:V1"/>
    <mergeCell ref="X1:AS1"/>
    <mergeCell ref="A2:V2"/>
    <mergeCell ref="X2:AS2"/>
    <mergeCell ref="A3:S3"/>
    <mergeCell ref="X3:AP3"/>
    <mergeCell ref="B4:C4"/>
    <mergeCell ref="D4:E4"/>
    <mergeCell ref="F4:H4"/>
    <mergeCell ref="I4:L4"/>
    <mergeCell ref="M4:Q4"/>
    <mergeCell ref="R4:V4"/>
    <mergeCell ref="Y4:Z4"/>
    <mergeCell ref="AA4:AB4"/>
    <mergeCell ref="AC4:AE4"/>
    <mergeCell ref="AF4:AI4"/>
    <mergeCell ref="AJ4:AN4"/>
    <mergeCell ref="AO4:AS4"/>
    <mergeCell ref="R5:V5"/>
    <mergeCell ref="AO5:AS5"/>
    <mergeCell ref="R6:V6"/>
    <mergeCell ref="AO6:AS6"/>
    <mergeCell ref="R7:V7"/>
    <mergeCell ref="AO7:AS7"/>
    <mergeCell ref="R8:V8"/>
    <mergeCell ref="AO8:AS8"/>
    <mergeCell ref="R9:V9"/>
    <mergeCell ref="AO9:AS9"/>
    <mergeCell ref="R10:V10"/>
    <mergeCell ref="AO10:AS10"/>
    <mergeCell ref="R11:V11"/>
    <mergeCell ref="AO11:AS11"/>
    <mergeCell ref="R12:V12"/>
    <mergeCell ref="AO12:AS12"/>
    <mergeCell ref="R13:V13"/>
    <mergeCell ref="AO13:AS13"/>
    <mergeCell ref="R14:V14"/>
    <mergeCell ref="AO14:AS14"/>
    <mergeCell ref="R15:V15"/>
    <mergeCell ref="AO15:AS15"/>
    <mergeCell ref="R16:V16"/>
    <mergeCell ref="AO16:AS16"/>
    <mergeCell ref="R17:V17"/>
    <mergeCell ref="AO17:AS17"/>
    <mergeCell ref="R18:V18"/>
    <mergeCell ref="AO18:AS18"/>
    <mergeCell ref="R19:V19"/>
    <mergeCell ref="AO19:AS19"/>
    <mergeCell ref="R20:V20"/>
    <mergeCell ref="AO20:AS20"/>
    <mergeCell ref="AO21:AS21"/>
    <mergeCell ref="A23:V23"/>
    <mergeCell ref="X23:AS23"/>
    <mergeCell ref="A24:E24"/>
    <mergeCell ref="F24:G24"/>
    <mergeCell ref="H24:I24"/>
    <mergeCell ref="J24:L24"/>
    <mergeCell ref="M24:P24"/>
    <mergeCell ref="Q24:U24"/>
    <mergeCell ref="X24:AB24"/>
    <mergeCell ref="AC24:AD24"/>
    <mergeCell ref="AE24:AF24"/>
    <mergeCell ref="AG24:AI24"/>
    <mergeCell ref="AJ24:AM24"/>
    <mergeCell ref="AN24:AR24"/>
    <mergeCell ref="D25:E25"/>
    <mergeCell ref="AA25:AB25"/>
    <mergeCell ref="D26:E26"/>
    <mergeCell ref="AA26:AB26"/>
    <mergeCell ref="D27:E27"/>
    <mergeCell ref="AA27:AB27"/>
    <mergeCell ref="D28:E28"/>
    <mergeCell ref="AA28:AB28"/>
    <mergeCell ref="D29:E29"/>
    <mergeCell ref="AA29:AB29"/>
    <mergeCell ref="D30:E30"/>
    <mergeCell ref="AA30:AB30"/>
    <mergeCell ref="D31:E31"/>
    <mergeCell ref="AA31:AB31"/>
    <mergeCell ref="D32:E32"/>
    <mergeCell ref="AA32:AB32"/>
    <mergeCell ref="D33:E33"/>
    <mergeCell ref="AA33:AB33"/>
    <mergeCell ref="D34:E34"/>
    <mergeCell ref="AA34:AB34"/>
    <mergeCell ref="D35:E35"/>
    <mergeCell ref="AA35:AB35"/>
    <mergeCell ref="D36:E36"/>
    <mergeCell ref="AA36:AB36"/>
    <mergeCell ref="D37:E37"/>
    <mergeCell ref="AA37:AB37"/>
    <mergeCell ref="D38:E38"/>
    <mergeCell ref="AA38:AB38"/>
    <mergeCell ref="D39:E39"/>
    <mergeCell ref="AA39:AB39"/>
    <mergeCell ref="D40:E40"/>
    <mergeCell ref="AA40:AB40"/>
    <mergeCell ref="D41:E41"/>
    <mergeCell ref="AA41:AB41"/>
    <mergeCell ref="D42:E42"/>
    <mergeCell ref="AA42:AB42"/>
    <mergeCell ref="D43:E43"/>
    <mergeCell ref="AA43:AB43"/>
    <mergeCell ref="D44:E44"/>
    <mergeCell ref="AA44:AB44"/>
    <mergeCell ref="D45:E45"/>
    <mergeCell ref="AA45:AB45"/>
    <mergeCell ref="D46:E46"/>
    <mergeCell ref="AA46:AB46"/>
    <mergeCell ref="D47:E47"/>
    <mergeCell ref="AA47:AB47"/>
    <mergeCell ref="A48:E48"/>
    <mergeCell ref="X48:AB48"/>
    <mergeCell ref="A49:E49"/>
    <mergeCell ref="F49:G49"/>
    <mergeCell ref="H49:I49"/>
    <mergeCell ref="J49:L49"/>
    <mergeCell ref="M49:P49"/>
    <mergeCell ref="Q49:U49"/>
    <mergeCell ref="X49:AB49"/>
    <mergeCell ref="AC49:AD49"/>
    <mergeCell ref="AE49:AF49"/>
    <mergeCell ref="AG49:AI49"/>
    <mergeCell ref="AJ49:AM49"/>
    <mergeCell ref="AN49:AR49"/>
    <mergeCell ref="D50:E50"/>
    <mergeCell ref="AA50:AB50"/>
    <mergeCell ref="D51:E51"/>
    <mergeCell ref="AA51:AB51"/>
    <mergeCell ref="D52:E52"/>
    <mergeCell ref="AA52:AB52"/>
    <mergeCell ref="D53:E53"/>
    <mergeCell ref="AA53:AB53"/>
    <mergeCell ref="D54:E54"/>
    <mergeCell ref="AA54:AB54"/>
    <mergeCell ref="D55:E55"/>
    <mergeCell ref="AA55:AB55"/>
    <mergeCell ref="D56:E56"/>
    <mergeCell ref="AA56:AB56"/>
    <mergeCell ref="D57:E57"/>
    <mergeCell ref="AA57:AB57"/>
    <mergeCell ref="A58:E58"/>
    <mergeCell ref="X58:AB58"/>
    <mergeCell ref="A59:E59"/>
    <mergeCell ref="F59:G59"/>
    <mergeCell ref="H59:I59"/>
    <mergeCell ref="J59:L59"/>
    <mergeCell ref="M59:P59"/>
    <mergeCell ref="Q59:U59"/>
    <mergeCell ref="X59:AB59"/>
    <mergeCell ref="AC59:AD59"/>
    <mergeCell ref="AE59:AF59"/>
    <mergeCell ref="AG59:AI59"/>
    <mergeCell ref="AJ59:AM59"/>
    <mergeCell ref="AN59:AR59"/>
    <mergeCell ref="D60:E60"/>
    <mergeCell ref="AA60:AB60"/>
    <mergeCell ref="D61:E61"/>
    <mergeCell ref="AA61:AB61"/>
    <mergeCell ref="D62:E62"/>
    <mergeCell ref="AA62:AB62"/>
    <mergeCell ref="D63:E63"/>
    <mergeCell ref="AA63:AB63"/>
    <mergeCell ref="D64:E64"/>
    <mergeCell ref="AA64:AB64"/>
    <mergeCell ref="D65:E65"/>
    <mergeCell ref="AA65:AB65"/>
    <mergeCell ref="D66:E66"/>
    <mergeCell ref="AA66:AB66"/>
    <mergeCell ref="D67:E67"/>
    <mergeCell ref="AA67:AB67"/>
    <mergeCell ref="D68:E68"/>
    <mergeCell ref="AA68:AB68"/>
    <mergeCell ref="D69:E69"/>
    <mergeCell ref="AA69:AB69"/>
    <mergeCell ref="D70:E70"/>
    <mergeCell ref="AA70:AB70"/>
    <mergeCell ref="D71:E71"/>
    <mergeCell ref="AA71:AB71"/>
    <mergeCell ref="A72:E72"/>
    <mergeCell ref="X72:AB72"/>
    <mergeCell ref="A73:E73"/>
    <mergeCell ref="F73:G73"/>
    <mergeCell ref="H73:I73"/>
    <mergeCell ref="J73:L73"/>
    <mergeCell ref="M73:P73"/>
    <mergeCell ref="Q73:U73"/>
    <mergeCell ref="X73:AB73"/>
    <mergeCell ref="AC73:AD73"/>
    <mergeCell ref="AE73:AF73"/>
    <mergeCell ref="AG73:AI73"/>
    <mergeCell ref="AJ73:AM73"/>
    <mergeCell ref="AN73:AR73"/>
    <mergeCell ref="D74:E74"/>
    <mergeCell ref="AA74:AB74"/>
    <mergeCell ref="D75:E75"/>
    <mergeCell ref="AA75:AB75"/>
    <mergeCell ref="D76:E76"/>
    <mergeCell ref="AA76:AB76"/>
    <mergeCell ref="D77:E77"/>
    <mergeCell ref="AA77:AB77"/>
    <mergeCell ref="D78:E78"/>
    <mergeCell ref="AA78:AB78"/>
    <mergeCell ref="D79:E79"/>
    <mergeCell ref="AA79:AB79"/>
    <mergeCell ref="D80:E80"/>
    <mergeCell ref="AA80:AB80"/>
    <mergeCell ref="A81:E81"/>
    <mergeCell ref="X81:AB81"/>
    <mergeCell ref="A82:E82"/>
    <mergeCell ref="F82:G82"/>
    <mergeCell ref="H82:I82"/>
    <mergeCell ref="J82:L82"/>
    <mergeCell ref="M82:P82"/>
    <mergeCell ref="Q82:U82"/>
    <mergeCell ref="X82:AB82"/>
    <mergeCell ref="AC82:AD82"/>
    <mergeCell ref="AE82:AF82"/>
    <mergeCell ref="AG82:AI82"/>
    <mergeCell ref="AJ82:AM82"/>
    <mergeCell ref="AN82:AR82"/>
    <mergeCell ref="D83:E83"/>
    <mergeCell ref="AA83:AB83"/>
    <mergeCell ref="D84:E84"/>
    <mergeCell ref="AA84:AB84"/>
    <mergeCell ref="D85:E85"/>
    <mergeCell ref="AA85:AB85"/>
    <mergeCell ref="D86:E86"/>
    <mergeCell ref="AA86:AB86"/>
    <mergeCell ref="D87:E87"/>
    <mergeCell ref="AA87:AB87"/>
    <mergeCell ref="D88:E88"/>
    <mergeCell ref="AA88:AB88"/>
    <mergeCell ref="D89:E89"/>
    <mergeCell ref="AA89:AB89"/>
    <mergeCell ref="A90:E90"/>
    <mergeCell ref="X90:AB90"/>
    <mergeCell ref="A91:E91"/>
    <mergeCell ref="F91:G91"/>
    <mergeCell ref="H91:I91"/>
    <mergeCell ref="J91:L91"/>
    <mergeCell ref="M91:P91"/>
    <mergeCell ref="Q91:U91"/>
    <mergeCell ref="X91:AB91"/>
    <mergeCell ref="AC91:AD91"/>
    <mergeCell ref="AE91:AF91"/>
    <mergeCell ref="AG91:AI91"/>
    <mergeCell ref="AJ91:AM91"/>
    <mergeCell ref="AN91:AR91"/>
    <mergeCell ref="D92:E92"/>
    <mergeCell ref="AA92:AB92"/>
    <mergeCell ref="D93:E93"/>
    <mergeCell ref="AA93:AB93"/>
    <mergeCell ref="D94:E94"/>
    <mergeCell ref="AA94:AB94"/>
    <mergeCell ref="D95:E95"/>
    <mergeCell ref="AA95:AB95"/>
    <mergeCell ref="D96:E96"/>
    <mergeCell ref="AA96:AB96"/>
    <mergeCell ref="D97:E97"/>
    <mergeCell ref="AA97:AB97"/>
    <mergeCell ref="A98:E98"/>
    <mergeCell ref="X98:AB98"/>
    <mergeCell ref="A99:E99"/>
    <mergeCell ref="F99:G99"/>
    <mergeCell ref="H99:I99"/>
    <mergeCell ref="J99:L99"/>
    <mergeCell ref="M99:P99"/>
    <mergeCell ref="Q99:U99"/>
    <mergeCell ref="X99:AB99"/>
    <mergeCell ref="AC99:AD99"/>
    <mergeCell ref="AE99:AF99"/>
    <mergeCell ref="AG99:AI99"/>
    <mergeCell ref="AJ99:AM99"/>
    <mergeCell ref="AN99:AR99"/>
    <mergeCell ref="D100:E100"/>
    <mergeCell ref="AA100:AB100"/>
    <mergeCell ref="D101:E101"/>
    <mergeCell ref="AA101:AB101"/>
    <mergeCell ref="D102:E102"/>
    <mergeCell ref="AA102:AB102"/>
    <mergeCell ref="D103:E103"/>
    <mergeCell ref="AA103:AB103"/>
    <mergeCell ref="D104:E104"/>
    <mergeCell ref="AA104:AB104"/>
    <mergeCell ref="A105:E105"/>
    <mergeCell ref="X105:AB105"/>
    <mergeCell ref="A106:E106"/>
    <mergeCell ref="F106:G106"/>
    <mergeCell ref="H106:I106"/>
    <mergeCell ref="J106:L106"/>
    <mergeCell ref="M106:P106"/>
    <mergeCell ref="Q106:U106"/>
    <mergeCell ref="X106:AB106"/>
    <mergeCell ref="AC106:AD106"/>
    <mergeCell ref="AE106:AF106"/>
    <mergeCell ref="AG106:AI106"/>
    <mergeCell ref="AJ106:AM106"/>
    <mergeCell ref="AN106:AR106"/>
    <mergeCell ref="D107:E107"/>
    <mergeCell ref="AA107:AB107"/>
    <mergeCell ref="D108:E108"/>
    <mergeCell ref="AA108:AB108"/>
    <mergeCell ref="D109:E109"/>
    <mergeCell ref="AA109:AB109"/>
    <mergeCell ref="D110:E110"/>
    <mergeCell ref="AA110:AB110"/>
    <mergeCell ref="D111:E111"/>
    <mergeCell ref="AA111:AB111"/>
    <mergeCell ref="D112:E112"/>
    <mergeCell ref="AA112:AB112"/>
    <mergeCell ref="D113:E113"/>
    <mergeCell ref="AA113:AB113"/>
    <mergeCell ref="A114:E114"/>
    <mergeCell ref="X114:AB114"/>
    <mergeCell ref="A115:E115"/>
    <mergeCell ref="F115:G115"/>
    <mergeCell ref="H115:I115"/>
    <mergeCell ref="J115:L115"/>
    <mergeCell ref="M115:P115"/>
    <mergeCell ref="Q115:U115"/>
    <mergeCell ref="X115:AB115"/>
    <mergeCell ref="AC115:AD115"/>
    <mergeCell ref="AE115:AF115"/>
    <mergeCell ref="AG115:AI115"/>
    <mergeCell ref="AJ115:AM115"/>
    <mergeCell ref="AN115:AR115"/>
    <mergeCell ref="D116:E116"/>
    <mergeCell ref="AA116:AB116"/>
    <mergeCell ref="D117:E117"/>
    <mergeCell ref="AA117:AB117"/>
    <mergeCell ref="D118:E118"/>
    <mergeCell ref="AA118:AB118"/>
    <mergeCell ref="D119:E119"/>
    <mergeCell ref="AA119:AB119"/>
    <mergeCell ref="D120:E120"/>
    <mergeCell ref="AA120:AB120"/>
    <mergeCell ref="D121:E121"/>
    <mergeCell ref="AA121:AB121"/>
    <mergeCell ref="A122:E122"/>
    <mergeCell ref="X122:AB122"/>
    <mergeCell ref="A123:E123"/>
    <mergeCell ref="F123:G123"/>
    <mergeCell ref="H123:I123"/>
    <mergeCell ref="J123:L123"/>
    <mergeCell ref="M123:P123"/>
    <mergeCell ref="Q123:U123"/>
    <mergeCell ref="X123:AB123"/>
    <mergeCell ref="AC123:AD123"/>
    <mergeCell ref="AE123:AF123"/>
    <mergeCell ref="AG123:AI123"/>
    <mergeCell ref="AJ123:AM123"/>
    <mergeCell ref="AN123:AR123"/>
    <mergeCell ref="D124:E124"/>
    <mergeCell ref="AA124:AB124"/>
    <mergeCell ref="D125:E125"/>
    <mergeCell ref="AA125:AB125"/>
    <mergeCell ref="D126:E126"/>
    <mergeCell ref="AA126:AB126"/>
    <mergeCell ref="D127:E127"/>
    <mergeCell ref="AA127:AB127"/>
    <mergeCell ref="D128:E128"/>
    <mergeCell ref="AA128:AB128"/>
    <mergeCell ref="D129:E129"/>
    <mergeCell ref="AA129:AB129"/>
    <mergeCell ref="D130:E130"/>
    <mergeCell ref="AA130:AB130"/>
    <mergeCell ref="A131:E131"/>
    <mergeCell ref="X131:AB131"/>
    <mergeCell ref="A132:E132"/>
    <mergeCell ref="F132:G132"/>
    <mergeCell ref="H132:I132"/>
    <mergeCell ref="J132:L132"/>
    <mergeCell ref="M132:P132"/>
    <mergeCell ref="Q132:U132"/>
    <mergeCell ref="X132:AB132"/>
    <mergeCell ref="AC132:AD132"/>
    <mergeCell ref="AE132:AF132"/>
    <mergeCell ref="AG132:AI132"/>
    <mergeCell ref="AJ132:AM132"/>
    <mergeCell ref="AN132:AR132"/>
    <mergeCell ref="D133:E133"/>
    <mergeCell ref="AA133:AB133"/>
    <mergeCell ref="D134:E134"/>
    <mergeCell ref="AA134:AB134"/>
    <mergeCell ref="D135:E135"/>
    <mergeCell ref="AA135:AB135"/>
    <mergeCell ref="D136:E136"/>
    <mergeCell ref="AA136:AB136"/>
    <mergeCell ref="D137:E137"/>
    <mergeCell ref="AA137:AB137"/>
    <mergeCell ref="D138:E138"/>
    <mergeCell ref="AA138:AB138"/>
    <mergeCell ref="D139:E139"/>
    <mergeCell ref="AA139:AB139"/>
    <mergeCell ref="A140:E140"/>
    <mergeCell ref="AA140:AB140"/>
    <mergeCell ref="A141:E141"/>
    <mergeCell ref="F141:G141"/>
    <mergeCell ref="H141:I141"/>
    <mergeCell ref="J141:L141"/>
    <mergeCell ref="M141:P141"/>
    <mergeCell ref="Q141:U141"/>
    <mergeCell ref="AA141:AB141"/>
    <mergeCell ref="D142:E142"/>
    <mergeCell ref="AA142:AB142"/>
    <mergeCell ref="D143:E143"/>
    <mergeCell ref="AA143:AB143"/>
    <mergeCell ref="A144:E144"/>
    <mergeCell ref="F144:G144"/>
    <mergeCell ref="H144:I144"/>
    <mergeCell ref="J144:L144"/>
    <mergeCell ref="M144:P144"/>
    <mergeCell ref="Q144:U144"/>
    <mergeCell ref="X144:AB144"/>
    <mergeCell ref="D145:E145"/>
    <mergeCell ref="X145:AB145"/>
    <mergeCell ref="AC145:AD145"/>
    <mergeCell ref="AE145:AF145"/>
    <mergeCell ref="AG145:AI145"/>
    <mergeCell ref="AJ145:AM145"/>
    <mergeCell ref="AN145:AR145"/>
    <mergeCell ref="D146:E146"/>
    <mergeCell ref="AA146:AB146"/>
    <mergeCell ref="AA147:AB147"/>
    <mergeCell ref="AA148:AB148"/>
    <mergeCell ref="AA149:AB149"/>
    <mergeCell ref="AA150:AB150"/>
    <mergeCell ref="AA151:AB151"/>
    <mergeCell ref="AA152:AB152"/>
    <mergeCell ref="X153:AB153"/>
    <mergeCell ref="X154:AB154"/>
    <mergeCell ref="AC154:AD154"/>
    <mergeCell ref="AE154:AF154"/>
    <mergeCell ref="AG154:AI154"/>
    <mergeCell ref="AJ154:AM154"/>
    <mergeCell ref="AN154:AR154"/>
    <mergeCell ref="AA155:AB155"/>
    <mergeCell ref="AA156:AB156"/>
    <mergeCell ref="X157:AB157"/>
    <mergeCell ref="AC157:AD157"/>
    <mergeCell ref="AE157:AF157"/>
    <mergeCell ref="AG157:AI157"/>
    <mergeCell ref="AJ157:AM157"/>
    <mergeCell ref="AN157:AR157"/>
    <mergeCell ref="AA158:AB158"/>
    <mergeCell ref="AA159:AB159"/>
    <mergeCell ref="V24:V25"/>
    <mergeCell ref="V49:V50"/>
    <mergeCell ref="V59:V60"/>
    <mergeCell ref="V73:V74"/>
    <mergeCell ref="V82:V83"/>
    <mergeCell ref="V91:V92"/>
    <mergeCell ref="V99:V100"/>
    <mergeCell ref="V106:V107"/>
    <mergeCell ref="V115:V116"/>
    <mergeCell ref="V123:V124"/>
    <mergeCell ref="V132:V133"/>
    <mergeCell ref="V141:V142"/>
    <mergeCell ref="V144:V145"/>
    <mergeCell ref="W1:W159"/>
    <mergeCell ref="AC136:AC138"/>
    <mergeCell ref="AS24:AS25"/>
    <mergeCell ref="AS49:AS50"/>
    <mergeCell ref="AS59:AS60"/>
    <mergeCell ref="AS73:AS74"/>
    <mergeCell ref="AS82:AS83"/>
    <mergeCell ref="AS91:AS92"/>
    <mergeCell ref="AS99:AS100"/>
    <mergeCell ref="AS106:AS107"/>
    <mergeCell ref="AS115:AS116"/>
    <mergeCell ref="AS123:AS124"/>
    <mergeCell ref="AS132:AS133"/>
    <mergeCell ref="AS145:AS146"/>
    <mergeCell ref="AS154:AS155"/>
    <mergeCell ref="AS157:AS158"/>
  </mergeCells>
  <pageMargins left="0.75" right="0.75" top="1" bottom="1" header="0.5" footer="0.5"/>
  <headerFooter/>
  <ignoredErrors>
    <ignoredError sqref="A1:AS15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1"/>
  <sheetViews>
    <sheetView showGridLines="0" topLeftCell="L6" workbookViewId="0">
      <selection activeCell="N129" sqref="N129"/>
    </sheetView>
  </sheetViews>
  <sheetFormatPr defaultColWidth="9.64285714285714" defaultRowHeight="15.2"/>
  <cols>
    <col min="1" max="1" width="12.4285714285714" style="63" customWidth="1"/>
    <col min="2" max="2" width="8.71428571428571" style="63" customWidth="1"/>
    <col min="3" max="3" width="6.85714285714286" style="63" customWidth="1"/>
    <col min="4" max="4" width="18.4285714285714" style="63" customWidth="1"/>
    <col min="5" max="5" width="49.6964285714286" style="107" customWidth="1"/>
    <col min="6" max="6" width="8.71428571428571" style="63" customWidth="1"/>
    <col min="7" max="7" width="10" style="63" customWidth="1"/>
    <col min="8" max="8" width="8.71428571428571" style="63" customWidth="1"/>
    <col min="9" max="9" width="10.5714285714286" style="63" customWidth="1"/>
    <col min="10" max="10" width="8.71428571428571" style="63" customWidth="1"/>
    <col min="11" max="11" width="12.0714285714286" style="108" customWidth="1"/>
    <col min="12" max="13" width="13.2857142857143" style="108" customWidth="1"/>
    <col min="14" max="14" width="38.3928571428571" style="109" customWidth="1"/>
    <col min="15" max="15" width="37.5" style="107" customWidth="1"/>
    <col min="16" max="16" width="9.64285714285714" style="7" customWidth="1"/>
    <col min="17" max="17" width="12.4910714285714" style="7" customWidth="1"/>
    <col min="18" max="19" width="13.2857142857143" style="7" customWidth="1"/>
    <col min="20" max="20" width="12.5" style="7" customWidth="1"/>
    <col min="21" max="21" width="11.9017857142857" style="7" customWidth="1"/>
    <col min="22" max="22" width="12.7946428571429" style="7" customWidth="1"/>
    <col min="23" max="23" width="12.9464285714286" style="7" customWidth="1"/>
    <col min="24" max="16384" width="9.64285714285714" style="7" customWidth="1"/>
  </cols>
  <sheetData>
    <row r="1" ht="17.6" customHeight="1" spans="1:23">
      <c r="A1" s="65" t="s">
        <v>151</v>
      </c>
      <c r="F1" s="110"/>
      <c r="G1" s="110"/>
      <c r="H1" s="110"/>
      <c r="I1" s="110"/>
      <c r="J1" s="110"/>
      <c r="K1" s="111"/>
      <c r="L1" s="111"/>
      <c r="M1" s="111"/>
      <c r="N1" s="112"/>
      <c r="O1" s="113"/>
    </row>
    <row r="2" spans="1:23">
      <c r="A2" s="114" t="s">
        <v>152</v>
      </c>
      <c r="B2" s="115"/>
      <c r="C2" s="73" t="s">
        <v>153</v>
      </c>
      <c r="D2" s="116"/>
      <c r="E2" s="115"/>
      <c r="H2" s="117"/>
      <c r="I2" s="118"/>
      <c r="J2" s="117"/>
      <c r="K2" s="119"/>
      <c r="L2" s="120"/>
      <c r="M2" s="119"/>
    </row>
    <row r="3" spans="1:23">
      <c r="A3" s="114" t="s">
        <v>154</v>
      </c>
      <c r="B3" s="115"/>
      <c r="C3" s="73" t="s">
        <v>155</v>
      </c>
      <c r="D3" s="116"/>
      <c r="E3" s="115"/>
      <c r="H3" s="117"/>
      <c r="I3" s="118"/>
      <c r="J3" s="117"/>
      <c r="K3" s="119"/>
      <c r="L3" s="120"/>
      <c r="M3" s="119"/>
    </row>
    <row r="4" spans="1:23">
      <c r="A4" s="114" t="s">
        <v>156</v>
      </c>
      <c r="B4" s="115"/>
      <c r="C4" s="73" t="s">
        <v>157</v>
      </c>
      <c r="D4" s="116"/>
      <c r="E4" s="115"/>
      <c r="H4" s="117"/>
      <c r="I4" s="118"/>
      <c r="J4" s="117"/>
      <c r="K4" s="119"/>
      <c r="L4" s="120"/>
      <c r="M4" s="119"/>
    </row>
    <row r="5" spans="1:23">
      <c r="A5" s="114" t="s">
        <v>158</v>
      </c>
      <c r="B5" s="115"/>
      <c r="C5" s="73" t="s">
        <v>159</v>
      </c>
      <c r="D5" s="116"/>
      <c r="E5" s="115"/>
      <c r="H5" s="117"/>
      <c r="I5" s="118"/>
      <c r="J5" s="117"/>
      <c r="K5" s="119"/>
      <c r="L5" s="120"/>
      <c r="M5" s="119"/>
    </row>
    <row r="6" spans="1:23">
      <c r="A6" s="114" t="s">
        <v>160</v>
      </c>
      <c r="B6" s="115"/>
      <c r="C6" s="73" t="s">
        <v>161</v>
      </c>
      <c r="D6" s="116"/>
      <c r="E6" s="115"/>
      <c r="H6" s="117"/>
      <c r="I6" s="118"/>
      <c r="J6" s="117"/>
      <c r="K6" s="119"/>
      <c r="L6" s="120"/>
      <c r="M6" s="119"/>
    </row>
    <row r="7" spans="1:23">
      <c r="A7" s="114" t="s">
        <v>162</v>
      </c>
      <c r="B7" s="115"/>
      <c r="C7" s="73" t="s">
        <v>163</v>
      </c>
      <c r="D7" s="116"/>
      <c r="E7" s="115"/>
      <c r="H7" s="117"/>
      <c r="I7" s="118"/>
      <c r="J7" s="117"/>
      <c r="K7" s="119"/>
      <c r="L7" s="120"/>
      <c r="M7" s="119"/>
    </row>
    <row r="8" spans="1:23">
      <c r="A8" s="114" t="s">
        <v>164</v>
      </c>
      <c r="B8" s="115"/>
      <c r="C8" s="73" t="s">
        <v>165</v>
      </c>
      <c r="D8" s="116"/>
      <c r="E8" s="115"/>
      <c r="H8" s="117"/>
      <c r="I8" s="118"/>
      <c r="J8" s="117"/>
      <c r="K8" s="119"/>
      <c r="L8" s="120"/>
      <c r="M8" s="119"/>
    </row>
    <row r="9" ht="15.95" spans="1:23">
      <c r="A9" s="114" t="s">
        <v>166</v>
      </c>
      <c r="B9" s="115"/>
      <c r="C9" s="73" t="s">
        <v>167</v>
      </c>
      <c r="D9" s="116"/>
      <c r="E9" s="115"/>
      <c r="H9" s="117"/>
      <c r="I9" s="118"/>
      <c r="J9" s="117"/>
      <c r="K9" s="119"/>
      <c r="L9" s="120"/>
      <c r="M9" s="119"/>
    </row>
    <row r="10" ht="17.6" customHeight="1" spans="1:23">
      <c r="A10" s="121" t="s">
        <v>168</v>
      </c>
      <c r="B10" s="122" t="s">
        <v>169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4"/>
      <c r="Q10" s="65" t="s">
        <v>170</v>
      </c>
    </row>
    <row r="11" ht="16" customHeight="1" spans="1:23">
      <c r="A11" s="125" t="s">
        <v>171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5"/>
      <c r="Q11" s="70" t="s">
        <v>3</v>
      </c>
      <c r="R11" s="71" t="s">
        <v>172</v>
      </c>
      <c r="S11" s="70" t="s">
        <v>173</v>
      </c>
      <c r="T11" s="86" t="s">
        <v>174</v>
      </c>
      <c r="U11" s="72" t="s">
        <v>175</v>
      </c>
      <c r="V11" s="70" t="s">
        <v>176</v>
      </c>
      <c r="W11" s="86" t="s">
        <v>177</v>
      </c>
    </row>
    <row r="12" s="60" customFormat="1" ht="16" customHeight="1" spans="1:23">
      <c r="A12" s="126" t="s">
        <v>51</v>
      </c>
      <c r="B12" s="70" t="s">
        <v>52</v>
      </c>
      <c r="C12" s="70" t="s">
        <v>178</v>
      </c>
      <c r="D12" s="70" t="s">
        <v>53</v>
      </c>
      <c r="E12" s="86" t="s">
        <v>54</v>
      </c>
      <c r="F12" s="70" t="s">
        <v>179</v>
      </c>
      <c r="G12" s="70" t="s">
        <v>180</v>
      </c>
      <c r="H12" s="70" t="s">
        <v>181</v>
      </c>
      <c r="I12" s="70" t="s">
        <v>182</v>
      </c>
      <c r="J12" s="70" t="s">
        <v>183</v>
      </c>
      <c r="K12" s="127" t="s">
        <v>184</v>
      </c>
      <c r="L12" s="127" t="s">
        <v>185</v>
      </c>
      <c r="M12" s="127" t="s">
        <v>186</v>
      </c>
      <c r="N12" s="86" t="s">
        <v>187</v>
      </c>
      <c r="O12" s="128" t="s">
        <v>188</v>
      </c>
      <c r="Q12" s="73" t="s">
        <v>26</v>
      </c>
      <c r="R12" s="74">
        <f>M34</f>
        <v>258640</v>
      </c>
      <c r="S12" s="129">
        <f>K34</f>
        <v>11980</v>
      </c>
      <c r="T12" s="129">
        <f>L34</f>
        <v>246660</v>
      </c>
      <c r="U12" s="75">
        <f>M163</f>
        <v>258640</v>
      </c>
      <c r="V12" s="129">
        <f>K163</f>
        <v>11980</v>
      </c>
      <c r="W12" s="129">
        <f>L163</f>
        <v>246660</v>
      </c>
    </row>
    <row r="13" ht="31" customHeight="1" spans="1:23">
      <c r="A13" s="130" t="s">
        <v>26</v>
      </c>
      <c r="B13" s="73">
        <v>1</v>
      </c>
      <c r="C13" s="73" t="s">
        <v>172</v>
      </c>
      <c r="D13" s="73" t="s">
        <v>64</v>
      </c>
      <c r="E13" s="131" t="s">
        <v>65</v>
      </c>
      <c r="F13" s="73" t="s">
        <v>189</v>
      </c>
      <c r="G13" s="73" t="s">
        <v>190</v>
      </c>
      <c r="H13" s="73" t="s">
        <v>191</v>
      </c>
      <c r="I13" s="73" t="s">
        <v>192</v>
      </c>
      <c r="J13" s="73" t="s">
        <v>184</v>
      </c>
      <c r="K13" s="129">
        <v>3190</v>
      </c>
      <c r="L13" s="129"/>
      <c r="M13" s="129">
        <v>3190</v>
      </c>
      <c r="N13" s="20" t="s">
        <v>193</v>
      </c>
      <c r="O13" s="132" t="s">
        <v>194</v>
      </c>
      <c r="Q13" s="73" t="s">
        <v>27</v>
      </c>
      <c r="R13" s="74">
        <f>M44</f>
        <v>50130</v>
      </c>
      <c r="S13" s="129">
        <f>K44</f>
        <v>10340</v>
      </c>
      <c r="T13" s="129">
        <f>L44</f>
        <v>39790</v>
      </c>
      <c r="U13" s="75">
        <f>M173</f>
        <v>50130</v>
      </c>
      <c r="V13" s="129">
        <f>K173</f>
        <v>10340</v>
      </c>
      <c r="W13" s="129">
        <f>L173</f>
        <v>39790</v>
      </c>
    </row>
    <row r="14" ht="31" customHeight="1" spans="1:23">
      <c r="A14" s="130" t="s">
        <v>26</v>
      </c>
      <c r="B14" s="73">
        <v>2</v>
      </c>
      <c r="C14" s="73" t="s">
        <v>172</v>
      </c>
      <c r="D14" s="73" t="s">
        <v>66</v>
      </c>
      <c r="E14" s="131" t="s">
        <v>67</v>
      </c>
      <c r="F14" s="73" t="s">
        <v>189</v>
      </c>
      <c r="G14" s="73" t="s">
        <v>190</v>
      </c>
      <c r="H14" s="73" t="s">
        <v>195</v>
      </c>
      <c r="I14" s="73" t="s">
        <v>192</v>
      </c>
      <c r="J14" s="73" t="s">
        <v>185</v>
      </c>
      <c r="K14" s="129"/>
      <c r="L14" s="129">
        <v>5600</v>
      </c>
      <c r="M14" s="129">
        <v>5600</v>
      </c>
      <c r="N14" s="20" t="s">
        <v>196</v>
      </c>
      <c r="O14" s="132"/>
      <c r="Q14" s="73" t="s">
        <v>29</v>
      </c>
      <c r="R14" s="74">
        <f>M58</f>
        <v>51878</v>
      </c>
      <c r="S14" s="129">
        <f>K58</f>
        <v>5420</v>
      </c>
      <c r="T14" s="129">
        <f>L58</f>
        <v>46458</v>
      </c>
      <c r="U14" s="75">
        <f>M187</f>
        <v>51878</v>
      </c>
      <c r="V14" s="129">
        <f>K187</f>
        <v>5420</v>
      </c>
      <c r="W14" s="129">
        <f>L187</f>
        <v>46458</v>
      </c>
    </row>
    <row r="15" ht="31" customHeight="1" spans="1:23">
      <c r="A15" s="130" t="s">
        <v>26</v>
      </c>
      <c r="B15" s="73">
        <v>3</v>
      </c>
      <c r="C15" s="73" t="s">
        <v>172</v>
      </c>
      <c r="D15" s="73" t="s">
        <v>68</v>
      </c>
      <c r="E15" s="131" t="s">
        <v>69</v>
      </c>
      <c r="F15" s="73" t="s">
        <v>197</v>
      </c>
      <c r="G15" s="73"/>
      <c r="H15" s="73" t="s">
        <v>198</v>
      </c>
      <c r="I15" s="73" t="s">
        <v>199</v>
      </c>
      <c r="J15" s="73" t="s">
        <v>185</v>
      </c>
      <c r="K15" s="129"/>
      <c r="L15" s="129">
        <v>24000</v>
      </c>
      <c r="M15" s="129">
        <v>24000</v>
      </c>
      <c r="N15" s="20" t="s">
        <v>200</v>
      </c>
      <c r="O15" s="132" t="s">
        <v>201</v>
      </c>
      <c r="Q15" s="73" t="s">
        <v>30</v>
      </c>
      <c r="R15" s="74">
        <f>M67</f>
        <v>50540</v>
      </c>
      <c r="S15" s="129">
        <f>K67</f>
        <v>5420</v>
      </c>
      <c r="T15" s="129">
        <f>L67</f>
        <v>45120</v>
      </c>
      <c r="U15" s="75">
        <f>M196</f>
        <v>50540</v>
      </c>
      <c r="V15" s="129">
        <f>K196</f>
        <v>5420</v>
      </c>
      <c r="W15" s="129">
        <f>L196</f>
        <v>45120</v>
      </c>
    </row>
    <row r="16" ht="16" customHeight="1" spans="1:23">
      <c r="A16" s="130" t="s">
        <v>26</v>
      </c>
      <c r="B16" s="73">
        <v>4</v>
      </c>
      <c r="C16" s="73" t="s">
        <v>172</v>
      </c>
      <c r="D16" s="73" t="s">
        <v>70</v>
      </c>
      <c r="E16" s="131" t="s">
        <v>71</v>
      </c>
      <c r="F16" s="73" t="s">
        <v>197</v>
      </c>
      <c r="G16" s="73" t="s">
        <v>202</v>
      </c>
      <c r="H16" s="73" t="s">
        <v>202</v>
      </c>
      <c r="I16" s="73" t="s">
        <v>203</v>
      </c>
      <c r="J16" s="73" t="s">
        <v>185</v>
      </c>
      <c r="K16" s="129"/>
      <c r="L16" s="129">
        <v>720</v>
      </c>
      <c r="M16" s="129">
        <v>720</v>
      </c>
      <c r="N16" s="20" t="s">
        <v>204</v>
      </c>
      <c r="O16" s="132"/>
      <c r="Q16" s="73" t="s">
        <v>31</v>
      </c>
      <c r="R16" s="74">
        <f>M76</f>
        <v>114620</v>
      </c>
      <c r="S16" s="129">
        <f>K76</f>
        <v>5420</v>
      </c>
      <c r="T16" s="129">
        <f>L76</f>
        <v>109200</v>
      </c>
      <c r="U16" s="75">
        <f>M205</f>
        <v>114620</v>
      </c>
      <c r="V16" s="129">
        <f>K205</f>
        <v>5420</v>
      </c>
      <c r="W16" s="129">
        <f>L205</f>
        <v>109200</v>
      </c>
    </row>
    <row r="17" ht="16" customHeight="1" spans="1:23">
      <c r="A17" s="130" t="s">
        <v>26</v>
      </c>
      <c r="B17" s="73">
        <v>5</v>
      </c>
      <c r="C17" s="73" t="s">
        <v>172</v>
      </c>
      <c r="D17" s="73" t="s">
        <v>72</v>
      </c>
      <c r="E17" s="131" t="s">
        <v>73</v>
      </c>
      <c r="F17" s="73" t="s">
        <v>197</v>
      </c>
      <c r="G17" s="73" t="s">
        <v>202</v>
      </c>
      <c r="H17" s="73" t="s">
        <v>202</v>
      </c>
      <c r="I17" s="73" t="s">
        <v>203</v>
      </c>
      <c r="J17" s="73" t="s">
        <v>185</v>
      </c>
      <c r="K17" s="129"/>
      <c r="L17" s="129">
        <v>720</v>
      </c>
      <c r="M17" s="129">
        <v>720</v>
      </c>
      <c r="N17" s="20" t="s">
        <v>204</v>
      </c>
      <c r="O17" s="132"/>
      <c r="Q17" s="73" t="s">
        <v>32</v>
      </c>
      <c r="R17" s="74">
        <f>M84</f>
        <v>80300</v>
      </c>
      <c r="S17" s="129">
        <f>K84</f>
        <v>3200</v>
      </c>
      <c r="T17" s="129">
        <f>L84</f>
        <v>77100</v>
      </c>
      <c r="U17" s="75">
        <f>M214</f>
        <v>80300</v>
      </c>
      <c r="V17" s="129">
        <f>K214</f>
        <v>3200</v>
      </c>
      <c r="W17" s="129">
        <f>L214</f>
        <v>77100</v>
      </c>
    </row>
    <row r="18" ht="16" customHeight="1" spans="1:23">
      <c r="A18" s="130" t="s">
        <v>26</v>
      </c>
      <c r="B18" s="73">
        <v>6</v>
      </c>
      <c r="C18" s="73" t="s">
        <v>172</v>
      </c>
      <c r="D18" s="73" t="s">
        <v>74</v>
      </c>
      <c r="E18" s="131" t="s">
        <v>75</v>
      </c>
      <c r="F18" s="73" t="s">
        <v>197</v>
      </c>
      <c r="G18" s="73" t="s">
        <v>202</v>
      </c>
      <c r="H18" s="73" t="s">
        <v>202</v>
      </c>
      <c r="I18" s="73" t="s">
        <v>203</v>
      </c>
      <c r="J18" s="73" t="s">
        <v>185</v>
      </c>
      <c r="K18" s="129"/>
      <c r="L18" s="129">
        <v>720</v>
      </c>
      <c r="M18" s="129">
        <v>720</v>
      </c>
      <c r="N18" s="20" t="s">
        <v>204</v>
      </c>
      <c r="O18" s="132"/>
      <c r="Q18" s="73" t="s">
        <v>34</v>
      </c>
      <c r="R18" s="74">
        <f>M91</f>
        <v>12200</v>
      </c>
      <c r="S18" s="129">
        <f>K91</f>
        <v>2400</v>
      </c>
      <c r="T18" s="129">
        <f>L91</f>
        <v>9800</v>
      </c>
      <c r="U18" s="75">
        <f>M222</f>
        <v>12200</v>
      </c>
      <c r="V18" s="129">
        <f>K222</f>
        <v>2400</v>
      </c>
      <c r="W18" s="129">
        <f>L222</f>
        <v>9800</v>
      </c>
    </row>
    <row r="19" ht="16" customHeight="1" spans="1:23">
      <c r="A19" s="130" t="s">
        <v>26</v>
      </c>
      <c r="B19" s="73">
        <v>7</v>
      </c>
      <c r="C19" s="73" t="s">
        <v>172</v>
      </c>
      <c r="D19" s="73" t="s">
        <v>76</v>
      </c>
      <c r="E19" s="131" t="s">
        <v>77</v>
      </c>
      <c r="F19" s="73" t="s">
        <v>197</v>
      </c>
      <c r="G19" s="73" t="s">
        <v>205</v>
      </c>
      <c r="H19" s="73" t="s">
        <v>205</v>
      </c>
      <c r="I19" s="73" t="s">
        <v>203</v>
      </c>
      <c r="J19" s="73" t="s">
        <v>185</v>
      </c>
      <c r="K19" s="129"/>
      <c r="L19" s="129">
        <v>2880</v>
      </c>
      <c r="M19" s="129">
        <v>2880</v>
      </c>
      <c r="N19" s="20" t="s">
        <v>206</v>
      </c>
      <c r="O19" s="132"/>
      <c r="Q19" s="73" t="s">
        <v>36</v>
      </c>
      <c r="R19" s="74">
        <f>M100</f>
        <v>33220</v>
      </c>
      <c r="S19" s="129">
        <f>K100</f>
        <v>5420</v>
      </c>
      <c r="T19" s="129">
        <f>L100</f>
        <v>27800</v>
      </c>
      <c r="U19" s="75">
        <f>M231</f>
        <v>33220</v>
      </c>
      <c r="V19" s="129">
        <f>K231</f>
        <v>5420</v>
      </c>
      <c r="W19" s="129">
        <f>L231</f>
        <v>27800</v>
      </c>
    </row>
    <row r="20" ht="16" customHeight="1" spans="1:23">
      <c r="A20" s="130" t="s">
        <v>26</v>
      </c>
      <c r="B20" s="73">
        <v>8</v>
      </c>
      <c r="C20" s="73" t="s">
        <v>172</v>
      </c>
      <c r="D20" s="73" t="s">
        <v>78</v>
      </c>
      <c r="E20" s="131" t="s">
        <v>79</v>
      </c>
      <c r="F20" s="73" t="s">
        <v>197</v>
      </c>
      <c r="G20" s="73" t="s">
        <v>207</v>
      </c>
      <c r="H20" s="73" t="s">
        <v>208</v>
      </c>
      <c r="I20" s="73" t="s">
        <v>199</v>
      </c>
      <c r="J20" s="73" t="s">
        <v>185</v>
      </c>
      <c r="K20" s="129"/>
      <c r="L20" s="129">
        <v>5000</v>
      </c>
      <c r="M20" s="129">
        <v>5000</v>
      </c>
      <c r="N20" s="20" t="s">
        <v>209</v>
      </c>
      <c r="O20" s="132"/>
      <c r="Q20" s="73" t="s">
        <v>37</v>
      </c>
      <c r="R20" s="74">
        <f>M108</f>
        <v>31710</v>
      </c>
      <c r="S20" s="129">
        <f>K108</f>
        <v>3910</v>
      </c>
      <c r="T20" s="129">
        <f>L108</f>
        <v>27800</v>
      </c>
      <c r="U20" s="75">
        <f>M239</f>
        <v>31710</v>
      </c>
      <c r="V20" s="129">
        <f>K239</f>
        <v>3910</v>
      </c>
      <c r="W20" s="129">
        <f>L239</f>
        <v>27800</v>
      </c>
    </row>
    <row r="21" ht="16" customHeight="1" spans="1:23">
      <c r="A21" s="130" t="s">
        <v>26</v>
      </c>
      <c r="B21" s="73">
        <v>9</v>
      </c>
      <c r="C21" s="73" t="s">
        <v>172</v>
      </c>
      <c r="D21" s="73" t="s">
        <v>80</v>
      </c>
      <c r="E21" s="131" t="s">
        <v>81</v>
      </c>
      <c r="F21" s="73" t="s">
        <v>197</v>
      </c>
      <c r="G21" s="73" t="s">
        <v>210</v>
      </c>
      <c r="H21" s="73" t="s">
        <v>210</v>
      </c>
      <c r="I21" s="73" t="s">
        <v>203</v>
      </c>
      <c r="J21" s="73" t="s">
        <v>185</v>
      </c>
      <c r="K21" s="129"/>
      <c r="L21" s="129">
        <v>7200</v>
      </c>
      <c r="M21" s="129">
        <v>7200</v>
      </c>
      <c r="N21" s="20" t="s">
        <v>211</v>
      </c>
      <c r="O21" s="132"/>
      <c r="Q21" s="73" t="s">
        <v>38</v>
      </c>
      <c r="R21" s="74">
        <f>M117</f>
        <v>35520</v>
      </c>
      <c r="S21" s="129">
        <f>K117</f>
        <v>5420</v>
      </c>
      <c r="T21" s="129">
        <f>L117</f>
        <v>30100</v>
      </c>
      <c r="U21" s="75">
        <f>M248</f>
        <v>35520</v>
      </c>
      <c r="V21" s="129">
        <f>K248</f>
        <v>5420</v>
      </c>
      <c r="W21" s="129">
        <f>L248</f>
        <v>30100</v>
      </c>
    </row>
    <row r="22" ht="16" customHeight="1" spans="1:23">
      <c r="A22" s="130" t="s">
        <v>26</v>
      </c>
      <c r="B22" s="73">
        <v>10</v>
      </c>
      <c r="C22" s="73" t="s">
        <v>172</v>
      </c>
      <c r="D22" s="73" t="s">
        <v>82</v>
      </c>
      <c r="E22" s="131" t="s">
        <v>83</v>
      </c>
      <c r="F22" s="73" t="s">
        <v>197</v>
      </c>
      <c r="G22" s="73" t="s">
        <v>212</v>
      </c>
      <c r="H22" s="73" t="s">
        <v>212</v>
      </c>
      <c r="I22" s="73" t="s">
        <v>203</v>
      </c>
      <c r="J22" s="73" t="s">
        <v>185</v>
      </c>
      <c r="K22" s="129"/>
      <c r="L22" s="129">
        <v>10500</v>
      </c>
      <c r="M22" s="129">
        <v>10500</v>
      </c>
      <c r="N22" s="20" t="s">
        <v>213</v>
      </c>
      <c r="O22" s="132"/>
      <c r="Q22" s="73" t="s">
        <v>40</v>
      </c>
      <c r="R22" s="74" t="s">
        <v>214</v>
      </c>
      <c r="S22" s="129" t="s">
        <v>214</v>
      </c>
      <c r="T22" s="129" t="s">
        <v>214</v>
      </c>
      <c r="U22" s="75">
        <f>M261</f>
        <v>50240</v>
      </c>
      <c r="V22" s="129">
        <f>K261</f>
        <v>8640</v>
      </c>
      <c r="W22" s="129">
        <f>L261</f>
        <v>41600</v>
      </c>
    </row>
    <row r="23" ht="16" customHeight="1" spans="1:23">
      <c r="A23" s="130" t="s">
        <v>26</v>
      </c>
      <c r="B23" s="73">
        <v>11</v>
      </c>
      <c r="C23" s="73" t="s">
        <v>172</v>
      </c>
      <c r="D23" s="73" t="s">
        <v>84</v>
      </c>
      <c r="E23" s="131" t="s">
        <v>85</v>
      </c>
      <c r="F23" s="73" t="s">
        <v>197</v>
      </c>
      <c r="G23" s="73" t="s">
        <v>208</v>
      </c>
      <c r="H23" s="73" t="s">
        <v>208</v>
      </c>
      <c r="I23" s="73" t="s">
        <v>203</v>
      </c>
      <c r="J23" s="73" t="s">
        <v>185</v>
      </c>
      <c r="K23" s="129"/>
      <c r="L23" s="129">
        <v>24000</v>
      </c>
      <c r="M23" s="129">
        <v>24000</v>
      </c>
      <c r="N23" s="20" t="s">
        <v>215</v>
      </c>
      <c r="O23" s="132"/>
      <c r="Q23" s="73" t="s">
        <v>39</v>
      </c>
      <c r="R23" s="74">
        <f>M126</f>
        <v>16820</v>
      </c>
      <c r="S23" s="129">
        <f>K126</f>
        <v>5420</v>
      </c>
      <c r="T23" s="129">
        <f>L126</f>
        <v>11400</v>
      </c>
      <c r="U23" s="75">
        <f>M270</f>
        <v>16820</v>
      </c>
      <c r="V23" s="129">
        <f>K270</f>
        <v>5420</v>
      </c>
      <c r="W23" s="129">
        <f>L270</f>
        <v>11400</v>
      </c>
    </row>
    <row r="24" ht="16" customHeight="1" spans="1:23">
      <c r="A24" s="130" t="s">
        <v>26</v>
      </c>
      <c r="B24" s="73">
        <v>12</v>
      </c>
      <c r="C24" s="73" t="s">
        <v>172</v>
      </c>
      <c r="D24" s="73" t="s">
        <v>86</v>
      </c>
      <c r="E24" s="131" t="s">
        <v>87</v>
      </c>
      <c r="F24" s="73" t="s">
        <v>189</v>
      </c>
      <c r="G24" s="73" t="s">
        <v>190</v>
      </c>
      <c r="H24" s="73" t="s">
        <v>208</v>
      </c>
      <c r="I24" s="73" t="s">
        <v>192</v>
      </c>
      <c r="J24" s="73" t="s">
        <v>185</v>
      </c>
      <c r="K24" s="129"/>
      <c r="L24" s="129">
        <v>4200</v>
      </c>
      <c r="M24" s="129">
        <v>4200</v>
      </c>
      <c r="N24" s="20" t="s">
        <v>216</v>
      </c>
      <c r="O24" s="132"/>
      <c r="Q24" s="73" t="s">
        <v>41</v>
      </c>
      <c r="R24" s="74">
        <f>M130</f>
        <v>20000</v>
      </c>
      <c r="S24" s="129">
        <f>K130</f>
        <v>0</v>
      </c>
      <c r="T24" s="129">
        <f>L130</f>
        <v>20000</v>
      </c>
      <c r="U24" s="75">
        <f>M274</f>
        <v>20000</v>
      </c>
      <c r="V24" s="129">
        <f>K274</f>
        <v>0</v>
      </c>
      <c r="W24" s="129">
        <f>L274</f>
        <v>20000</v>
      </c>
    </row>
    <row r="25" ht="16" customHeight="1" spans="1:23">
      <c r="A25" s="130" t="s">
        <v>26</v>
      </c>
      <c r="B25" s="73">
        <v>13</v>
      </c>
      <c r="C25" s="73" t="s">
        <v>172</v>
      </c>
      <c r="D25" s="73" t="s">
        <v>88</v>
      </c>
      <c r="E25" s="131" t="s">
        <v>89</v>
      </c>
      <c r="F25" s="73" t="s">
        <v>197</v>
      </c>
      <c r="G25" s="73" t="s">
        <v>217</v>
      </c>
      <c r="H25" s="73" t="s">
        <v>208</v>
      </c>
      <c r="I25" s="73" t="s">
        <v>192</v>
      </c>
      <c r="J25" s="73" t="s">
        <v>185</v>
      </c>
      <c r="K25" s="129"/>
      <c r="L25" s="129">
        <v>3600</v>
      </c>
      <c r="M25" s="129">
        <v>3600</v>
      </c>
      <c r="N25" s="20" t="s">
        <v>218</v>
      </c>
      <c r="O25" s="132"/>
      <c r="Q25" s="73" t="s">
        <v>43</v>
      </c>
      <c r="R25" s="74">
        <f>M134</f>
        <v>42500</v>
      </c>
      <c r="S25" s="129">
        <f>K134</f>
        <v>0</v>
      </c>
      <c r="T25" s="129">
        <f>L134</f>
        <v>42500</v>
      </c>
      <c r="U25" s="75">
        <f>M278</f>
        <v>42500</v>
      </c>
      <c r="V25" s="129">
        <f>K278</f>
        <v>0</v>
      </c>
      <c r="W25" s="129">
        <f>L278</f>
        <v>42500</v>
      </c>
    </row>
    <row r="26" ht="31" customHeight="1" spans="1:23">
      <c r="A26" s="130" t="s">
        <v>26</v>
      </c>
      <c r="B26" s="73">
        <v>14</v>
      </c>
      <c r="C26" s="73" t="s">
        <v>172</v>
      </c>
      <c r="D26" s="73" t="s">
        <v>90</v>
      </c>
      <c r="E26" s="131" t="s">
        <v>91</v>
      </c>
      <c r="F26" s="73" t="s">
        <v>197</v>
      </c>
      <c r="G26" s="73" t="s">
        <v>217</v>
      </c>
      <c r="H26" s="73" t="s">
        <v>210</v>
      </c>
      <c r="I26" s="73" t="s">
        <v>192</v>
      </c>
      <c r="J26" s="73" t="s">
        <v>185</v>
      </c>
      <c r="K26" s="129"/>
      <c r="L26" s="129">
        <v>120000</v>
      </c>
      <c r="M26" s="129">
        <v>120000</v>
      </c>
      <c r="N26" s="20" t="s">
        <v>219</v>
      </c>
      <c r="O26" s="132" t="s">
        <v>220</v>
      </c>
      <c r="Q26" s="84" t="s">
        <v>221</v>
      </c>
      <c r="R26" s="74">
        <v>12000</v>
      </c>
      <c r="S26" s="133"/>
      <c r="T26" s="129">
        <v>12000</v>
      </c>
      <c r="U26" s="75">
        <v>12000</v>
      </c>
      <c r="V26" s="133"/>
      <c r="W26" s="129">
        <v>12000</v>
      </c>
    </row>
    <row r="27" ht="31" customHeight="1" spans="1:23">
      <c r="A27" s="130" t="s">
        <v>26</v>
      </c>
      <c r="B27" s="73">
        <v>15</v>
      </c>
      <c r="C27" s="73" t="s">
        <v>172</v>
      </c>
      <c r="D27" s="73" t="s">
        <v>92</v>
      </c>
      <c r="E27" s="131" t="s">
        <v>93</v>
      </c>
      <c r="F27" s="73" t="s">
        <v>197</v>
      </c>
      <c r="G27" s="73" t="s">
        <v>222</v>
      </c>
      <c r="H27" s="73" t="s">
        <v>222</v>
      </c>
      <c r="I27" s="73" t="s">
        <v>203</v>
      </c>
      <c r="J27" s="73" t="s">
        <v>185</v>
      </c>
      <c r="K27" s="129"/>
      <c r="L27" s="129">
        <v>7920</v>
      </c>
      <c r="M27" s="129">
        <v>7920</v>
      </c>
      <c r="N27" s="20" t="s">
        <v>223</v>
      </c>
      <c r="O27" s="132"/>
      <c r="Q27" s="85" t="s">
        <v>224</v>
      </c>
      <c r="R27" s="74">
        <v>1950</v>
      </c>
      <c r="S27" s="133"/>
      <c r="T27" s="129">
        <v>1950</v>
      </c>
      <c r="U27" s="75">
        <v>2100</v>
      </c>
      <c r="V27" s="133"/>
      <c r="W27" s="129">
        <v>2100</v>
      </c>
    </row>
    <row r="28" ht="31" customHeight="1" spans="1:23">
      <c r="A28" s="130" t="s">
        <v>26</v>
      </c>
      <c r="B28" s="73">
        <v>16</v>
      </c>
      <c r="C28" s="73" t="s">
        <v>172</v>
      </c>
      <c r="D28" s="73" t="s">
        <v>94</v>
      </c>
      <c r="E28" s="131" t="s">
        <v>95</v>
      </c>
      <c r="F28" s="73" t="s">
        <v>197</v>
      </c>
      <c r="G28" s="73" t="s">
        <v>217</v>
      </c>
      <c r="H28" s="73" t="s">
        <v>195</v>
      </c>
      <c r="I28" s="73" t="s">
        <v>192</v>
      </c>
      <c r="J28" s="73" t="s">
        <v>185</v>
      </c>
      <c r="K28" s="129"/>
      <c r="L28" s="129">
        <v>6000</v>
      </c>
      <c r="M28" s="129">
        <v>6000</v>
      </c>
      <c r="N28" s="20" t="s">
        <v>225</v>
      </c>
      <c r="O28" s="132"/>
      <c r="Q28" s="86" t="s">
        <v>226</v>
      </c>
      <c r="R28" s="74">
        <f>SUM(R12:R27)</f>
        <v>812028</v>
      </c>
      <c r="S28" s="129">
        <f>SUM(S12:S25)</f>
        <v>64350</v>
      </c>
      <c r="T28" s="129">
        <f>SUM(T12:T25)</f>
        <v>733728</v>
      </c>
      <c r="U28" s="75">
        <f>SUM(U12:U27)</f>
        <v>862418</v>
      </c>
      <c r="V28" s="129">
        <f>SUM(V12:V25)</f>
        <v>72990</v>
      </c>
      <c r="W28" s="129">
        <f>SUM(W12:W25)</f>
        <v>775328</v>
      </c>
    </row>
    <row r="29" ht="31" customHeight="1" spans="1:23">
      <c r="A29" s="130" t="s">
        <v>26</v>
      </c>
      <c r="B29" s="73">
        <v>17</v>
      </c>
      <c r="C29" s="73" t="s">
        <v>172</v>
      </c>
      <c r="D29" s="73" t="s">
        <v>96</v>
      </c>
      <c r="E29" s="131" t="s">
        <v>97</v>
      </c>
      <c r="F29" s="73" t="s">
        <v>197</v>
      </c>
      <c r="G29" s="73" t="s">
        <v>227</v>
      </c>
      <c r="H29" s="73" t="s">
        <v>198</v>
      </c>
      <c r="I29" s="73" t="s">
        <v>199</v>
      </c>
      <c r="J29" s="73" t="s">
        <v>185</v>
      </c>
      <c r="K29" s="129"/>
      <c r="L29" s="129">
        <v>6000</v>
      </c>
      <c r="M29" s="129">
        <v>6000</v>
      </c>
      <c r="N29" s="20" t="s">
        <v>228</v>
      </c>
      <c r="O29" s="132"/>
    </row>
    <row r="30" ht="31" customHeight="1" spans="1:23">
      <c r="A30" s="134" t="s">
        <v>26</v>
      </c>
      <c r="B30" s="135">
        <v>18</v>
      </c>
      <c r="C30" s="135" t="s">
        <v>172</v>
      </c>
      <c r="D30" s="135" t="s">
        <v>98</v>
      </c>
      <c r="E30" s="136" t="s">
        <v>99</v>
      </c>
      <c r="F30" s="135" t="s">
        <v>197</v>
      </c>
      <c r="G30" s="135" t="s">
        <v>227</v>
      </c>
      <c r="H30" s="135" t="s">
        <v>198</v>
      </c>
      <c r="I30" s="135" t="s">
        <v>199</v>
      </c>
      <c r="J30" s="135" t="s">
        <v>185</v>
      </c>
      <c r="K30" s="137"/>
      <c r="L30" s="137">
        <v>12000</v>
      </c>
      <c r="M30" s="137">
        <v>12000</v>
      </c>
      <c r="N30" s="138" t="s">
        <v>229</v>
      </c>
      <c r="O30" s="139" t="s">
        <v>230</v>
      </c>
    </row>
    <row r="31" ht="31" customHeight="1" spans="1:23">
      <c r="A31" s="130" t="s">
        <v>26</v>
      </c>
      <c r="B31" s="73">
        <v>19</v>
      </c>
      <c r="C31" s="73" t="s">
        <v>172</v>
      </c>
      <c r="D31" s="73" t="s">
        <v>66</v>
      </c>
      <c r="E31" s="131" t="s">
        <v>67</v>
      </c>
      <c r="F31" s="73" t="s">
        <v>189</v>
      </c>
      <c r="G31" s="73" t="s">
        <v>190</v>
      </c>
      <c r="H31" s="73" t="s">
        <v>195</v>
      </c>
      <c r="I31" s="73" t="s">
        <v>192</v>
      </c>
      <c r="J31" s="73" t="s">
        <v>185</v>
      </c>
      <c r="K31" s="129"/>
      <c r="L31" s="129">
        <v>5600</v>
      </c>
      <c r="M31" s="129">
        <v>5600</v>
      </c>
      <c r="N31" s="20" t="s">
        <v>196</v>
      </c>
      <c r="O31" s="132"/>
    </row>
    <row r="32" ht="31" customHeight="1" spans="1:23">
      <c r="A32" s="130" t="s">
        <v>26</v>
      </c>
      <c r="B32" s="73">
        <v>20</v>
      </c>
      <c r="C32" s="73" t="s">
        <v>172</v>
      </c>
      <c r="D32" s="73" t="s">
        <v>64</v>
      </c>
      <c r="E32" s="131" t="s">
        <v>65</v>
      </c>
      <c r="F32" s="73" t="s">
        <v>189</v>
      </c>
      <c r="G32" s="73" t="s">
        <v>190</v>
      </c>
      <c r="H32" s="73" t="s">
        <v>208</v>
      </c>
      <c r="I32" s="73" t="s">
        <v>192</v>
      </c>
      <c r="J32" s="73" t="s">
        <v>184</v>
      </c>
      <c r="K32" s="129">
        <v>3190</v>
      </c>
      <c r="L32" s="129"/>
      <c r="M32" s="129">
        <v>3190</v>
      </c>
      <c r="N32" s="20" t="s">
        <v>193</v>
      </c>
      <c r="O32" s="132" t="s">
        <v>194</v>
      </c>
    </row>
    <row r="33" ht="31" customHeight="1" spans="1:15">
      <c r="A33" s="130" t="s">
        <v>26</v>
      </c>
      <c r="B33" s="73">
        <v>21</v>
      </c>
      <c r="C33" s="73" t="s">
        <v>172</v>
      </c>
      <c r="D33" s="73" t="s">
        <v>100</v>
      </c>
      <c r="E33" s="131" t="s">
        <v>100</v>
      </c>
      <c r="F33" s="73" t="s">
        <v>189</v>
      </c>
      <c r="G33" s="73" t="s">
        <v>190</v>
      </c>
      <c r="H33" s="73" t="s">
        <v>191</v>
      </c>
      <c r="I33" s="73" t="s">
        <v>192</v>
      </c>
      <c r="J33" s="73" t="s">
        <v>184</v>
      </c>
      <c r="K33" s="129">
        <v>5600</v>
      </c>
      <c r="L33" s="129"/>
      <c r="M33" s="129">
        <v>5600</v>
      </c>
      <c r="N33" s="20" t="s">
        <v>196</v>
      </c>
      <c r="O33" s="132" t="s">
        <v>231</v>
      </c>
    </row>
    <row r="34" spans="1:15">
      <c r="A34" s="140" t="s">
        <v>232</v>
      </c>
      <c r="B34" s="116"/>
      <c r="C34" s="116"/>
      <c r="D34" s="116"/>
      <c r="E34" s="116"/>
      <c r="F34" s="116"/>
      <c r="G34" s="116"/>
      <c r="H34" s="116"/>
      <c r="I34" s="116"/>
      <c r="J34" s="115"/>
      <c r="K34" s="129">
        <f>SUM(K13:K33)</f>
        <v>11980</v>
      </c>
      <c r="L34" s="129">
        <f>SUM(L13:L33)</f>
        <v>246660</v>
      </c>
      <c r="M34" s="129">
        <f>SUM(M13:M33)</f>
        <v>258640</v>
      </c>
      <c r="N34" s="141"/>
      <c r="O34" s="142"/>
    </row>
    <row r="35" spans="1:15">
      <c r="A35" s="125" t="s">
        <v>233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5"/>
    </row>
    <row r="36" ht="16" customHeight="1" spans="1:15">
      <c r="A36" s="130" t="s">
        <v>51</v>
      </c>
      <c r="B36" s="73" t="s">
        <v>52</v>
      </c>
      <c r="C36" s="73" t="s">
        <v>178</v>
      </c>
      <c r="D36" s="73" t="s">
        <v>53</v>
      </c>
      <c r="E36" s="131" t="s">
        <v>54</v>
      </c>
      <c r="F36" s="73" t="s">
        <v>179</v>
      </c>
      <c r="G36" s="73" t="s">
        <v>180</v>
      </c>
      <c r="H36" s="73" t="s">
        <v>181</v>
      </c>
      <c r="I36" s="73" t="s">
        <v>182</v>
      </c>
      <c r="J36" s="73" t="s">
        <v>183</v>
      </c>
      <c r="K36" s="129" t="s">
        <v>184</v>
      </c>
      <c r="L36" s="129" t="s">
        <v>185</v>
      </c>
      <c r="M36" s="129" t="s">
        <v>186</v>
      </c>
      <c r="N36" s="20" t="s">
        <v>187</v>
      </c>
      <c r="O36" s="141" t="s">
        <v>188</v>
      </c>
    </row>
    <row r="37" ht="31" customHeight="1" spans="1:15">
      <c r="A37" s="130" t="s">
        <v>27</v>
      </c>
      <c r="B37" s="73">
        <v>1</v>
      </c>
      <c r="C37" s="73" t="s">
        <v>172</v>
      </c>
      <c r="D37" s="73" t="s">
        <v>64</v>
      </c>
      <c r="E37" s="131" t="s">
        <v>65</v>
      </c>
      <c r="F37" s="73" t="s">
        <v>234</v>
      </c>
      <c r="G37" s="73" t="s">
        <v>217</v>
      </c>
      <c r="H37" s="73" t="s">
        <v>191</v>
      </c>
      <c r="I37" s="73" t="s">
        <v>192</v>
      </c>
      <c r="J37" s="73" t="s">
        <v>184</v>
      </c>
      <c r="K37" s="129">
        <v>2770</v>
      </c>
      <c r="L37" s="129"/>
      <c r="M37" s="129">
        <v>2770</v>
      </c>
      <c r="N37" s="20" t="s">
        <v>235</v>
      </c>
      <c r="O37" s="132" t="s">
        <v>194</v>
      </c>
    </row>
    <row r="38" ht="31" customHeight="1" spans="1:15">
      <c r="A38" s="130" t="s">
        <v>27</v>
      </c>
      <c r="B38" s="73">
        <v>2</v>
      </c>
      <c r="C38" s="73" t="s">
        <v>172</v>
      </c>
      <c r="D38" s="73" t="s">
        <v>66</v>
      </c>
      <c r="E38" s="131" t="s">
        <v>67</v>
      </c>
      <c r="F38" s="73" t="s">
        <v>234</v>
      </c>
      <c r="G38" s="73" t="s">
        <v>217</v>
      </c>
      <c r="H38" s="73" t="s">
        <v>195</v>
      </c>
      <c r="I38" s="73" t="s">
        <v>192</v>
      </c>
      <c r="J38" s="73" t="s">
        <v>185</v>
      </c>
      <c r="K38" s="129"/>
      <c r="L38" s="129">
        <v>4800</v>
      </c>
      <c r="M38" s="129">
        <v>4800</v>
      </c>
      <c r="N38" s="20" t="s">
        <v>236</v>
      </c>
      <c r="O38" s="132"/>
    </row>
    <row r="39" ht="46" customHeight="1" spans="1:15">
      <c r="A39" s="130" t="s">
        <v>27</v>
      </c>
      <c r="B39" s="73">
        <v>3</v>
      </c>
      <c r="C39" s="73" t="s">
        <v>172</v>
      </c>
      <c r="D39" s="73" t="s">
        <v>103</v>
      </c>
      <c r="E39" s="131" t="s">
        <v>104</v>
      </c>
      <c r="F39" s="73" t="s">
        <v>234</v>
      </c>
      <c r="G39" s="73" t="s">
        <v>195</v>
      </c>
      <c r="H39" s="73" t="s">
        <v>195</v>
      </c>
      <c r="I39" s="73" t="s">
        <v>203</v>
      </c>
      <c r="J39" s="73" t="s">
        <v>185</v>
      </c>
      <c r="K39" s="129"/>
      <c r="L39" s="129">
        <v>11190</v>
      </c>
      <c r="M39" s="129">
        <v>11190</v>
      </c>
      <c r="N39" s="20" t="s">
        <v>237</v>
      </c>
      <c r="O39" s="132" t="s">
        <v>238</v>
      </c>
    </row>
    <row r="40" ht="31" customHeight="1" spans="1:15">
      <c r="A40" s="130" t="s">
        <v>27</v>
      </c>
      <c r="B40" s="73">
        <v>4</v>
      </c>
      <c r="C40" s="73" t="s">
        <v>172</v>
      </c>
      <c r="D40" s="73" t="s">
        <v>106</v>
      </c>
      <c r="E40" s="131" t="s">
        <v>107</v>
      </c>
      <c r="F40" s="73" t="s">
        <v>234</v>
      </c>
      <c r="G40" s="73" t="s">
        <v>217</v>
      </c>
      <c r="H40" s="73" t="s">
        <v>191</v>
      </c>
      <c r="I40" s="73" t="s">
        <v>192</v>
      </c>
      <c r="J40" s="73" t="s">
        <v>185</v>
      </c>
      <c r="K40" s="129"/>
      <c r="L40" s="129">
        <v>19000</v>
      </c>
      <c r="M40" s="129">
        <v>19000</v>
      </c>
      <c r="N40" s="20" t="s">
        <v>239</v>
      </c>
      <c r="O40" s="132" t="s">
        <v>240</v>
      </c>
    </row>
    <row r="41" ht="31" customHeight="1" spans="1:15">
      <c r="A41" s="130" t="s">
        <v>27</v>
      </c>
      <c r="B41" s="73">
        <v>5</v>
      </c>
      <c r="C41" s="73" t="s">
        <v>172</v>
      </c>
      <c r="D41" s="73" t="s">
        <v>66</v>
      </c>
      <c r="E41" s="131" t="s">
        <v>67</v>
      </c>
      <c r="F41" s="73" t="s">
        <v>234</v>
      </c>
      <c r="G41" s="73" t="s">
        <v>217</v>
      </c>
      <c r="H41" s="73" t="s">
        <v>195</v>
      </c>
      <c r="I41" s="73" t="s">
        <v>192</v>
      </c>
      <c r="J41" s="73" t="s">
        <v>185</v>
      </c>
      <c r="K41" s="129"/>
      <c r="L41" s="129">
        <v>4800</v>
      </c>
      <c r="M41" s="129">
        <v>4800</v>
      </c>
      <c r="N41" s="20" t="s">
        <v>236</v>
      </c>
      <c r="O41" s="132"/>
    </row>
    <row r="42" ht="31" customHeight="1" spans="1:15">
      <c r="A42" s="130" t="s">
        <v>27</v>
      </c>
      <c r="B42" s="73">
        <v>6</v>
      </c>
      <c r="C42" s="73" t="s">
        <v>172</v>
      </c>
      <c r="D42" s="73" t="s">
        <v>64</v>
      </c>
      <c r="E42" s="131" t="s">
        <v>65</v>
      </c>
      <c r="F42" s="73" t="s">
        <v>234</v>
      </c>
      <c r="G42" s="73" t="s">
        <v>217</v>
      </c>
      <c r="H42" s="73" t="s">
        <v>208</v>
      </c>
      <c r="I42" s="73" t="s">
        <v>192</v>
      </c>
      <c r="J42" s="73" t="s">
        <v>184</v>
      </c>
      <c r="K42" s="129">
        <v>2770</v>
      </c>
      <c r="L42" s="129"/>
      <c r="M42" s="129">
        <v>2770</v>
      </c>
      <c r="N42" s="20" t="s">
        <v>235</v>
      </c>
      <c r="O42" s="132" t="s">
        <v>194</v>
      </c>
    </row>
    <row r="43" ht="31" customHeight="1" spans="1:15">
      <c r="A43" s="130" t="s">
        <v>27</v>
      </c>
      <c r="B43" s="73">
        <v>7</v>
      </c>
      <c r="C43" s="73" t="s">
        <v>172</v>
      </c>
      <c r="D43" s="73" t="s">
        <v>100</v>
      </c>
      <c r="E43" s="131" t="s">
        <v>100</v>
      </c>
      <c r="F43" s="73" t="s">
        <v>234</v>
      </c>
      <c r="G43" s="73" t="s">
        <v>217</v>
      </c>
      <c r="H43" s="73" t="s">
        <v>191</v>
      </c>
      <c r="I43" s="73" t="s">
        <v>192</v>
      </c>
      <c r="J43" s="73" t="s">
        <v>184</v>
      </c>
      <c r="K43" s="129">
        <v>4800</v>
      </c>
      <c r="L43" s="129"/>
      <c r="M43" s="129">
        <v>4800</v>
      </c>
      <c r="N43" s="20" t="s">
        <v>236</v>
      </c>
      <c r="O43" s="132" t="s">
        <v>231</v>
      </c>
    </row>
    <row r="44" spans="1:15">
      <c r="A44" s="140" t="s">
        <v>241</v>
      </c>
      <c r="B44" s="116"/>
      <c r="C44" s="116"/>
      <c r="D44" s="116"/>
      <c r="E44" s="116"/>
      <c r="F44" s="116"/>
      <c r="G44" s="116"/>
      <c r="H44" s="116"/>
      <c r="I44" s="116"/>
      <c r="J44" s="115"/>
      <c r="K44" s="129">
        <f>SUM(K37:K43)</f>
        <v>10340</v>
      </c>
      <c r="L44" s="129">
        <f>SUM(L37:L43)</f>
        <v>39790</v>
      </c>
      <c r="M44" s="129">
        <f>SUM(M37:M43)</f>
        <v>50130</v>
      </c>
      <c r="N44" s="141"/>
      <c r="O44" s="142"/>
    </row>
    <row r="45" spans="1:15">
      <c r="A45" s="125" t="s">
        <v>242</v>
      </c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5"/>
    </row>
    <row r="46" ht="16" customHeight="1" spans="1:15">
      <c r="A46" s="130" t="s">
        <v>51</v>
      </c>
      <c r="B46" s="73" t="s">
        <v>52</v>
      </c>
      <c r="C46" s="73" t="s">
        <v>178</v>
      </c>
      <c r="D46" s="73" t="s">
        <v>53</v>
      </c>
      <c r="E46" s="131" t="s">
        <v>54</v>
      </c>
      <c r="F46" s="73" t="s">
        <v>179</v>
      </c>
      <c r="G46" s="73" t="s">
        <v>180</v>
      </c>
      <c r="H46" s="73" t="s">
        <v>181</v>
      </c>
      <c r="I46" s="73" t="s">
        <v>182</v>
      </c>
      <c r="J46" s="73" t="s">
        <v>183</v>
      </c>
      <c r="K46" s="129" t="s">
        <v>184</v>
      </c>
      <c r="L46" s="129" t="s">
        <v>185</v>
      </c>
      <c r="M46" s="129" t="s">
        <v>186</v>
      </c>
      <c r="N46" s="20" t="s">
        <v>187</v>
      </c>
      <c r="O46" s="141" t="s">
        <v>188</v>
      </c>
    </row>
    <row r="47" ht="31" customHeight="1" spans="1:15">
      <c r="A47" s="130" t="s">
        <v>29</v>
      </c>
      <c r="B47" s="73">
        <v>1</v>
      </c>
      <c r="C47" s="73" t="s">
        <v>172</v>
      </c>
      <c r="D47" s="73" t="s">
        <v>64</v>
      </c>
      <c r="E47" s="131" t="s">
        <v>65</v>
      </c>
      <c r="F47" s="73" t="s">
        <v>243</v>
      </c>
      <c r="G47" s="73" t="s">
        <v>244</v>
      </c>
      <c r="H47" s="73" t="s">
        <v>191</v>
      </c>
      <c r="I47" s="73" t="s">
        <v>192</v>
      </c>
      <c r="J47" s="73" t="s">
        <v>184</v>
      </c>
      <c r="K47" s="129">
        <v>1510</v>
      </c>
      <c r="L47" s="129"/>
      <c r="M47" s="129">
        <v>1510</v>
      </c>
      <c r="N47" s="20" t="s">
        <v>245</v>
      </c>
      <c r="O47" s="132" t="s">
        <v>194</v>
      </c>
    </row>
    <row r="48" ht="31" customHeight="1" spans="1:15">
      <c r="A48" s="130" t="s">
        <v>29</v>
      </c>
      <c r="B48" s="73">
        <v>2</v>
      </c>
      <c r="C48" s="73" t="s">
        <v>172</v>
      </c>
      <c r="D48" s="73" t="s">
        <v>66</v>
      </c>
      <c r="E48" s="131" t="s">
        <v>67</v>
      </c>
      <c r="F48" s="73" t="s">
        <v>243</v>
      </c>
      <c r="G48" s="73" t="s">
        <v>244</v>
      </c>
      <c r="H48" s="73" t="s">
        <v>195</v>
      </c>
      <c r="I48" s="73" t="s">
        <v>192</v>
      </c>
      <c r="J48" s="73" t="s">
        <v>185</v>
      </c>
      <c r="K48" s="129"/>
      <c r="L48" s="129">
        <v>2400</v>
      </c>
      <c r="M48" s="129">
        <v>2400</v>
      </c>
      <c r="N48" s="20" t="s">
        <v>246</v>
      </c>
      <c r="O48" s="132"/>
    </row>
    <row r="49" ht="16" customHeight="1" spans="1:15">
      <c r="A49" s="130" t="s">
        <v>29</v>
      </c>
      <c r="B49" s="73">
        <v>3</v>
      </c>
      <c r="C49" s="73" t="s">
        <v>172</v>
      </c>
      <c r="D49" s="73" t="s">
        <v>82</v>
      </c>
      <c r="E49" s="131" t="s">
        <v>83</v>
      </c>
      <c r="F49" s="73" t="s">
        <v>243</v>
      </c>
      <c r="G49" s="73" t="s">
        <v>212</v>
      </c>
      <c r="H49" s="73" t="s">
        <v>212</v>
      </c>
      <c r="I49" s="73" t="s">
        <v>203</v>
      </c>
      <c r="J49" s="73" t="s">
        <v>185</v>
      </c>
      <c r="K49" s="129"/>
      <c r="L49" s="129">
        <v>10500</v>
      </c>
      <c r="M49" s="129">
        <v>10500</v>
      </c>
      <c r="N49" s="20" t="s">
        <v>213</v>
      </c>
      <c r="O49" s="132"/>
    </row>
    <row r="50" ht="31" customHeight="1" spans="1:15">
      <c r="A50" s="130" t="s">
        <v>29</v>
      </c>
      <c r="B50" s="73">
        <v>4</v>
      </c>
      <c r="C50" s="73" t="s">
        <v>172</v>
      </c>
      <c r="D50" s="73" t="s">
        <v>68</v>
      </c>
      <c r="E50" s="131" t="s">
        <v>69</v>
      </c>
      <c r="F50" s="73" t="s">
        <v>243</v>
      </c>
      <c r="G50" s="73"/>
      <c r="H50" s="73" t="s">
        <v>208</v>
      </c>
      <c r="I50" s="73" t="s">
        <v>199</v>
      </c>
      <c r="J50" s="73" t="s">
        <v>185</v>
      </c>
      <c r="K50" s="129"/>
      <c r="L50" s="129">
        <v>3000</v>
      </c>
      <c r="M50" s="129">
        <v>3000</v>
      </c>
      <c r="N50" s="20" t="s">
        <v>247</v>
      </c>
      <c r="O50" s="132" t="s">
        <v>248</v>
      </c>
    </row>
    <row r="51" ht="16" customHeight="1" spans="1:15">
      <c r="A51" s="130" t="s">
        <v>29</v>
      </c>
      <c r="B51" s="73">
        <v>5</v>
      </c>
      <c r="C51" s="73" t="s">
        <v>172</v>
      </c>
      <c r="D51" s="73" t="s">
        <v>84</v>
      </c>
      <c r="E51" s="131" t="s">
        <v>110</v>
      </c>
      <c r="F51" s="73" t="s">
        <v>243</v>
      </c>
      <c r="G51" s="73" t="s">
        <v>202</v>
      </c>
      <c r="H51" s="73" t="s">
        <v>202</v>
      </c>
      <c r="I51" s="73" t="s">
        <v>203</v>
      </c>
      <c r="J51" s="73" t="s">
        <v>185</v>
      </c>
      <c r="K51" s="129"/>
      <c r="L51" s="129">
        <v>12000</v>
      </c>
      <c r="M51" s="129">
        <v>12000</v>
      </c>
      <c r="N51" s="20" t="s">
        <v>249</v>
      </c>
      <c r="O51" s="132"/>
    </row>
    <row r="52" ht="16" customHeight="1" spans="1:15">
      <c r="A52" s="130" t="s">
        <v>29</v>
      </c>
      <c r="B52" s="73">
        <v>6</v>
      </c>
      <c r="C52" s="73" t="s">
        <v>172</v>
      </c>
      <c r="D52" s="73" t="s">
        <v>96</v>
      </c>
      <c r="E52" s="131" t="s">
        <v>97</v>
      </c>
      <c r="F52" s="73" t="s">
        <v>243</v>
      </c>
      <c r="G52" s="73" t="s">
        <v>250</v>
      </c>
      <c r="H52" s="73" t="s">
        <v>208</v>
      </c>
      <c r="I52" s="73" t="s">
        <v>199</v>
      </c>
      <c r="J52" s="73" t="s">
        <v>185</v>
      </c>
      <c r="K52" s="129"/>
      <c r="L52" s="129">
        <v>3000</v>
      </c>
      <c r="M52" s="129">
        <v>3000</v>
      </c>
      <c r="N52" s="20" t="s">
        <v>251</v>
      </c>
      <c r="O52" s="132"/>
    </row>
    <row r="53" ht="31" customHeight="1" spans="1:15">
      <c r="A53" s="134" t="s">
        <v>29</v>
      </c>
      <c r="B53" s="135">
        <v>7</v>
      </c>
      <c r="C53" s="135" t="s">
        <v>172</v>
      </c>
      <c r="D53" s="135" t="s">
        <v>98</v>
      </c>
      <c r="E53" s="136" t="s">
        <v>99</v>
      </c>
      <c r="F53" s="135" t="s">
        <v>243</v>
      </c>
      <c r="G53" s="135" t="s">
        <v>250</v>
      </c>
      <c r="H53" s="135" t="s">
        <v>195</v>
      </c>
      <c r="I53" s="135" t="s">
        <v>199</v>
      </c>
      <c r="J53" s="135" t="s">
        <v>185</v>
      </c>
      <c r="K53" s="137"/>
      <c r="L53" s="137">
        <v>6000</v>
      </c>
      <c r="M53" s="137">
        <v>6000</v>
      </c>
      <c r="N53" s="138" t="s">
        <v>252</v>
      </c>
      <c r="O53" s="139" t="s">
        <v>230</v>
      </c>
    </row>
    <row r="54" ht="46" customHeight="1" spans="1:15">
      <c r="A54" s="130" t="s">
        <v>29</v>
      </c>
      <c r="B54" s="73">
        <v>8</v>
      </c>
      <c r="C54" s="73" t="s">
        <v>172</v>
      </c>
      <c r="D54" s="73" t="s">
        <v>111</v>
      </c>
      <c r="E54" s="131" t="s">
        <v>112</v>
      </c>
      <c r="F54" s="73" t="s">
        <v>243</v>
      </c>
      <c r="G54" s="73" t="s">
        <v>253</v>
      </c>
      <c r="H54" s="73" t="s">
        <v>253</v>
      </c>
      <c r="I54" s="73" t="s">
        <v>203</v>
      </c>
      <c r="J54" s="73" t="s">
        <v>185</v>
      </c>
      <c r="K54" s="129"/>
      <c r="L54" s="129">
        <v>7158</v>
      </c>
      <c r="M54" s="129">
        <v>7158</v>
      </c>
      <c r="N54" s="20" t="s">
        <v>254</v>
      </c>
      <c r="O54" s="132" t="s">
        <v>255</v>
      </c>
    </row>
    <row r="55" ht="31" customHeight="1" spans="1:15">
      <c r="A55" s="130" t="s">
        <v>29</v>
      </c>
      <c r="B55" s="73">
        <v>9</v>
      </c>
      <c r="C55" s="73" t="s">
        <v>172</v>
      </c>
      <c r="D55" s="73" t="s">
        <v>66</v>
      </c>
      <c r="E55" s="131" t="s">
        <v>67</v>
      </c>
      <c r="F55" s="73" t="s">
        <v>243</v>
      </c>
      <c r="G55" s="73" t="s">
        <v>244</v>
      </c>
      <c r="H55" s="73" t="s">
        <v>208</v>
      </c>
      <c r="I55" s="73" t="s">
        <v>192</v>
      </c>
      <c r="J55" s="73" t="s">
        <v>185</v>
      </c>
      <c r="K55" s="129"/>
      <c r="L55" s="129">
        <v>2400</v>
      </c>
      <c r="M55" s="129">
        <v>2400</v>
      </c>
      <c r="N55" s="20" t="s">
        <v>246</v>
      </c>
      <c r="O55" s="132"/>
    </row>
    <row r="56" ht="31" customHeight="1" spans="1:15">
      <c r="A56" s="130" t="s">
        <v>29</v>
      </c>
      <c r="B56" s="73">
        <v>10</v>
      </c>
      <c r="C56" s="73" t="s">
        <v>172</v>
      </c>
      <c r="D56" s="73" t="s">
        <v>64</v>
      </c>
      <c r="E56" s="131" t="s">
        <v>65</v>
      </c>
      <c r="F56" s="73" t="s">
        <v>243</v>
      </c>
      <c r="G56" s="73" t="s">
        <v>244</v>
      </c>
      <c r="H56" s="73" t="s">
        <v>202</v>
      </c>
      <c r="I56" s="73" t="s">
        <v>192</v>
      </c>
      <c r="J56" s="73" t="s">
        <v>184</v>
      </c>
      <c r="K56" s="129">
        <v>1510</v>
      </c>
      <c r="L56" s="129"/>
      <c r="M56" s="129">
        <v>1510</v>
      </c>
      <c r="N56" s="20" t="s">
        <v>245</v>
      </c>
      <c r="O56" s="132" t="s">
        <v>194</v>
      </c>
    </row>
    <row r="57" ht="31" customHeight="1" spans="1:15">
      <c r="A57" s="130" t="s">
        <v>29</v>
      </c>
      <c r="B57" s="73">
        <v>11</v>
      </c>
      <c r="C57" s="73" t="s">
        <v>172</v>
      </c>
      <c r="D57" s="73" t="s">
        <v>100</v>
      </c>
      <c r="E57" s="131" t="s">
        <v>100</v>
      </c>
      <c r="F57" s="73" t="s">
        <v>243</v>
      </c>
      <c r="G57" s="73" t="s">
        <v>244</v>
      </c>
      <c r="H57" s="73" t="s">
        <v>195</v>
      </c>
      <c r="I57" s="73" t="s">
        <v>192</v>
      </c>
      <c r="J57" s="73" t="s">
        <v>184</v>
      </c>
      <c r="K57" s="129">
        <v>2400</v>
      </c>
      <c r="L57" s="129"/>
      <c r="M57" s="129">
        <v>2400</v>
      </c>
      <c r="N57" s="20" t="s">
        <v>246</v>
      </c>
      <c r="O57" s="132" t="s">
        <v>231</v>
      </c>
    </row>
    <row r="58" spans="1:15">
      <c r="A58" s="140" t="s">
        <v>256</v>
      </c>
      <c r="B58" s="116"/>
      <c r="C58" s="116"/>
      <c r="D58" s="116"/>
      <c r="E58" s="116"/>
      <c r="F58" s="116"/>
      <c r="G58" s="116"/>
      <c r="H58" s="116"/>
      <c r="I58" s="116"/>
      <c r="J58" s="115"/>
      <c r="K58" s="129">
        <f>SUM(K47:K57)</f>
        <v>5420</v>
      </c>
      <c r="L58" s="129">
        <f>SUM(L47:L57)</f>
        <v>46458</v>
      </c>
      <c r="M58" s="129">
        <f>SUM(M47:M57)</f>
        <v>51878</v>
      </c>
      <c r="N58" s="141"/>
      <c r="O58" s="142"/>
    </row>
    <row r="59" spans="1:15">
      <c r="A59" s="125" t="s">
        <v>257</v>
      </c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5"/>
    </row>
    <row r="60" ht="16" customHeight="1" spans="1:15">
      <c r="A60" s="130" t="s">
        <v>51</v>
      </c>
      <c r="B60" s="73" t="s">
        <v>52</v>
      </c>
      <c r="C60" s="73" t="s">
        <v>178</v>
      </c>
      <c r="D60" s="73" t="s">
        <v>53</v>
      </c>
      <c r="E60" s="131" t="s">
        <v>54</v>
      </c>
      <c r="F60" s="73" t="s">
        <v>179</v>
      </c>
      <c r="G60" s="73" t="s">
        <v>180</v>
      </c>
      <c r="H60" s="73" t="s">
        <v>181</v>
      </c>
      <c r="I60" s="73" t="s">
        <v>182</v>
      </c>
      <c r="J60" s="73" t="s">
        <v>183</v>
      </c>
      <c r="K60" s="129" t="s">
        <v>184</v>
      </c>
      <c r="L60" s="129" t="s">
        <v>185</v>
      </c>
      <c r="M60" s="129" t="s">
        <v>186</v>
      </c>
      <c r="N60" s="20" t="s">
        <v>187</v>
      </c>
      <c r="O60" s="141" t="s">
        <v>188</v>
      </c>
    </row>
    <row r="61" ht="31" customHeight="1" spans="1:15">
      <c r="A61" s="130" t="s">
        <v>30</v>
      </c>
      <c r="B61" s="73">
        <v>1</v>
      </c>
      <c r="C61" s="73" t="s">
        <v>172</v>
      </c>
      <c r="D61" s="73" t="s">
        <v>64</v>
      </c>
      <c r="E61" s="131" t="s">
        <v>65</v>
      </c>
      <c r="F61" s="73" t="s">
        <v>258</v>
      </c>
      <c r="G61" s="73" t="s">
        <v>244</v>
      </c>
      <c r="H61" s="73" t="s">
        <v>191</v>
      </c>
      <c r="I61" s="73" t="s">
        <v>192</v>
      </c>
      <c r="J61" s="73" t="s">
        <v>184</v>
      </c>
      <c r="K61" s="129">
        <v>1510</v>
      </c>
      <c r="L61" s="129"/>
      <c r="M61" s="129">
        <v>1510</v>
      </c>
      <c r="N61" s="20" t="s">
        <v>245</v>
      </c>
      <c r="O61" s="132" t="s">
        <v>194</v>
      </c>
    </row>
    <row r="62" ht="31" customHeight="1" spans="1:15">
      <c r="A62" s="130" t="s">
        <v>30</v>
      </c>
      <c r="B62" s="73">
        <v>2</v>
      </c>
      <c r="C62" s="73" t="s">
        <v>172</v>
      </c>
      <c r="D62" s="73" t="s">
        <v>66</v>
      </c>
      <c r="E62" s="131" t="s">
        <v>67</v>
      </c>
      <c r="F62" s="73" t="s">
        <v>258</v>
      </c>
      <c r="G62" s="73" t="s">
        <v>244</v>
      </c>
      <c r="H62" s="73" t="s">
        <v>195</v>
      </c>
      <c r="I62" s="73" t="s">
        <v>192</v>
      </c>
      <c r="J62" s="73" t="s">
        <v>185</v>
      </c>
      <c r="K62" s="129"/>
      <c r="L62" s="129">
        <v>2400</v>
      </c>
      <c r="M62" s="129">
        <v>2400</v>
      </c>
      <c r="N62" s="20" t="s">
        <v>246</v>
      </c>
      <c r="O62" s="132"/>
    </row>
    <row r="63" ht="16" customHeight="1" spans="1:15">
      <c r="A63" s="130" t="s">
        <v>30</v>
      </c>
      <c r="B63" s="73">
        <v>3</v>
      </c>
      <c r="C63" s="73" t="s">
        <v>172</v>
      </c>
      <c r="D63" s="73" t="s">
        <v>114</v>
      </c>
      <c r="E63" s="131" t="s">
        <v>115</v>
      </c>
      <c r="F63" s="73" t="s">
        <v>258</v>
      </c>
      <c r="G63" s="73" t="s">
        <v>259</v>
      </c>
      <c r="H63" s="73" t="s">
        <v>259</v>
      </c>
      <c r="I63" s="73" t="s">
        <v>203</v>
      </c>
      <c r="J63" s="73" t="s">
        <v>185</v>
      </c>
      <c r="K63" s="129"/>
      <c r="L63" s="129">
        <v>40320</v>
      </c>
      <c r="M63" s="129">
        <v>40320</v>
      </c>
      <c r="N63" s="20" t="s">
        <v>260</v>
      </c>
      <c r="O63" s="132"/>
    </row>
    <row r="64" ht="31" customHeight="1" spans="1:15">
      <c r="A64" s="130" t="s">
        <v>30</v>
      </c>
      <c r="B64" s="73">
        <v>4</v>
      </c>
      <c r="C64" s="73" t="s">
        <v>172</v>
      </c>
      <c r="D64" s="73" t="s">
        <v>66</v>
      </c>
      <c r="E64" s="131" t="s">
        <v>67</v>
      </c>
      <c r="F64" s="73" t="s">
        <v>258</v>
      </c>
      <c r="G64" s="73" t="s">
        <v>244</v>
      </c>
      <c r="H64" s="73" t="s">
        <v>208</v>
      </c>
      <c r="I64" s="73" t="s">
        <v>192</v>
      </c>
      <c r="J64" s="73" t="s">
        <v>185</v>
      </c>
      <c r="K64" s="129"/>
      <c r="L64" s="129">
        <v>2400</v>
      </c>
      <c r="M64" s="129">
        <v>2400</v>
      </c>
      <c r="N64" s="20" t="s">
        <v>246</v>
      </c>
      <c r="O64" s="132"/>
    </row>
    <row r="65" ht="31" customHeight="1" spans="1:15">
      <c r="A65" s="130" t="s">
        <v>30</v>
      </c>
      <c r="B65" s="73">
        <v>5</v>
      </c>
      <c r="C65" s="73" t="s">
        <v>172</v>
      </c>
      <c r="D65" s="73" t="s">
        <v>64</v>
      </c>
      <c r="E65" s="131" t="s">
        <v>65</v>
      </c>
      <c r="F65" s="73" t="s">
        <v>258</v>
      </c>
      <c r="G65" s="73" t="s">
        <v>244</v>
      </c>
      <c r="H65" s="73" t="s">
        <v>202</v>
      </c>
      <c r="I65" s="73" t="s">
        <v>192</v>
      </c>
      <c r="J65" s="73" t="s">
        <v>184</v>
      </c>
      <c r="K65" s="129">
        <v>1510</v>
      </c>
      <c r="L65" s="129"/>
      <c r="M65" s="129">
        <v>1510</v>
      </c>
      <c r="N65" s="20" t="s">
        <v>245</v>
      </c>
      <c r="O65" s="132" t="s">
        <v>194</v>
      </c>
    </row>
    <row r="66" ht="31" customHeight="1" spans="1:15">
      <c r="A66" s="130" t="s">
        <v>30</v>
      </c>
      <c r="B66" s="73">
        <v>6</v>
      </c>
      <c r="C66" s="73" t="s">
        <v>172</v>
      </c>
      <c r="D66" s="73" t="s">
        <v>100</v>
      </c>
      <c r="E66" s="131" t="s">
        <v>100</v>
      </c>
      <c r="F66" s="73" t="s">
        <v>258</v>
      </c>
      <c r="G66" s="73" t="s">
        <v>244</v>
      </c>
      <c r="H66" s="73" t="s">
        <v>195</v>
      </c>
      <c r="I66" s="73" t="s">
        <v>192</v>
      </c>
      <c r="J66" s="73" t="s">
        <v>184</v>
      </c>
      <c r="K66" s="129">
        <v>2400</v>
      </c>
      <c r="L66" s="129"/>
      <c r="M66" s="129">
        <v>2400</v>
      </c>
      <c r="N66" s="20" t="s">
        <v>246</v>
      </c>
      <c r="O66" s="132" t="s">
        <v>231</v>
      </c>
    </row>
    <row r="67" spans="1:15">
      <c r="A67" s="140" t="s">
        <v>261</v>
      </c>
      <c r="B67" s="116"/>
      <c r="C67" s="116"/>
      <c r="D67" s="116"/>
      <c r="E67" s="116"/>
      <c r="F67" s="116"/>
      <c r="G67" s="116"/>
      <c r="H67" s="116"/>
      <c r="I67" s="116"/>
      <c r="J67" s="115"/>
      <c r="K67" s="129">
        <f>SUM(K61:K66)</f>
        <v>5420</v>
      </c>
      <c r="L67" s="129">
        <f>SUM(L61:L66)</f>
        <v>45120</v>
      </c>
      <c r="M67" s="129">
        <f>SUM(M61:M66)</f>
        <v>50540</v>
      </c>
      <c r="N67" s="141"/>
      <c r="O67" s="142"/>
    </row>
    <row r="68" spans="1:15">
      <c r="A68" s="125" t="s">
        <v>262</v>
      </c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5"/>
    </row>
    <row r="69" ht="16" customHeight="1" spans="1:15">
      <c r="A69" s="130" t="s">
        <v>51</v>
      </c>
      <c r="B69" s="73" t="s">
        <v>52</v>
      </c>
      <c r="C69" s="73" t="s">
        <v>178</v>
      </c>
      <c r="D69" s="73" t="s">
        <v>53</v>
      </c>
      <c r="E69" s="131" t="s">
        <v>54</v>
      </c>
      <c r="F69" s="73" t="s">
        <v>179</v>
      </c>
      <c r="G69" s="73" t="s">
        <v>180</v>
      </c>
      <c r="H69" s="73" t="s">
        <v>181</v>
      </c>
      <c r="I69" s="73" t="s">
        <v>182</v>
      </c>
      <c r="J69" s="73" t="s">
        <v>183</v>
      </c>
      <c r="K69" s="129" t="s">
        <v>184</v>
      </c>
      <c r="L69" s="129" t="s">
        <v>185</v>
      </c>
      <c r="M69" s="129" t="s">
        <v>186</v>
      </c>
      <c r="N69" s="20" t="s">
        <v>187</v>
      </c>
      <c r="O69" s="141" t="s">
        <v>188</v>
      </c>
    </row>
    <row r="70" ht="31" customHeight="1" spans="1:15">
      <c r="A70" s="130" t="s">
        <v>31</v>
      </c>
      <c r="B70" s="73">
        <v>1</v>
      </c>
      <c r="C70" s="73" t="s">
        <v>172</v>
      </c>
      <c r="D70" s="73" t="s">
        <v>64</v>
      </c>
      <c r="E70" s="131" t="s">
        <v>65</v>
      </c>
      <c r="F70" s="73" t="s">
        <v>263</v>
      </c>
      <c r="G70" s="73" t="s">
        <v>244</v>
      </c>
      <c r="H70" s="73" t="s">
        <v>191</v>
      </c>
      <c r="I70" s="73" t="s">
        <v>192</v>
      </c>
      <c r="J70" s="73" t="s">
        <v>184</v>
      </c>
      <c r="K70" s="129">
        <v>1510</v>
      </c>
      <c r="L70" s="129"/>
      <c r="M70" s="129">
        <v>1510</v>
      </c>
      <c r="N70" s="20" t="s">
        <v>245</v>
      </c>
      <c r="O70" s="132" t="s">
        <v>194</v>
      </c>
    </row>
    <row r="71" ht="31" customHeight="1" spans="1:15">
      <c r="A71" s="130" t="s">
        <v>31</v>
      </c>
      <c r="B71" s="73">
        <v>2</v>
      </c>
      <c r="C71" s="73" t="s">
        <v>172</v>
      </c>
      <c r="D71" s="73" t="s">
        <v>66</v>
      </c>
      <c r="E71" s="131" t="s">
        <v>67</v>
      </c>
      <c r="F71" s="73" t="s">
        <v>263</v>
      </c>
      <c r="G71" s="73" t="s">
        <v>244</v>
      </c>
      <c r="H71" s="73" t="s">
        <v>195</v>
      </c>
      <c r="I71" s="73" t="s">
        <v>192</v>
      </c>
      <c r="J71" s="73" t="s">
        <v>185</v>
      </c>
      <c r="K71" s="129"/>
      <c r="L71" s="129">
        <v>2400</v>
      </c>
      <c r="M71" s="129">
        <v>2400</v>
      </c>
      <c r="N71" s="20" t="s">
        <v>246</v>
      </c>
      <c r="O71" s="132"/>
    </row>
    <row r="72" ht="16" customHeight="1" spans="1:15">
      <c r="A72" s="130" t="s">
        <v>31</v>
      </c>
      <c r="B72" s="73">
        <v>3</v>
      </c>
      <c r="C72" s="73" t="s">
        <v>172</v>
      </c>
      <c r="D72" s="73" t="s">
        <v>117</v>
      </c>
      <c r="E72" s="131" t="s">
        <v>118</v>
      </c>
      <c r="F72" s="73" t="s">
        <v>263</v>
      </c>
      <c r="G72" s="73" t="s">
        <v>264</v>
      </c>
      <c r="H72" s="73" t="s">
        <v>264</v>
      </c>
      <c r="I72" s="73" t="s">
        <v>203</v>
      </c>
      <c r="J72" s="73" t="s">
        <v>185</v>
      </c>
      <c r="K72" s="129"/>
      <c r="L72" s="129">
        <v>104400</v>
      </c>
      <c r="M72" s="129">
        <v>104400</v>
      </c>
      <c r="N72" s="20" t="s">
        <v>265</v>
      </c>
      <c r="O72" s="132"/>
    </row>
    <row r="73" ht="31" customHeight="1" spans="1:15">
      <c r="A73" s="130" t="s">
        <v>31</v>
      </c>
      <c r="B73" s="73">
        <v>4</v>
      </c>
      <c r="C73" s="73" t="s">
        <v>172</v>
      </c>
      <c r="D73" s="73" t="s">
        <v>66</v>
      </c>
      <c r="E73" s="131" t="s">
        <v>67</v>
      </c>
      <c r="F73" s="73" t="s">
        <v>263</v>
      </c>
      <c r="G73" s="73" t="s">
        <v>244</v>
      </c>
      <c r="H73" s="73" t="s">
        <v>208</v>
      </c>
      <c r="I73" s="73" t="s">
        <v>192</v>
      </c>
      <c r="J73" s="73" t="s">
        <v>185</v>
      </c>
      <c r="K73" s="129"/>
      <c r="L73" s="129">
        <v>2400</v>
      </c>
      <c r="M73" s="129">
        <v>2400</v>
      </c>
      <c r="N73" s="20" t="s">
        <v>246</v>
      </c>
      <c r="O73" s="132"/>
    </row>
    <row r="74" ht="31" customHeight="1" spans="1:15">
      <c r="A74" s="130" t="s">
        <v>31</v>
      </c>
      <c r="B74" s="73">
        <v>5</v>
      </c>
      <c r="C74" s="73" t="s">
        <v>172</v>
      </c>
      <c r="D74" s="73" t="s">
        <v>64</v>
      </c>
      <c r="E74" s="131" t="s">
        <v>65</v>
      </c>
      <c r="F74" s="73" t="s">
        <v>263</v>
      </c>
      <c r="G74" s="73" t="s">
        <v>244</v>
      </c>
      <c r="H74" s="73" t="s">
        <v>202</v>
      </c>
      <c r="I74" s="73" t="s">
        <v>192</v>
      </c>
      <c r="J74" s="73" t="s">
        <v>184</v>
      </c>
      <c r="K74" s="129">
        <v>1510</v>
      </c>
      <c r="L74" s="129"/>
      <c r="M74" s="129">
        <v>1510</v>
      </c>
      <c r="N74" s="20" t="s">
        <v>245</v>
      </c>
      <c r="O74" s="132" t="s">
        <v>194</v>
      </c>
    </row>
    <row r="75" ht="31" customHeight="1" spans="1:15">
      <c r="A75" s="130" t="s">
        <v>31</v>
      </c>
      <c r="B75" s="73">
        <v>6</v>
      </c>
      <c r="C75" s="73" t="s">
        <v>172</v>
      </c>
      <c r="D75" s="73" t="s">
        <v>100</v>
      </c>
      <c r="E75" s="131" t="s">
        <v>100</v>
      </c>
      <c r="F75" s="73" t="s">
        <v>263</v>
      </c>
      <c r="G75" s="73" t="s">
        <v>244</v>
      </c>
      <c r="H75" s="73" t="s">
        <v>195</v>
      </c>
      <c r="I75" s="73" t="s">
        <v>192</v>
      </c>
      <c r="J75" s="73" t="s">
        <v>184</v>
      </c>
      <c r="K75" s="129">
        <v>2400</v>
      </c>
      <c r="L75" s="129"/>
      <c r="M75" s="129">
        <v>2400</v>
      </c>
      <c r="N75" s="20" t="s">
        <v>246</v>
      </c>
      <c r="O75" s="132" t="s">
        <v>231</v>
      </c>
    </row>
    <row r="76" spans="1:15">
      <c r="A76" s="140" t="s">
        <v>266</v>
      </c>
      <c r="B76" s="116"/>
      <c r="C76" s="116"/>
      <c r="D76" s="116"/>
      <c r="E76" s="116"/>
      <c r="F76" s="116"/>
      <c r="G76" s="116"/>
      <c r="H76" s="116"/>
      <c r="I76" s="116"/>
      <c r="J76" s="115"/>
      <c r="K76" s="129">
        <f>SUM(K70:K75)</f>
        <v>5420</v>
      </c>
      <c r="L76" s="129">
        <f>SUM(L70:L75)</f>
        <v>109200</v>
      </c>
      <c r="M76" s="129">
        <f>SUM(M70:M75)</f>
        <v>114620</v>
      </c>
      <c r="N76" s="141"/>
      <c r="O76" s="142"/>
    </row>
    <row r="77" spans="1:15">
      <c r="A77" s="125" t="s">
        <v>267</v>
      </c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5"/>
    </row>
    <row r="78" ht="16" customHeight="1" spans="1:15">
      <c r="A78" s="130" t="s">
        <v>51</v>
      </c>
      <c r="B78" s="73" t="s">
        <v>52</v>
      </c>
      <c r="C78" s="73" t="s">
        <v>178</v>
      </c>
      <c r="D78" s="73" t="s">
        <v>53</v>
      </c>
      <c r="E78" s="131" t="s">
        <v>54</v>
      </c>
      <c r="F78" s="73" t="s">
        <v>179</v>
      </c>
      <c r="G78" s="73" t="s">
        <v>180</v>
      </c>
      <c r="H78" s="73" t="s">
        <v>181</v>
      </c>
      <c r="I78" s="73" t="s">
        <v>182</v>
      </c>
      <c r="J78" s="73" t="s">
        <v>183</v>
      </c>
      <c r="K78" s="129" t="s">
        <v>184</v>
      </c>
      <c r="L78" s="129" t="s">
        <v>185</v>
      </c>
      <c r="M78" s="129" t="s">
        <v>186</v>
      </c>
      <c r="N78" s="20" t="s">
        <v>187</v>
      </c>
      <c r="O78" s="141" t="s">
        <v>188</v>
      </c>
    </row>
    <row r="79" ht="31" customHeight="1" spans="1:15">
      <c r="A79" s="130" t="s">
        <v>32</v>
      </c>
      <c r="B79" s="73">
        <v>1</v>
      </c>
      <c r="C79" s="73" t="s">
        <v>172</v>
      </c>
      <c r="D79" s="73" t="s">
        <v>66</v>
      </c>
      <c r="E79" s="131" t="s">
        <v>67</v>
      </c>
      <c r="F79" s="73" t="s">
        <v>268</v>
      </c>
      <c r="G79" s="73" t="s">
        <v>269</v>
      </c>
      <c r="H79" s="73" t="s">
        <v>195</v>
      </c>
      <c r="I79" s="73" t="s">
        <v>192</v>
      </c>
      <c r="J79" s="73" t="s">
        <v>185</v>
      </c>
      <c r="K79" s="129"/>
      <c r="L79" s="129">
        <v>2400</v>
      </c>
      <c r="M79" s="129">
        <v>2400</v>
      </c>
      <c r="N79" s="20" t="s">
        <v>270</v>
      </c>
      <c r="O79" s="132"/>
    </row>
    <row r="80" ht="16" customHeight="1" spans="1:15">
      <c r="A80" s="130" t="s">
        <v>32</v>
      </c>
      <c r="B80" s="73">
        <v>2</v>
      </c>
      <c r="C80" s="73" t="s">
        <v>172</v>
      </c>
      <c r="D80" s="73" t="s">
        <v>120</v>
      </c>
      <c r="E80" s="131" t="s">
        <v>121</v>
      </c>
      <c r="F80" s="73" t="s">
        <v>268</v>
      </c>
      <c r="G80" s="73" t="s">
        <v>271</v>
      </c>
      <c r="H80" s="73" t="s">
        <v>271</v>
      </c>
      <c r="I80" s="73" t="s">
        <v>203</v>
      </c>
      <c r="J80" s="73" t="s">
        <v>185</v>
      </c>
      <c r="K80" s="129"/>
      <c r="L80" s="129">
        <v>50850</v>
      </c>
      <c r="M80" s="129">
        <v>50850</v>
      </c>
      <c r="N80" s="20" t="s">
        <v>272</v>
      </c>
      <c r="O80" s="132"/>
    </row>
    <row r="81" ht="31" customHeight="1" spans="1:15">
      <c r="A81" s="130" t="s">
        <v>32</v>
      </c>
      <c r="B81" s="73">
        <v>3</v>
      </c>
      <c r="C81" s="73" t="s">
        <v>172</v>
      </c>
      <c r="D81" s="73" t="s">
        <v>66</v>
      </c>
      <c r="E81" s="131" t="s">
        <v>67</v>
      </c>
      <c r="F81" s="73" t="s">
        <v>268</v>
      </c>
      <c r="G81" s="73" t="s">
        <v>269</v>
      </c>
      <c r="H81" s="73" t="s">
        <v>208</v>
      </c>
      <c r="I81" s="73" t="s">
        <v>192</v>
      </c>
      <c r="J81" s="73" t="s">
        <v>185</v>
      </c>
      <c r="K81" s="129"/>
      <c r="L81" s="129">
        <v>2400</v>
      </c>
      <c r="M81" s="129">
        <v>2400</v>
      </c>
      <c r="N81" s="20" t="s">
        <v>270</v>
      </c>
      <c r="O81" s="132"/>
    </row>
    <row r="82" ht="31" customHeight="1" spans="1:15">
      <c r="A82" s="130" t="s">
        <v>32</v>
      </c>
      <c r="B82" s="73">
        <v>4</v>
      </c>
      <c r="C82" s="73" t="s">
        <v>172</v>
      </c>
      <c r="D82" s="73" t="s">
        <v>100</v>
      </c>
      <c r="E82" s="131" t="s">
        <v>100</v>
      </c>
      <c r="F82" s="73" t="s">
        <v>268</v>
      </c>
      <c r="G82" s="73" t="s">
        <v>269</v>
      </c>
      <c r="H82" s="73" t="s">
        <v>195</v>
      </c>
      <c r="I82" s="73" t="s">
        <v>192</v>
      </c>
      <c r="J82" s="73" t="s">
        <v>184</v>
      </c>
      <c r="K82" s="129">
        <v>3200</v>
      </c>
      <c r="L82" s="129"/>
      <c r="M82" s="129">
        <v>3200</v>
      </c>
      <c r="N82" s="20" t="s">
        <v>273</v>
      </c>
      <c r="O82" s="132" t="s">
        <v>231</v>
      </c>
    </row>
    <row r="83" ht="46" customHeight="1" spans="1:15">
      <c r="A83" s="130" t="s">
        <v>32</v>
      </c>
      <c r="B83" s="73">
        <v>5</v>
      </c>
      <c r="C83" s="73" t="s">
        <v>172</v>
      </c>
      <c r="D83" s="73" t="s">
        <v>123</v>
      </c>
      <c r="E83" s="131" t="s">
        <v>123</v>
      </c>
      <c r="F83" s="73" t="s">
        <v>268</v>
      </c>
      <c r="G83" s="73" t="s">
        <v>274</v>
      </c>
      <c r="H83" s="73" t="s">
        <v>275</v>
      </c>
      <c r="I83" s="73" t="s">
        <v>192</v>
      </c>
      <c r="J83" s="73" t="s">
        <v>185</v>
      </c>
      <c r="K83" s="129"/>
      <c r="L83" s="129">
        <v>21450</v>
      </c>
      <c r="M83" s="129">
        <v>21450</v>
      </c>
      <c r="N83" s="20" t="s">
        <v>276</v>
      </c>
      <c r="O83" s="132" t="s">
        <v>277</v>
      </c>
    </row>
    <row r="84" spans="1:15">
      <c r="A84" s="140" t="s">
        <v>278</v>
      </c>
      <c r="B84" s="116"/>
      <c r="C84" s="116"/>
      <c r="D84" s="116"/>
      <c r="E84" s="116"/>
      <c r="F84" s="116"/>
      <c r="G84" s="116"/>
      <c r="H84" s="116"/>
      <c r="I84" s="116"/>
      <c r="J84" s="115"/>
      <c r="K84" s="129">
        <f>SUM(K79:K83)</f>
        <v>3200</v>
      </c>
      <c r="L84" s="129">
        <f>SUM(L79:L83)</f>
        <v>77100</v>
      </c>
      <c r="M84" s="129">
        <f>SUM(M79:M83)</f>
        <v>80300</v>
      </c>
      <c r="N84" s="141"/>
      <c r="O84" s="142"/>
    </row>
    <row r="85" spans="1:15">
      <c r="A85" s="125" t="s">
        <v>279</v>
      </c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5"/>
    </row>
    <row r="86" ht="16" customHeight="1" spans="1:15">
      <c r="A86" s="130" t="s">
        <v>51</v>
      </c>
      <c r="B86" s="73" t="s">
        <v>52</v>
      </c>
      <c r="C86" s="73" t="s">
        <v>178</v>
      </c>
      <c r="D86" s="73" t="s">
        <v>53</v>
      </c>
      <c r="E86" s="131" t="s">
        <v>54</v>
      </c>
      <c r="F86" s="73" t="s">
        <v>179</v>
      </c>
      <c r="G86" s="73" t="s">
        <v>180</v>
      </c>
      <c r="H86" s="73" t="s">
        <v>181</v>
      </c>
      <c r="I86" s="73" t="s">
        <v>182</v>
      </c>
      <c r="J86" s="73" t="s">
        <v>183</v>
      </c>
      <c r="K86" s="129" t="s">
        <v>184</v>
      </c>
      <c r="L86" s="129" t="s">
        <v>185</v>
      </c>
      <c r="M86" s="129" t="s">
        <v>186</v>
      </c>
      <c r="N86" s="20" t="s">
        <v>187</v>
      </c>
      <c r="O86" s="141" t="s">
        <v>188</v>
      </c>
    </row>
    <row r="87" ht="31" customHeight="1" spans="1:15">
      <c r="A87" s="130" t="s">
        <v>34</v>
      </c>
      <c r="B87" s="73">
        <v>1</v>
      </c>
      <c r="C87" s="73" t="s">
        <v>172</v>
      </c>
      <c r="D87" s="73" t="s">
        <v>66</v>
      </c>
      <c r="E87" s="131" t="s">
        <v>67</v>
      </c>
      <c r="F87" s="73" t="s">
        <v>280</v>
      </c>
      <c r="G87" s="73" t="s">
        <v>244</v>
      </c>
      <c r="H87" s="73" t="s">
        <v>195</v>
      </c>
      <c r="I87" s="73" t="s">
        <v>192</v>
      </c>
      <c r="J87" s="73" t="s">
        <v>185</v>
      </c>
      <c r="K87" s="129"/>
      <c r="L87" s="129">
        <v>2400</v>
      </c>
      <c r="M87" s="129">
        <v>2400</v>
      </c>
      <c r="N87" s="20" t="s">
        <v>246</v>
      </c>
      <c r="O87" s="132"/>
    </row>
    <row r="88" ht="16" customHeight="1" spans="1:15">
      <c r="A88" s="130" t="s">
        <v>34</v>
      </c>
      <c r="B88" s="73">
        <v>2</v>
      </c>
      <c r="C88" s="73" t="s">
        <v>172</v>
      </c>
      <c r="D88" s="73" t="s">
        <v>125</v>
      </c>
      <c r="E88" s="131" t="s">
        <v>126</v>
      </c>
      <c r="F88" s="73" t="s">
        <v>280</v>
      </c>
      <c r="G88" s="73" t="s">
        <v>207</v>
      </c>
      <c r="H88" s="73" t="s">
        <v>208</v>
      </c>
      <c r="I88" s="73" t="s">
        <v>199</v>
      </c>
      <c r="J88" s="73" t="s">
        <v>185</v>
      </c>
      <c r="K88" s="129"/>
      <c r="L88" s="129">
        <v>5000</v>
      </c>
      <c r="M88" s="129">
        <v>5000</v>
      </c>
      <c r="N88" s="20" t="s">
        <v>209</v>
      </c>
      <c r="O88" s="132"/>
    </row>
    <row r="89" ht="31" customHeight="1" spans="1:15">
      <c r="A89" s="130" t="s">
        <v>34</v>
      </c>
      <c r="B89" s="73">
        <v>3</v>
      </c>
      <c r="C89" s="73" t="s">
        <v>172</v>
      </c>
      <c r="D89" s="73" t="s">
        <v>66</v>
      </c>
      <c r="E89" s="131" t="s">
        <v>67</v>
      </c>
      <c r="F89" s="73" t="s">
        <v>280</v>
      </c>
      <c r="G89" s="73" t="s">
        <v>244</v>
      </c>
      <c r="H89" s="73" t="s">
        <v>208</v>
      </c>
      <c r="I89" s="73" t="s">
        <v>192</v>
      </c>
      <c r="J89" s="73" t="s">
        <v>185</v>
      </c>
      <c r="K89" s="129"/>
      <c r="L89" s="129">
        <v>2400</v>
      </c>
      <c r="M89" s="129">
        <v>2400</v>
      </c>
      <c r="N89" s="20" t="s">
        <v>246</v>
      </c>
      <c r="O89" s="132"/>
    </row>
    <row r="90" ht="31" customHeight="1" spans="1:15">
      <c r="A90" s="130" t="s">
        <v>34</v>
      </c>
      <c r="B90" s="73">
        <v>4</v>
      </c>
      <c r="C90" s="73" t="s">
        <v>172</v>
      </c>
      <c r="D90" s="73" t="s">
        <v>100</v>
      </c>
      <c r="E90" s="131" t="s">
        <v>100</v>
      </c>
      <c r="F90" s="73" t="s">
        <v>280</v>
      </c>
      <c r="G90" s="73" t="s">
        <v>244</v>
      </c>
      <c r="H90" s="73" t="s">
        <v>195</v>
      </c>
      <c r="I90" s="73" t="s">
        <v>192</v>
      </c>
      <c r="J90" s="73" t="s">
        <v>184</v>
      </c>
      <c r="K90" s="129">
        <v>2400</v>
      </c>
      <c r="L90" s="129"/>
      <c r="M90" s="129">
        <v>2400</v>
      </c>
      <c r="N90" s="20" t="s">
        <v>246</v>
      </c>
      <c r="O90" s="132" t="s">
        <v>231</v>
      </c>
    </row>
    <row r="91" spans="1:15">
      <c r="A91" s="140" t="s">
        <v>281</v>
      </c>
      <c r="B91" s="116"/>
      <c r="C91" s="116"/>
      <c r="D91" s="116"/>
      <c r="E91" s="116"/>
      <c r="F91" s="116"/>
      <c r="G91" s="116"/>
      <c r="H91" s="116"/>
      <c r="I91" s="116"/>
      <c r="J91" s="115"/>
      <c r="K91" s="129">
        <f>SUM(K87:K90)</f>
        <v>2400</v>
      </c>
      <c r="L91" s="129">
        <f>SUM(L87:L90)</f>
        <v>9800</v>
      </c>
      <c r="M91" s="129">
        <f>SUM(M87:M90)</f>
        <v>12200</v>
      </c>
      <c r="N91" s="141"/>
      <c r="O91" s="142"/>
    </row>
    <row r="92" spans="1:15">
      <c r="A92" s="125" t="s">
        <v>282</v>
      </c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5"/>
    </row>
    <row r="93" ht="16" customHeight="1" spans="1:15">
      <c r="A93" s="130" t="s">
        <v>51</v>
      </c>
      <c r="B93" s="73" t="s">
        <v>52</v>
      </c>
      <c r="C93" s="73" t="s">
        <v>178</v>
      </c>
      <c r="D93" s="73" t="s">
        <v>53</v>
      </c>
      <c r="E93" s="131" t="s">
        <v>54</v>
      </c>
      <c r="F93" s="73" t="s">
        <v>179</v>
      </c>
      <c r="G93" s="73" t="s">
        <v>180</v>
      </c>
      <c r="H93" s="73" t="s">
        <v>181</v>
      </c>
      <c r="I93" s="73" t="s">
        <v>182</v>
      </c>
      <c r="J93" s="73" t="s">
        <v>183</v>
      </c>
      <c r="K93" s="129" t="s">
        <v>184</v>
      </c>
      <c r="L93" s="129" t="s">
        <v>185</v>
      </c>
      <c r="M93" s="129" t="s">
        <v>186</v>
      </c>
      <c r="N93" s="20" t="s">
        <v>187</v>
      </c>
      <c r="O93" s="141" t="s">
        <v>188</v>
      </c>
    </row>
    <row r="94" ht="31" customHeight="1" spans="1:15">
      <c r="A94" s="130" t="s">
        <v>36</v>
      </c>
      <c r="B94" s="73">
        <v>1</v>
      </c>
      <c r="C94" s="73" t="s">
        <v>172</v>
      </c>
      <c r="D94" s="73" t="s">
        <v>64</v>
      </c>
      <c r="E94" s="131" t="s">
        <v>65</v>
      </c>
      <c r="F94" s="73" t="s">
        <v>283</v>
      </c>
      <c r="G94" s="73" t="s">
        <v>244</v>
      </c>
      <c r="H94" s="73" t="s">
        <v>191</v>
      </c>
      <c r="I94" s="73" t="s">
        <v>192</v>
      </c>
      <c r="J94" s="73" t="s">
        <v>184</v>
      </c>
      <c r="K94" s="129">
        <v>1510</v>
      </c>
      <c r="L94" s="129"/>
      <c r="M94" s="129">
        <v>1510</v>
      </c>
      <c r="N94" s="20" t="s">
        <v>245</v>
      </c>
      <c r="O94" s="132" t="s">
        <v>194</v>
      </c>
    </row>
    <row r="95" ht="31" customHeight="1" spans="1:15">
      <c r="A95" s="130" t="s">
        <v>36</v>
      </c>
      <c r="B95" s="73">
        <v>2</v>
      </c>
      <c r="C95" s="73" t="s">
        <v>172</v>
      </c>
      <c r="D95" s="73" t="s">
        <v>66</v>
      </c>
      <c r="E95" s="131" t="s">
        <v>67</v>
      </c>
      <c r="F95" s="73" t="s">
        <v>283</v>
      </c>
      <c r="G95" s="73" t="s">
        <v>244</v>
      </c>
      <c r="H95" s="73" t="s">
        <v>195</v>
      </c>
      <c r="I95" s="73" t="s">
        <v>192</v>
      </c>
      <c r="J95" s="73" t="s">
        <v>185</v>
      </c>
      <c r="K95" s="129"/>
      <c r="L95" s="129">
        <v>2400</v>
      </c>
      <c r="M95" s="129">
        <v>2400</v>
      </c>
      <c r="N95" s="20" t="s">
        <v>246</v>
      </c>
      <c r="O95" s="132"/>
    </row>
    <row r="96" ht="16" customHeight="1" spans="1:15">
      <c r="A96" s="130" t="s">
        <v>36</v>
      </c>
      <c r="B96" s="73">
        <v>3</v>
      </c>
      <c r="C96" s="73" t="s">
        <v>172</v>
      </c>
      <c r="D96" s="73" t="s">
        <v>128</v>
      </c>
      <c r="E96" s="131" t="s">
        <v>129</v>
      </c>
      <c r="F96" s="73" t="s">
        <v>283</v>
      </c>
      <c r="G96" s="73" t="s">
        <v>284</v>
      </c>
      <c r="H96" s="73" t="s">
        <v>284</v>
      </c>
      <c r="I96" s="73" t="s">
        <v>203</v>
      </c>
      <c r="J96" s="73" t="s">
        <v>185</v>
      </c>
      <c r="K96" s="129"/>
      <c r="L96" s="129">
        <v>23000</v>
      </c>
      <c r="M96" s="129">
        <v>23000</v>
      </c>
      <c r="N96" s="20" t="s">
        <v>285</v>
      </c>
      <c r="O96" s="132"/>
    </row>
    <row r="97" ht="31" customHeight="1" spans="1:15">
      <c r="A97" s="130" t="s">
        <v>36</v>
      </c>
      <c r="B97" s="73">
        <v>4</v>
      </c>
      <c r="C97" s="73" t="s">
        <v>172</v>
      </c>
      <c r="D97" s="73" t="s">
        <v>66</v>
      </c>
      <c r="E97" s="131" t="s">
        <v>67</v>
      </c>
      <c r="F97" s="73" t="s">
        <v>283</v>
      </c>
      <c r="G97" s="73" t="s">
        <v>244</v>
      </c>
      <c r="H97" s="73" t="s">
        <v>208</v>
      </c>
      <c r="I97" s="73" t="s">
        <v>192</v>
      </c>
      <c r="J97" s="73" t="s">
        <v>185</v>
      </c>
      <c r="K97" s="129"/>
      <c r="L97" s="129">
        <v>2400</v>
      </c>
      <c r="M97" s="129">
        <v>2400</v>
      </c>
      <c r="N97" s="20" t="s">
        <v>246</v>
      </c>
      <c r="O97" s="132"/>
    </row>
    <row r="98" ht="31" customHeight="1" spans="1:15">
      <c r="A98" s="130" t="s">
        <v>36</v>
      </c>
      <c r="B98" s="73">
        <v>5</v>
      </c>
      <c r="C98" s="73" t="s">
        <v>172</v>
      </c>
      <c r="D98" s="73" t="s">
        <v>64</v>
      </c>
      <c r="E98" s="131" t="s">
        <v>65</v>
      </c>
      <c r="F98" s="73" t="s">
        <v>283</v>
      </c>
      <c r="G98" s="73" t="s">
        <v>244</v>
      </c>
      <c r="H98" s="73" t="s">
        <v>202</v>
      </c>
      <c r="I98" s="73" t="s">
        <v>192</v>
      </c>
      <c r="J98" s="73" t="s">
        <v>184</v>
      </c>
      <c r="K98" s="129">
        <v>1510</v>
      </c>
      <c r="L98" s="129"/>
      <c r="M98" s="129">
        <v>1510</v>
      </c>
      <c r="N98" s="20" t="s">
        <v>245</v>
      </c>
      <c r="O98" s="132" t="s">
        <v>194</v>
      </c>
    </row>
    <row r="99" ht="31" customHeight="1" spans="1:15">
      <c r="A99" s="130" t="s">
        <v>36</v>
      </c>
      <c r="B99" s="73">
        <v>6</v>
      </c>
      <c r="C99" s="73" t="s">
        <v>172</v>
      </c>
      <c r="D99" s="73" t="s">
        <v>100</v>
      </c>
      <c r="E99" s="131" t="s">
        <v>100</v>
      </c>
      <c r="F99" s="73" t="s">
        <v>283</v>
      </c>
      <c r="G99" s="73" t="s">
        <v>244</v>
      </c>
      <c r="H99" s="73" t="s">
        <v>195</v>
      </c>
      <c r="I99" s="73" t="s">
        <v>192</v>
      </c>
      <c r="J99" s="73" t="s">
        <v>184</v>
      </c>
      <c r="K99" s="129">
        <v>2400</v>
      </c>
      <c r="L99" s="129"/>
      <c r="M99" s="129">
        <v>2400</v>
      </c>
      <c r="N99" s="20" t="s">
        <v>246</v>
      </c>
      <c r="O99" s="132" t="s">
        <v>231</v>
      </c>
    </row>
    <row r="100" spans="1:15">
      <c r="A100" s="140" t="s">
        <v>286</v>
      </c>
      <c r="B100" s="116"/>
      <c r="C100" s="116"/>
      <c r="D100" s="116"/>
      <c r="E100" s="116"/>
      <c r="F100" s="116"/>
      <c r="G100" s="116"/>
      <c r="H100" s="116"/>
      <c r="I100" s="116"/>
      <c r="J100" s="115"/>
      <c r="K100" s="129">
        <f>SUM(K94:K99)</f>
        <v>5420</v>
      </c>
      <c r="L100" s="129">
        <f>SUM(L94:L99)</f>
        <v>27800</v>
      </c>
      <c r="M100" s="129">
        <f>SUM(M94:M99)</f>
        <v>33220</v>
      </c>
      <c r="N100" s="141"/>
      <c r="O100" s="142"/>
    </row>
    <row r="101" spans="1:15">
      <c r="A101" s="125" t="s">
        <v>287</v>
      </c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5"/>
    </row>
    <row r="102" ht="16" customHeight="1" spans="1:15">
      <c r="A102" s="130" t="s">
        <v>51</v>
      </c>
      <c r="B102" s="73" t="s">
        <v>52</v>
      </c>
      <c r="C102" s="73" t="s">
        <v>178</v>
      </c>
      <c r="D102" s="73" t="s">
        <v>53</v>
      </c>
      <c r="E102" s="131" t="s">
        <v>54</v>
      </c>
      <c r="F102" s="73" t="s">
        <v>179</v>
      </c>
      <c r="G102" s="73" t="s">
        <v>180</v>
      </c>
      <c r="H102" s="73" t="s">
        <v>181</v>
      </c>
      <c r="I102" s="73" t="s">
        <v>182</v>
      </c>
      <c r="J102" s="73" t="s">
        <v>183</v>
      </c>
      <c r="K102" s="129" t="s">
        <v>184</v>
      </c>
      <c r="L102" s="129" t="s">
        <v>185</v>
      </c>
      <c r="M102" s="129" t="s">
        <v>186</v>
      </c>
      <c r="N102" s="20" t="s">
        <v>187</v>
      </c>
      <c r="O102" s="141" t="s">
        <v>188</v>
      </c>
    </row>
    <row r="103" ht="31" customHeight="1" spans="1:15">
      <c r="A103" s="130" t="s">
        <v>37</v>
      </c>
      <c r="B103" s="73">
        <v>1</v>
      </c>
      <c r="C103" s="73" t="s">
        <v>172</v>
      </c>
      <c r="D103" s="73" t="s">
        <v>64</v>
      </c>
      <c r="E103" s="131" t="s">
        <v>65</v>
      </c>
      <c r="F103" s="73" t="s">
        <v>288</v>
      </c>
      <c r="G103" s="73" t="s">
        <v>244</v>
      </c>
      <c r="H103" s="73" t="s">
        <v>191</v>
      </c>
      <c r="I103" s="73" t="s">
        <v>192</v>
      </c>
      <c r="J103" s="73" t="s">
        <v>184</v>
      </c>
      <c r="K103" s="129">
        <v>1510</v>
      </c>
      <c r="L103" s="129"/>
      <c r="M103" s="129">
        <v>1510</v>
      </c>
      <c r="N103" s="20" t="s">
        <v>245</v>
      </c>
      <c r="O103" s="132" t="s">
        <v>194</v>
      </c>
    </row>
    <row r="104" ht="31" customHeight="1" spans="1:15">
      <c r="A104" s="130" t="s">
        <v>37</v>
      </c>
      <c r="B104" s="73">
        <v>2</v>
      </c>
      <c r="C104" s="73" t="s">
        <v>172</v>
      </c>
      <c r="D104" s="73" t="s">
        <v>66</v>
      </c>
      <c r="E104" s="131" t="s">
        <v>67</v>
      </c>
      <c r="F104" s="73" t="s">
        <v>288</v>
      </c>
      <c r="G104" s="73" t="s">
        <v>244</v>
      </c>
      <c r="H104" s="73" t="s">
        <v>195</v>
      </c>
      <c r="I104" s="73" t="s">
        <v>192</v>
      </c>
      <c r="J104" s="73" t="s">
        <v>185</v>
      </c>
      <c r="K104" s="129"/>
      <c r="L104" s="129">
        <v>2400</v>
      </c>
      <c r="M104" s="129">
        <v>2400</v>
      </c>
      <c r="N104" s="20" t="s">
        <v>246</v>
      </c>
      <c r="O104" s="132"/>
    </row>
    <row r="105" ht="31" customHeight="1" spans="1:15">
      <c r="A105" s="130" t="s">
        <v>37</v>
      </c>
      <c r="B105" s="73">
        <v>3</v>
      </c>
      <c r="C105" s="73" t="s">
        <v>172</v>
      </c>
      <c r="D105" s="73" t="s">
        <v>131</v>
      </c>
      <c r="E105" s="131" t="s">
        <v>132</v>
      </c>
      <c r="F105" s="73" t="s">
        <v>288</v>
      </c>
      <c r="G105" s="73" t="s">
        <v>284</v>
      </c>
      <c r="H105" s="73" t="s">
        <v>284</v>
      </c>
      <c r="I105" s="73" t="s">
        <v>203</v>
      </c>
      <c r="J105" s="73" t="s">
        <v>185</v>
      </c>
      <c r="K105" s="129"/>
      <c r="L105" s="129">
        <v>23000</v>
      </c>
      <c r="M105" s="129">
        <v>23000</v>
      </c>
      <c r="N105" s="20" t="s">
        <v>285</v>
      </c>
      <c r="O105" s="132"/>
    </row>
    <row r="106" ht="31" customHeight="1" spans="1:15">
      <c r="A106" s="130" t="s">
        <v>37</v>
      </c>
      <c r="B106" s="73">
        <v>4</v>
      </c>
      <c r="C106" s="73" t="s">
        <v>172</v>
      </c>
      <c r="D106" s="73" t="s">
        <v>66</v>
      </c>
      <c r="E106" s="131" t="s">
        <v>67</v>
      </c>
      <c r="F106" s="73" t="s">
        <v>288</v>
      </c>
      <c r="G106" s="73" t="s">
        <v>244</v>
      </c>
      <c r="H106" s="73" t="s">
        <v>208</v>
      </c>
      <c r="I106" s="73" t="s">
        <v>192</v>
      </c>
      <c r="J106" s="73" t="s">
        <v>185</v>
      </c>
      <c r="K106" s="129"/>
      <c r="L106" s="129">
        <v>2400</v>
      </c>
      <c r="M106" s="129">
        <v>2400</v>
      </c>
      <c r="N106" s="20" t="s">
        <v>246</v>
      </c>
      <c r="O106" s="132"/>
    </row>
    <row r="107" ht="31" customHeight="1" spans="1:15">
      <c r="A107" s="130" t="s">
        <v>37</v>
      </c>
      <c r="B107" s="73">
        <v>5</v>
      </c>
      <c r="C107" s="73" t="s">
        <v>172</v>
      </c>
      <c r="D107" s="73" t="s">
        <v>100</v>
      </c>
      <c r="E107" s="131" t="s">
        <v>100</v>
      </c>
      <c r="F107" s="73" t="s">
        <v>288</v>
      </c>
      <c r="G107" s="73" t="s">
        <v>244</v>
      </c>
      <c r="H107" s="73" t="s">
        <v>195</v>
      </c>
      <c r="I107" s="73" t="s">
        <v>192</v>
      </c>
      <c r="J107" s="73" t="s">
        <v>184</v>
      </c>
      <c r="K107" s="129">
        <v>2400</v>
      </c>
      <c r="L107" s="129"/>
      <c r="M107" s="129">
        <v>2400</v>
      </c>
      <c r="N107" s="20" t="s">
        <v>246</v>
      </c>
      <c r="O107" s="132" t="s">
        <v>231</v>
      </c>
    </row>
    <row r="108" spans="1:15">
      <c r="A108" s="140" t="s">
        <v>289</v>
      </c>
      <c r="B108" s="116"/>
      <c r="C108" s="116"/>
      <c r="D108" s="116"/>
      <c r="E108" s="116"/>
      <c r="F108" s="116"/>
      <c r="G108" s="116"/>
      <c r="H108" s="116"/>
      <c r="I108" s="116"/>
      <c r="J108" s="115"/>
      <c r="K108" s="129">
        <f>SUM(K103:K107)</f>
        <v>3910</v>
      </c>
      <c r="L108" s="129">
        <f>SUM(L103:L107)</f>
        <v>27800</v>
      </c>
      <c r="M108" s="129">
        <f>SUM(M103:M107)</f>
        <v>31710</v>
      </c>
      <c r="N108" s="141"/>
      <c r="O108" s="142"/>
    </row>
    <row r="109" spans="1:15">
      <c r="A109" s="125" t="s">
        <v>290</v>
      </c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5"/>
    </row>
    <row r="110" ht="16" customHeight="1" spans="1:15">
      <c r="A110" s="130" t="s">
        <v>51</v>
      </c>
      <c r="B110" s="73" t="s">
        <v>52</v>
      </c>
      <c r="C110" s="73" t="s">
        <v>178</v>
      </c>
      <c r="D110" s="73" t="s">
        <v>53</v>
      </c>
      <c r="E110" s="131" t="s">
        <v>54</v>
      </c>
      <c r="F110" s="73" t="s">
        <v>179</v>
      </c>
      <c r="G110" s="73" t="s">
        <v>180</v>
      </c>
      <c r="H110" s="73" t="s">
        <v>181</v>
      </c>
      <c r="I110" s="73" t="s">
        <v>182</v>
      </c>
      <c r="J110" s="73" t="s">
        <v>183</v>
      </c>
      <c r="K110" s="129" t="s">
        <v>184</v>
      </c>
      <c r="L110" s="129" t="s">
        <v>185</v>
      </c>
      <c r="M110" s="129" t="s">
        <v>186</v>
      </c>
      <c r="N110" s="20" t="s">
        <v>187</v>
      </c>
      <c r="O110" s="141" t="s">
        <v>188</v>
      </c>
    </row>
    <row r="111" ht="31" customHeight="1" spans="1:15">
      <c r="A111" s="130" t="s">
        <v>38</v>
      </c>
      <c r="B111" s="73">
        <v>1</v>
      </c>
      <c r="C111" s="73" t="s">
        <v>172</v>
      </c>
      <c r="D111" s="73" t="s">
        <v>64</v>
      </c>
      <c r="E111" s="131" t="s">
        <v>65</v>
      </c>
      <c r="F111" s="73" t="s">
        <v>291</v>
      </c>
      <c r="G111" s="73" t="s">
        <v>244</v>
      </c>
      <c r="H111" s="73" t="s">
        <v>191</v>
      </c>
      <c r="I111" s="73" t="s">
        <v>192</v>
      </c>
      <c r="J111" s="73" t="s">
        <v>184</v>
      </c>
      <c r="K111" s="129">
        <v>1510</v>
      </c>
      <c r="L111" s="129"/>
      <c r="M111" s="129">
        <v>1510</v>
      </c>
      <c r="N111" s="20" t="s">
        <v>245</v>
      </c>
      <c r="O111" s="132" t="s">
        <v>194</v>
      </c>
    </row>
    <row r="112" ht="31" customHeight="1" spans="1:15">
      <c r="A112" s="130" t="s">
        <v>38</v>
      </c>
      <c r="B112" s="73">
        <v>2</v>
      </c>
      <c r="C112" s="73" t="s">
        <v>172</v>
      </c>
      <c r="D112" s="73" t="s">
        <v>66</v>
      </c>
      <c r="E112" s="131" t="s">
        <v>67</v>
      </c>
      <c r="F112" s="73" t="s">
        <v>291</v>
      </c>
      <c r="G112" s="73" t="s">
        <v>244</v>
      </c>
      <c r="H112" s="73" t="s">
        <v>195</v>
      </c>
      <c r="I112" s="73" t="s">
        <v>192</v>
      </c>
      <c r="J112" s="73" t="s">
        <v>185</v>
      </c>
      <c r="K112" s="129"/>
      <c r="L112" s="129">
        <v>2400</v>
      </c>
      <c r="M112" s="129">
        <v>2400</v>
      </c>
      <c r="N112" s="20" t="s">
        <v>246</v>
      </c>
      <c r="O112" s="132"/>
    </row>
    <row r="113" ht="31" customHeight="1" spans="1:15">
      <c r="A113" s="130" t="s">
        <v>38</v>
      </c>
      <c r="B113" s="73">
        <v>3</v>
      </c>
      <c r="C113" s="73" t="s">
        <v>172</v>
      </c>
      <c r="D113" s="73" t="s">
        <v>131</v>
      </c>
      <c r="E113" s="131" t="s">
        <v>134</v>
      </c>
      <c r="F113" s="73" t="s">
        <v>291</v>
      </c>
      <c r="G113" s="73" t="s">
        <v>292</v>
      </c>
      <c r="H113" s="73" t="s">
        <v>292</v>
      </c>
      <c r="I113" s="73" t="s">
        <v>203</v>
      </c>
      <c r="J113" s="73" t="s">
        <v>185</v>
      </c>
      <c r="K113" s="129"/>
      <c r="L113" s="129">
        <v>25300</v>
      </c>
      <c r="M113" s="129">
        <v>25300</v>
      </c>
      <c r="N113" s="20" t="s">
        <v>293</v>
      </c>
      <c r="O113" s="132"/>
    </row>
    <row r="114" ht="31" customHeight="1" spans="1:15">
      <c r="A114" s="130" t="s">
        <v>38</v>
      </c>
      <c r="B114" s="73">
        <v>4</v>
      </c>
      <c r="C114" s="73" t="s">
        <v>172</v>
      </c>
      <c r="D114" s="73" t="s">
        <v>66</v>
      </c>
      <c r="E114" s="131" t="s">
        <v>67</v>
      </c>
      <c r="F114" s="73" t="s">
        <v>291</v>
      </c>
      <c r="G114" s="73" t="s">
        <v>244</v>
      </c>
      <c r="H114" s="73" t="s">
        <v>208</v>
      </c>
      <c r="I114" s="73" t="s">
        <v>192</v>
      </c>
      <c r="J114" s="73" t="s">
        <v>185</v>
      </c>
      <c r="K114" s="129"/>
      <c r="L114" s="129">
        <v>2400</v>
      </c>
      <c r="M114" s="129">
        <v>2400</v>
      </c>
      <c r="N114" s="20" t="s">
        <v>246</v>
      </c>
      <c r="O114" s="132"/>
    </row>
    <row r="115" ht="31" customHeight="1" spans="1:15">
      <c r="A115" s="130" t="s">
        <v>38</v>
      </c>
      <c r="B115" s="73">
        <v>5</v>
      </c>
      <c r="C115" s="73" t="s">
        <v>172</v>
      </c>
      <c r="D115" s="73" t="s">
        <v>64</v>
      </c>
      <c r="E115" s="131" t="s">
        <v>65</v>
      </c>
      <c r="F115" s="73" t="s">
        <v>291</v>
      </c>
      <c r="G115" s="73" t="s">
        <v>244</v>
      </c>
      <c r="H115" s="73" t="s">
        <v>202</v>
      </c>
      <c r="I115" s="73" t="s">
        <v>192</v>
      </c>
      <c r="J115" s="73" t="s">
        <v>184</v>
      </c>
      <c r="K115" s="129">
        <v>1510</v>
      </c>
      <c r="L115" s="129"/>
      <c r="M115" s="129">
        <v>1510</v>
      </c>
      <c r="N115" s="20" t="s">
        <v>245</v>
      </c>
      <c r="O115" s="132" t="s">
        <v>194</v>
      </c>
    </row>
    <row r="116" ht="31" customHeight="1" spans="1:15">
      <c r="A116" s="130" t="s">
        <v>38</v>
      </c>
      <c r="B116" s="73">
        <v>6</v>
      </c>
      <c r="C116" s="73" t="s">
        <v>172</v>
      </c>
      <c r="D116" s="73" t="s">
        <v>100</v>
      </c>
      <c r="E116" s="131" t="s">
        <v>100</v>
      </c>
      <c r="F116" s="73" t="s">
        <v>291</v>
      </c>
      <c r="G116" s="73" t="s">
        <v>244</v>
      </c>
      <c r="H116" s="73" t="s">
        <v>195</v>
      </c>
      <c r="I116" s="73" t="s">
        <v>192</v>
      </c>
      <c r="J116" s="73" t="s">
        <v>184</v>
      </c>
      <c r="K116" s="129">
        <v>2400</v>
      </c>
      <c r="L116" s="129"/>
      <c r="M116" s="129">
        <v>2400</v>
      </c>
      <c r="N116" s="20" t="s">
        <v>246</v>
      </c>
      <c r="O116" s="132" t="s">
        <v>231</v>
      </c>
    </row>
    <row r="117" spans="1:15">
      <c r="A117" s="140" t="s">
        <v>294</v>
      </c>
      <c r="B117" s="116"/>
      <c r="C117" s="116"/>
      <c r="D117" s="116"/>
      <c r="E117" s="116"/>
      <c r="F117" s="116"/>
      <c r="G117" s="116"/>
      <c r="H117" s="116"/>
      <c r="I117" s="116"/>
      <c r="J117" s="115"/>
      <c r="K117" s="129">
        <f>SUM(K111:K116)</f>
        <v>5420</v>
      </c>
      <c r="L117" s="129">
        <f>SUM(L111:L116)</f>
        <v>30100</v>
      </c>
      <c r="M117" s="129">
        <f>SUM(M111:M116)</f>
        <v>35520</v>
      </c>
      <c r="N117" s="141"/>
      <c r="O117" s="142"/>
    </row>
    <row r="118" spans="1:15">
      <c r="A118" s="125" t="s">
        <v>295</v>
      </c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5"/>
    </row>
    <row r="119" ht="16" customHeight="1" spans="1:15">
      <c r="A119" s="130" t="s">
        <v>51</v>
      </c>
      <c r="B119" s="73" t="s">
        <v>52</v>
      </c>
      <c r="C119" s="73" t="s">
        <v>178</v>
      </c>
      <c r="D119" s="73" t="s">
        <v>53</v>
      </c>
      <c r="E119" s="131" t="s">
        <v>54</v>
      </c>
      <c r="F119" s="73" t="s">
        <v>179</v>
      </c>
      <c r="G119" s="73" t="s">
        <v>180</v>
      </c>
      <c r="H119" s="73" t="s">
        <v>181</v>
      </c>
      <c r="I119" s="73" t="s">
        <v>182</v>
      </c>
      <c r="J119" s="73" t="s">
        <v>183</v>
      </c>
      <c r="K119" s="129" t="s">
        <v>184</v>
      </c>
      <c r="L119" s="129" t="s">
        <v>185</v>
      </c>
      <c r="M119" s="129" t="s">
        <v>186</v>
      </c>
      <c r="N119" s="20" t="s">
        <v>187</v>
      </c>
      <c r="O119" s="141" t="s">
        <v>188</v>
      </c>
    </row>
    <row r="120" ht="31" customHeight="1" spans="1:15">
      <c r="A120" s="130" t="s">
        <v>39</v>
      </c>
      <c r="B120" s="73">
        <v>1</v>
      </c>
      <c r="C120" s="73" t="s">
        <v>172</v>
      </c>
      <c r="D120" s="73" t="s">
        <v>64</v>
      </c>
      <c r="E120" s="131" t="s">
        <v>65</v>
      </c>
      <c r="F120" s="73" t="s">
        <v>296</v>
      </c>
      <c r="G120" s="73" t="s">
        <v>244</v>
      </c>
      <c r="H120" s="73" t="s">
        <v>191</v>
      </c>
      <c r="I120" s="73" t="s">
        <v>192</v>
      </c>
      <c r="J120" s="73" t="s">
        <v>184</v>
      </c>
      <c r="K120" s="129">
        <v>1510</v>
      </c>
      <c r="L120" s="129"/>
      <c r="M120" s="129">
        <v>1510</v>
      </c>
      <c r="N120" s="20" t="s">
        <v>245</v>
      </c>
      <c r="O120" s="132" t="s">
        <v>194</v>
      </c>
    </row>
    <row r="121" ht="31" customHeight="1" spans="1:15">
      <c r="A121" s="130" t="s">
        <v>39</v>
      </c>
      <c r="B121" s="73">
        <v>2</v>
      </c>
      <c r="C121" s="73" t="s">
        <v>172</v>
      </c>
      <c r="D121" s="73" t="s">
        <v>66</v>
      </c>
      <c r="E121" s="131" t="s">
        <v>67</v>
      </c>
      <c r="F121" s="73" t="s">
        <v>296</v>
      </c>
      <c r="G121" s="73" t="s">
        <v>244</v>
      </c>
      <c r="H121" s="73" t="s">
        <v>195</v>
      </c>
      <c r="I121" s="73" t="s">
        <v>192</v>
      </c>
      <c r="J121" s="73" t="s">
        <v>185</v>
      </c>
      <c r="K121" s="129"/>
      <c r="L121" s="129">
        <v>2400</v>
      </c>
      <c r="M121" s="129">
        <v>2400</v>
      </c>
      <c r="N121" s="20" t="s">
        <v>246</v>
      </c>
      <c r="O121" s="132"/>
    </row>
    <row r="122" ht="16" customHeight="1" spans="1:15">
      <c r="A122" s="130" t="s">
        <v>39</v>
      </c>
      <c r="B122" s="73">
        <v>3</v>
      </c>
      <c r="C122" s="73" t="s">
        <v>172</v>
      </c>
      <c r="D122" s="73" t="s">
        <v>137</v>
      </c>
      <c r="E122" s="131" t="s">
        <v>297</v>
      </c>
      <c r="F122" s="73" t="s">
        <v>296</v>
      </c>
      <c r="G122" s="73" t="s">
        <v>198</v>
      </c>
      <c r="H122" s="73" t="s">
        <v>198</v>
      </c>
      <c r="I122" s="73" t="s">
        <v>203</v>
      </c>
      <c r="J122" s="73" t="s">
        <v>185</v>
      </c>
      <c r="K122" s="129"/>
      <c r="L122" s="129">
        <v>6600</v>
      </c>
      <c r="M122" s="129">
        <v>6600</v>
      </c>
      <c r="N122" s="20" t="s">
        <v>298</v>
      </c>
      <c r="O122" s="132"/>
    </row>
    <row r="123" ht="31" customHeight="1" spans="1:15">
      <c r="A123" s="130" t="s">
        <v>39</v>
      </c>
      <c r="B123" s="73">
        <v>4</v>
      </c>
      <c r="C123" s="73" t="s">
        <v>172</v>
      </c>
      <c r="D123" s="73" t="s">
        <v>66</v>
      </c>
      <c r="E123" s="131" t="s">
        <v>67</v>
      </c>
      <c r="F123" s="73" t="s">
        <v>296</v>
      </c>
      <c r="G123" s="73" t="s">
        <v>244</v>
      </c>
      <c r="H123" s="73" t="s">
        <v>208</v>
      </c>
      <c r="I123" s="73" t="s">
        <v>192</v>
      </c>
      <c r="J123" s="73" t="s">
        <v>185</v>
      </c>
      <c r="K123" s="129"/>
      <c r="L123" s="129">
        <v>2400</v>
      </c>
      <c r="M123" s="129">
        <v>2400</v>
      </c>
      <c r="N123" s="20" t="s">
        <v>246</v>
      </c>
      <c r="O123" s="132"/>
    </row>
    <row r="124" ht="31" customHeight="1" spans="1:15">
      <c r="A124" s="130" t="s">
        <v>39</v>
      </c>
      <c r="B124" s="73">
        <v>5</v>
      </c>
      <c r="C124" s="73" t="s">
        <v>172</v>
      </c>
      <c r="D124" s="73" t="s">
        <v>64</v>
      </c>
      <c r="E124" s="131" t="s">
        <v>65</v>
      </c>
      <c r="F124" s="73" t="s">
        <v>296</v>
      </c>
      <c r="G124" s="73" t="s">
        <v>244</v>
      </c>
      <c r="H124" s="73" t="s">
        <v>202</v>
      </c>
      <c r="I124" s="73" t="s">
        <v>192</v>
      </c>
      <c r="J124" s="73" t="s">
        <v>184</v>
      </c>
      <c r="K124" s="129">
        <v>1510</v>
      </c>
      <c r="L124" s="129"/>
      <c r="M124" s="129">
        <v>1510</v>
      </c>
      <c r="N124" s="20" t="s">
        <v>245</v>
      </c>
      <c r="O124" s="132" t="s">
        <v>194</v>
      </c>
    </row>
    <row r="125" ht="31.75" customHeight="1" spans="1:15">
      <c r="A125" s="143" t="s">
        <v>39</v>
      </c>
      <c r="B125" s="144">
        <v>6</v>
      </c>
      <c r="C125" s="144" t="s">
        <v>172</v>
      </c>
      <c r="D125" s="144" t="s">
        <v>100</v>
      </c>
      <c r="E125" s="145" t="s">
        <v>100</v>
      </c>
      <c r="F125" s="144" t="s">
        <v>296</v>
      </c>
      <c r="G125" s="144" t="s">
        <v>244</v>
      </c>
      <c r="H125" s="144" t="s">
        <v>195</v>
      </c>
      <c r="I125" s="144" t="s">
        <v>192</v>
      </c>
      <c r="J125" s="144" t="s">
        <v>184</v>
      </c>
      <c r="K125" s="146">
        <v>2400</v>
      </c>
      <c r="L125" s="146"/>
      <c r="M125" s="146">
        <v>2400</v>
      </c>
      <c r="N125" s="147" t="s">
        <v>246</v>
      </c>
      <c r="O125" s="148" t="s">
        <v>231</v>
      </c>
    </row>
    <row r="126" spans="1:15">
      <c r="A126" s="140" t="s">
        <v>299</v>
      </c>
      <c r="B126" s="116"/>
      <c r="C126" s="116"/>
      <c r="D126" s="116"/>
      <c r="E126" s="116"/>
      <c r="F126" s="116"/>
      <c r="G126" s="116"/>
      <c r="H126" s="116"/>
      <c r="I126" s="116"/>
      <c r="J126" s="115"/>
      <c r="K126" s="129">
        <f>SUM(K120:K125)</f>
        <v>5420</v>
      </c>
      <c r="L126" s="129">
        <f>SUM(L120:L125)</f>
        <v>11400</v>
      </c>
      <c r="M126" s="129">
        <f>SUM(M120:M125)</f>
        <v>16820</v>
      </c>
      <c r="N126" s="141"/>
      <c r="O126" s="142"/>
    </row>
    <row r="127" spans="1:15">
      <c r="A127" s="125" t="s">
        <v>300</v>
      </c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5"/>
    </row>
    <row r="128" ht="16" customHeight="1" spans="1:15">
      <c r="A128" s="130" t="s">
        <v>51</v>
      </c>
      <c r="B128" s="73" t="s">
        <v>52</v>
      </c>
      <c r="C128" s="73" t="s">
        <v>178</v>
      </c>
      <c r="D128" s="73" t="s">
        <v>53</v>
      </c>
      <c r="E128" s="131" t="s">
        <v>54</v>
      </c>
      <c r="F128" s="73" t="s">
        <v>179</v>
      </c>
      <c r="G128" s="73" t="s">
        <v>180</v>
      </c>
      <c r="H128" s="73" t="s">
        <v>181</v>
      </c>
      <c r="I128" s="73" t="s">
        <v>182</v>
      </c>
      <c r="J128" s="73" t="s">
        <v>183</v>
      </c>
      <c r="K128" s="129" t="s">
        <v>184</v>
      </c>
      <c r="L128" s="129" t="s">
        <v>185</v>
      </c>
      <c r="M128" s="129" t="s">
        <v>186</v>
      </c>
      <c r="N128" s="20" t="s">
        <v>187</v>
      </c>
      <c r="O128" s="141" t="s">
        <v>188</v>
      </c>
    </row>
    <row r="129" ht="31" customHeight="1" spans="1:15">
      <c r="A129" s="134" t="s">
        <v>41</v>
      </c>
      <c r="B129" s="135">
        <v>1</v>
      </c>
      <c r="C129" s="135" t="s">
        <v>172</v>
      </c>
      <c r="D129" s="135" t="s">
        <v>146</v>
      </c>
      <c r="E129" s="136" t="s">
        <v>147</v>
      </c>
      <c r="F129" s="149">
        <v>83</v>
      </c>
      <c r="G129" s="135" t="s">
        <v>301</v>
      </c>
      <c r="H129" s="135" t="s">
        <v>302</v>
      </c>
      <c r="I129" s="135" t="s">
        <v>303</v>
      </c>
      <c r="J129" s="135" t="s">
        <v>185</v>
      </c>
      <c r="K129" s="137"/>
      <c r="L129" s="137">
        <v>20000</v>
      </c>
      <c r="M129" s="137">
        <v>20000</v>
      </c>
      <c r="N129" s="138" t="s">
        <v>304</v>
      </c>
      <c r="O129" s="139" t="s">
        <v>305</v>
      </c>
    </row>
    <row r="130" spans="1:15">
      <c r="A130" s="140" t="s">
        <v>306</v>
      </c>
      <c r="B130" s="116"/>
      <c r="C130" s="116"/>
      <c r="D130" s="116"/>
      <c r="E130" s="116"/>
      <c r="F130" s="116"/>
      <c r="G130" s="116"/>
      <c r="H130" s="116"/>
      <c r="I130" s="116"/>
      <c r="J130" s="115"/>
      <c r="K130" s="129">
        <f>SUM(K129:K129)</f>
        <v>0</v>
      </c>
      <c r="L130" s="129">
        <f>SUM(L129:L129)</f>
        <v>20000</v>
      </c>
      <c r="M130" s="129">
        <f>SUM(M129:M129)</f>
        <v>20000</v>
      </c>
      <c r="N130" s="141"/>
      <c r="O130" s="142"/>
    </row>
    <row r="131" spans="1:15">
      <c r="A131" s="125" t="s">
        <v>307</v>
      </c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5"/>
    </row>
    <row r="132" ht="16" customHeight="1" spans="1:15">
      <c r="A132" s="130" t="s">
        <v>51</v>
      </c>
      <c r="B132" s="73" t="s">
        <v>52</v>
      </c>
      <c r="C132" s="73" t="s">
        <v>178</v>
      </c>
      <c r="D132" s="73" t="s">
        <v>53</v>
      </c>
      <c r="E132" s="131" t="s">
        <v>54</v>
      </c>
      <c r="F132" s="73" t="s">
        <v>179</v>
      </c>
      <c r="G132" s="73" t="s">
        <v>180</v>
      </c>
      <c r="H132" s="73" t="s">
        <v>181</v>
      </c>
      <c r="I132" s="73" t="s">
        <v>182</v>
      </c>
      <c r="J132" s="73" t="s">
        <v>183</v>
      </c>
      <c r="K132" s="129" t="s">
        <v>184</v>
      </c>
      <c r="L132" s="129" t="s">
        <v>185</v>
      </c>
      <c r="M132" s="129" t="s">
        <v>186</v>
      </c>
      <c r="N132" s="20" t="s">
        <v>187</v>
      </c>
      <c r="O132" s="141" t="s">
        <v>188</v>
      </c>
    </row>
    <row r="133" ht="16" customHeight="1" spans="1:15">
      <c r="A133" s="134" t="s">
        <v>43</v>
      </c>
      <c r="B133" s="135">
        <v>1</v>
      </c>
      <c r="C133" s="135" t="s">
        <v>172</v>
      </c>
      <c r="D133" s="135" t="s">
        <v>149</v>
      </c>
      <c r="E133" s="136" t="s">
        <v>150</v>
      </c>
      <c r="F133" s="135" t="s">
        <v>308</v>
      </c>
      <c r="G133" s="135" t="s">
        <v>309</v>
      </c>
      <c r="H133" s="135" t="s">
        <v>275</v>
      </c>
      <c r="I133" s="135" t="s">
        <v>192</v>
      </c>
      <c r="J133" s="135" t="s">
        <v>185</v>
      </c>
      <c r="K133" s="137"/>
      <c r="L133" s="137">
        <v>42500</v>
      </c>
      <c r="M133" s="137">
        <v>42500</v>
      </c>
      <c r="N133" s="138" t="s">
        <v>310</v>
      </c>
      <c r="O133" s="139" t="s">
        <v>311</v>
      </c>
    </row>
    <row r="134" spans="1:15">
      <c r="A134" s="140" t="s">
        <v>312</v>
      </c>
      <c r="B134" s="116"/>
      <c r="C134" s="116"/>
      <c r="D134" s="116"/>
      <c r="E134" s="116"/>
      <c r="F134" s="116"/>
      <c r="G134" s="116"/>
      <c r="H134" s="116"/>
      <c r="I134" s="116"/>
      <c r="J134" s="115"/>
      <c r="K134" s="129">
        <f>SUM(K133:K133)</f>
        <v>0</v>
      </c>
      <c r="L134" s="129">
        <f>SUM(L133:L133)</f>
        <v>42500</v>
      </c>
      <c r="M134" s="129">
        <f>SUM(M133:M133)</f>
        <v>42500</v>
      </c>
      <c r="N134" s="141"/>
      <c r="O134" s="142"/>
    </row>
    <row r="135" ht="16" customHeight="1" spans="1:15">
      <c r="A135" s="150" t="s">
        <v>313</v>
      </c>
      <c r="B135" s="151"/>
      <c r="C135" s="151"/>
      <c r="D135" s="152"/>
      <c r="E135" s="153" t="s">
        <v>314</v>
      </c>
      <c r="F135" s="154" t="s">
        <v>180</v>
      </c>
      <c r="G135" s="154"/>
      <c r="H135" s="155"/>
      <c r="I135" s="70" t="s">
        <v>182</v>
      </c>
      <c r="J135" s="70" t="s">
        <v>183</v>
      </c>
      <c r="K135" s="127" t="s">
        <v>184</v>
      </c>
      <c r="L135" s="127" t="s">
        <v>185</v>
      </c>
      <c r="M135" s="127" t="s">
        <v>186</v>
      </c>
      <c r="N135" s="86" t="s">
        <v>187</v>
      </c>
      <c r="O135" s="128" t="s">
        <v>188</v>
      </c>
    </row>
    <row r="136" ht="31" customHeight="1" spans="1:15">
      <c r="A136" s="156"/>
      <c r="B136" s="157"/>
      <c r="C136" s="157"/>
      <c r="D136" s="158"/>
      <c r="E136" s="159" t="s">
        <v>221</v>
      </c>
      <c r="F136" s="160" t="s">
        <v>315</v>
      </c>
      <c r="G136" s="160"/>
      <c r="H136" s="161"/>
      <c r="I136" s="73" t="s">
        <v>316</v>
      </c>
      <c r="J136" s="73" t="s">
        <v>185</v>
      </c>
      <c r="K136" s="129" t="s">
        <v>317</v>
      </c>
      <c r="L136" s="129">
        <v>12000</v>
      </c>
      <c r="M136" s="129">
        <v>12000</v>
      </c>
      <c r="N136" s="20" t="s">
        <v>318</v>
      </c>
      <c r="O136" s="132" t="s">
        <v>319</v>
      </c>
    </row>
    <row r="137" ht="31" customHeight="1" spans="1:15">
      <c r="A137" s="162"/>
      <c r="B137" s="163"/>
      <c r="C137" s="163"/>
      <c r="D137" s="164"/>
      <c r="E137" s="159" t="s">
        <v>224</v>
      </c>
      <c r="F137" s="160" t="s">
        <v>320</v>
      </c>
      <c r="G137" s="160"/>
      <c r="H137" s="161"/>
      <c r="I137" s="73" t="s">
        <v>321</v>
      </c>
      <c r="J137" s="73" t="s">
        <v>185</v>
      </c>
      <c r="K137" s="129" t="s">
        <v>317</v>
      </c>
      <c r="L137" s="129">
        <v>1950</v>
      </c>
      <c r="M137" s="129">
        <v>1950</v>
      </c>
      <c r="N137" s="20" t="s">
        <v>322</v>
      </c>
      <c r="O137" s="132" t="s">
        <v>323</v>
      </c>
    </row>
    <row r="138" ht="15.95" spans="1:15">
      <c r="A138" s="165"/>
    </row>
    <row r="139" spans="1:15">
      <c r="A139" s="166" t="s">
        <v>324</v>
      </c>
      <c r="B139" s="167" t="s">
        <v>325</v>
      </c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4"/>
    </row>
    <row r="140" spans="1:15">
      <c r="A140" s="168" t="s">
        <v>326</v>
      </c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5"/>
    </row>
    <row r="141" ht="16" customHeight="1" spans="1:15">
      <c r="A141" s="126" t="s">
        <v>51</v>
      </c>
      <c r="B141" s="70" t="s">
        <v>52</v>
      </c>
      <c r="C141" s="70" t="s">
        <v>178</v>
      </c>
      <c r="D141" s="70" t="s">
        <v>53</v>
      </c>
      <c r="E141" s="86" t="s">
        <v>54</v>
      </c>
      <c r="F141" s="70" t="s">
        <v>179</v>
      </c>
      <c r="G141" s="70" t="s">
        <v>180</v>
      </c>
      <c r="H141" s="70" t="s">
        <v>181</v>
      </c>
      <c r="I141" s="70" t="s">
        <v>182</v>
      </c>
      <c r="J141" s="70" t="s">
        <v>183</v>
      </c>
      <c r="K141" s="127" t="s">
        <v>184</v>
      </c>
      <c r="L141" s="127" t="s">
        <v>185</v>
      </c>
      <c r="M141" s="127" t="s">
        <v>186</v>
      </c>
      <c r="N141" s="86" t="s">
        <v>187</v>
      </c>
      <c r="O141" s="128" t="s">
        <v>188</v>
      </c>
    </row>
    <row r="142" ht="31" customHeight="1" spans="1:15">
      <c r="A142" s="130" t="s">
        <v>26</v>
      </c>
      <c r="B142" s="73">
        <v>1</v>
      </c>
      <c r="C142" s="73" t="s">
        <v>175</v>
      </c>
      <c r="D142" s="73" t="s">
        <v>64</v>
      </c>
      <c r="E142" s="131" t="s">
        <v>65</v>
      </c>
      <c r="F142" s="73" t="s">
        <v>189</v>
      </c>
      <c r="G142" s="73" t="s">
        <v>190</v>
      </c>
      <c r="H142" s="73" t="s">
        <v>191</v>
      </c>
      <c r="I142" s="73" t="s">
        <v>192</v>
      </c>
      <c r="J142" s="73" t="s">
        <v>184</v>
      </c>
      <c r="K142" s="129">
        <v>3190</v>
      </c>
      <c r="L142" s="129"/>
      <c r="M142" s="129">
        <v>3190</v>
      </c>
      <c r="N142" s="20" t="s">
        <v>193</v>
      </c>
      <c r="O142" s="132" t="s">
        <v>194</v>
      </c>
    </row>
    <row r="143" ht="31" customHeight="1" spans="1:15">
      <c r="A143" s="130" t="s">
        <v>26</v>
      </c>
      <c r="B143" s="73">
        <v>2</v>
      </c>
      <c r="C143" s="73" t="s">
        <v>175</v>
      </c>
      <c r="D143" s="73" t="s">
        <v>66</v>
      </c>
      <c r="E143" s="131" t="s">
        <v>67</v>
      </c>
      <c r="F143" s="73" t="s">
        <v>189</v>
      </c>
      <c r="G143" s="73" t="s">
        <v>190</v>
      </c>
      <c r="H143" s="73" t="s">
        <v>195</v>
      </c>
      <c r="I143" s="73" t="s">
        <v>192</v>
      </c>
      <c r="J143" s="73" t="s">
        <v>185</v>
      </c>
      <c r="K143" s="129"/>
      <c r="L143" s="129">
        <v>5600</v>
      </c>
      <c r="M143" s="129">
        <v>5600</v>
      </c>
      <c r="N143" s="20" t="s">
        <v>196</v>
      </c>
      <c r="O143" s="132"/>
    </row>
    <row r="144" ht="31" customHeight="1" spans="1:15">
      <c r="A144" s="130" t="s">
        <v>26</v>
      </c>
      <c r="B144" s="73">
        <v>3</v>
      </c>
      <c r="C144" s="73" t="s">
        <v>175</v>
      </c>
      <c r="D144" s="73" t="s">
        <v>68</v>
      </c>
      <c r="E144" s="131" t="s">
        <v>69</v>
      </c>
      <c r="F144" s="73" t="s">
        <v>197</v>
      </c>
      <c r="G144" s="73"/>
      <c r="H144" s="73" t="s">
        <v>198</v>
      </c>
      <c r="I144" s="73" t="s">
        <v>199</v>
      </c>
      <c r="J144" s="73" t="s">
        <v>185</v>
      </c>
      <c r="K144" s="129"/>
      <c r="L144" s="129">
        <v>24000</v>
      </c>
      <c r="M144" s="129">
        <v>24000</v>
      </c>
      <c r="N144" s="20" t="s">
        <v>200</v>
      </c>
      <c r="O144" s="132" t="s">
        <v>201</v>
      </c>
    </row>
    <row r="145" ht="16" customHeight="1" spans="1:15">
      <c r="A145" s="130" t="s">
        <v>26</v>
      </c>
      <c r="B145" s="73">
        <v>4</v>
      </c>
      <c r="C145" s="73" t="s">
        <v>175</v>
      </c>
      <c r="D145" s="73" t="s">
        <v>70</v>
      </c>
      <c r="E145" s="131" t="s">
        <v>71</v>
      </c>
      <c r="F145" s="73" t="s">
        <v>197</v>
      </c>
      <c r="G145" s="73" t="s">
        <v>202</v>
      </c>
      <c r="H145" s="73" t="s">
        <v>202</v>
      </c>
      <c r="I145" s="73" t="s">
        <v>203</v>
      </c>
      <c r="J145" s="73" t="s">
        <v>185</v>
      </c>
      <c r="K145" s="129"/>
      <c r="L145" s="129">
        <v>720</v>
      </c>
      <c r="M145" s="129">
        <v>720</v>
      </c>
      <c r="N145" s="20" t="s">
        <v>204</v>
      </c>
      <c r="O145" s="132"/>
    </row>
    <row r="146" ht="16" customHeight="1" spans="1:15">
      <c r="A146" s="130" t="s">
        <v>26</v>
      </c>
      <c r="B146" s="73">
        <v>5</v>
      </c>
      <c r="C146" s="73" t="s">
        <v>175</v>
      </c>
      <c r="D146" s="73" t="s">
        <v>72</v>
      </c>
      <c r="E146" s="131" t="s">
        <v>73</v>
      </c>
      <c r="F146" s="73" t="s">
        <v>197</v>
      </c>
      <c r="G146" s="73" t="s">
        <v>202</v>
      </c>
      <c r="H146" s="73" t="s">
        <v>202</v>
      </c>
      <c r="I146" s="73" t="s">
        <v>203</v>
      </c>
      <c r="J146" s="73" t="s">
        <v>185</v>
      </c>
      <c r="K146" s="129"/>
      <c r="L146" s="129">
        <v>720</v>
      </c>
      <c r="M146" s="129">
        <v>720</v>
      </c>
      <c r="N146" s="20" t="s">
        <v>204</v>
      </c>
      <c r="O146" s="132"/>
    </row>
    <row r="147" ht="16" customHeight="1" spans="1:15">
      <c r="A147" s="130" t="s">
        <v>26</v>
      </c>
      <c r="B147" s="73">
        <v>6</v>
      </c>
      <c r="C147" s="73" t="s">
        <v>175</v>
      </c>
      <c r="D147" s="73" t="s">
        <v>74</v>
      </c>
      <c r="E147" s="131" t="s">
        <v>75</v>
      </c>
      <c r="F147" s="73" t="s">
        <v>197</v>
      </c>
      <c r="G147" s="73" t="s">
        <v>202</v>
      </c>
      <c r="H147" s="73" t="s">
        <v>202</v>
      </c>
      <c r="I147" s="73" t="s">
        <v>203</v>
      </c>
      <c r="J147" s="73" t="s">
        <v>185</v>
      </c>
      <c r="K147" s="129"/>
      <c r="L147" s="129">
        <v>720</v>
      </c>
      <c r="M147" s="129">
        <v>720</v>
      </c>
      <c r="N147" s="20" t="s">
        <v>204</v>
      </c>
      <c r="O147" s="132"/>
    </row>
    <row r="148" ht="16" customHeight="1" spans="1:15">
      <c r="A148" s="130" t="s">
        <v>26</v>
      </c>
      <c r="B148" s="73">
        <v>7</v>
      </c>
      <c r="C148" s="73" t="s">
        <v>175</v>
      </c>
      <c r="D148" s="73" t="s">
        <v>76</v>
      </c>
      <c r="E148" s="131" t="s">
        <v>77</v>
      </c>
      <c r="F148" s="73" t="s">
        <v>197</v>
      </c>
      <c r="G148" s="73" t="s">
        <v>205</v>
      </c>
      <c r="H148" s="73" t="s">
        <v>205</v>
      </c>
      <c r="I148" s="73" t="s">
        <v>203</v>
      </c>
      <c r="J148" s="73" t="s">
        <v>185</v>
      </c>
      <c r="K148" s="129"/>
      <c r="L148" s="129">
        <v>2880</v>
      </c>
      <c r="M148" s="129">
        <v>2880</v>
      </c>
      <c r="N148" s="20" t="s">
        <v>206</v>
      </c>
      <c r="O148" s="132"/>
    </row>
    <row r="149" ht="16" customHeight="1" spans="1:15">
      <c r="A149" s="130" t="s">
        <v>26</v>
      </c>
      <c r="B149" s="73">
        <v>8</v>
      </c>
      <c r="C149" s="73" t="s">
        <v>175</v>
      </c>
      <c r="D149" s="73" t="s">
        <v>78</v>
      </c>
      <c r="E149" s="131" t="s">
        <v>79</v>
      </c>
      <c r="F149" s="73" t="s">
        <v>197</v>
      </c>
      <c r="G149" s="73" t="s">
        <v>207</v>
      </c>
      <c r="H149" s="73" t="s">
        <v>208</v>
      </c>
      <c r="I149" s="73" t="s">
        <v>199</v>
      </c>
      <c r="J149" s="73" t="s">
        <v>185</v>
      </c>
      <c r="K149" s="129"/>
      <c r="L149" s="129">
        <v>5000</v>
      </c>
      <c r="M149" s="129">
        <v>5000</v>
      </c>
      <c r="N149" s="20" t="s">
        <v>209</v>
      </c>
      <c r="O149" s="132"/>
    </row>
    <row r="150" ht="16" customHeight="1" spans="1:15">
      <c r="A150" s="130" t="s">
        <v>26</v>
      </c>
      <c r="B150" s="73">
        <v>9</v>
      </c>
      <c r="C150" s="73" t="s">
        <v>175</v>
      </c>
      <c r="D150" s="73" t="s">
        <v>80</v>
      </c>
      <c r="E150" s="131" t="s">
        <v>81</v>
      </c>
      <c r="F150" s="73" t="s">
        <v>197</v>
      </c>
      <c r="G150" s="73" t="s">
        <v>210</v>
      </c>
      <c r="H150" s="73" t="s">
        <v>210</v>
      </c>
      <c r="I150" s="73" t="s">
        <v>203</v>
      </c>
      <c r="J150" s="73" t="s">
        <v>185</v>
      </c>
      <c r="K150" s="129"/>
      <c r="L150" s="129">
        <v>7200</v>
      </c>
      <c r="M150" s="129">
        <v>7200</v>
      </c>
      <c r="N150" s="20" t="s">
        <v>211</v>
      </c>
      <c r="O150" s="132"/>
    </row>
    <row r="151" ht="16" customHeight="1" spans="1:15">
      <c r="A151" s="130" t="s">
        <v>26</v>
      </c>
      <c r="B151" s="73">
        <v>10</v>
      </c>
      <c r="C151" s="73" t="s">
        <v>175</v>
      </c>
      <c r="D151" s="73" t="s">
        <v>82</v>
      </c>
      <c r="E151" s="131" t="s">
        <v>83</v>
      </c>
      <c r="F151" s="73" t="s">
        <v>197</v>
      </c>
      <c r="G151" s="73" t="s">
        <v>212</v>
      </c>
      <c r="H151" s="73" t="s">
        <v>212</v>
      </c>
      <c r="I151" s="73" t="s">
        <v>203</v>
      </c>
      <c r="J151" s="73" t="s">
        <v>185</v>
      </c>
      <c r="K151" s="129"/>
      <c r="L151" s="129">
        <v>10500</v>
      </c>
      <c r="M151" s="129">
        <v>10500</v>
      </c>
      <c r="N151" s="20" t="s">
        <v>213</v>
      </c>
      <c r="O151" s="132"/>
    </row>
    <row r="152" ht="16" customHeight="1" spans="1:15">
      <c r="A152" s="130" t="s">
        <v>26</v>
      </c>
      <c r="B152" s="73">
        <v>11</v>
      </c>
      <c r="C152" s="73" t="s">
        <v>175</v>
      </c>
      <c r="D152" s="73" t="s">
        <v>84</v>
      </c>
      <c r="E152" s="131" t="s">
        <v>85</v>
      </c>
      <c r="F152" s="73" t="s">
        <v>197</v>
      </c>
      <c r="G152" s="73" t="s">
        <v>208</v>
      </c>
      <c r="H152" s="73" t="s">
        <v>208</v>
      </c>
      <c r="I152" s="73" t="s">
        <v>203</v>
      </c>
      <c r="J152" s="73" t="s">
        <v>185</v>
      </c>
      <c r="K152" s="129"/>
      <c r="L152" s="129">
        <v>24000</v>
      </c>
      <c r="M152" s="129">
        <v>24000</v>
      </c>
      <c r="N152" s="20" t="s">
        <v>215</v>
      </c>
      <c r="O152" s="132"/>
    </row>
    <row r="153" ht="16" customHeight="1" spans="1:15">
      <c r="A153" s="130" t="s">
        <v>26</v>
      </c>
      <c r="B153" s="73">
        <v>12</v>
      </c>
      <c r="C153" s="73" t="s">
        <v>175</v>
      </c>
      <c r="D153" s="73" t="s">
        <v>86</v>
      </c>
      <c r="E153" s="131" t="s">
        <v>87</v>
      </c>
      <c r="F153" s="73" t="s">
        <v>189</v>
      </c>
      <c r="G153" s="73" t="s">
        <v>190</v>
      </c>
      <c r="H153" s="73" t="s">
        <v>208</v>
      </c>
      <c r="I153" s="73" t="s">
        <v>192</v>
      </c>
      <c r="J153" s="73" t="s">
        <v>185</v>
      </c>
      <c r="K153" s="129"/>
      <c r="L153" s="129">
        <v>4200</v>
      </c>
      <c r="M153" s="129">
        <v>4200</v>
      </c>
      <c r="N153" s="20" t="s">
        <v>216</v>
      </c>
      <c r="O153" s="132"/>
    </row>
    <row r="154" ht="16" customHeight="1" spans="1:15">
      <c r="A154" s="130" t="s">
        <v>26</v>
      </c>
      <c r="B154" s="73">
        <v>13</v>
      </c>
      <c r="C154" s="73" t="s">
        <v>175</v>
      </c>
      <c r="D154" s="73" t="s">
        <v>88</v>
      </c>
      <c r="E154" s="131" t="s">
        <v>89</v>
      </c>
      <c r="F154" s="73" t="s">
        <v>197</v>
      </c>
      <c r="G154" s="73" t="s">
        <v>217</v>
      </c>
      <c r="H154" s="73" t="s">
        <v>208</v>
      </c>
      <c r="I154" s="73" t="s">
        <v>192</v>
      </c>
      <c r="J154" s="73" t="s">
        <v>185</v>
      </c>
      <c r="K154" s="129"/>
      <c r="L154" s="129">
        <v>3600</v>
      </c>
      <c r="M154" s="129">
        <v>3600</v>
      </c>
      <c r="N154" s="20" t="s">
        <v>218</v>
      </c>
      <c r="O154" s="132"/>
    </row>
    <row r="155" ht="31" customHeight="1" spans="1:15">
      <c r="A155" s="130" t="s">
        <v>26</v>
      </c>
      <c r="B155" s="73">
        <v>14</v>
      </c>
      <c r="C155" s="73" t="s">
        <v>175</v>
      </c>
      <c r="D155" s="73" t="s">
        <v>90</v>
      </c>
      <c r="E155" s="131" t="s">
        <v>91</v>
      </c>
      <c r="F155" s="73" t="s">
        <v>197</v>
      </c>
      <c r="G155" s="73" t="s">
        <v>217</v>
      </c>
      <c r="H155" s="73" t="s">
        <v>210</v>
      </c>
      <c r="I155" s="73" t="s">
        <v>192</v>
      </c>
      <c r="J155" s="73" t="s">
        <v>185</v>
      </c>
      <c r="K155" s="129"/>
      <c r="L155" s="129">
        <v>120000</v>
      </c>
      <c r="M155" s="129">
        <v>120000</v>
      </c>
      <c r="N155" s="20" t="s">
        <v>219</v>
      </c>
      <c r="O155" s="132" t="s">
        <v>220</v>
      </c>
    </row>
    <row r="156" ht="16" customHeight="1" spans="1:15">
      <c r="A156" s="130" t="s">
        <v>26</v>
      </c>
      <c r="B156" s="73">
        <v>15</v>
      </c>
      <c r="C156" s="73" t="s">
        <v>175</v>
      </c>
      <c r="D156" s="73" t="s">
        <v>92</v>
      </c>
      <c r="E156" s="131" t="s">
        <v>93</v>
      </c>
      <c r="F156" s="73" t="s">
        <v>197</v>
      </c>
      <c r="G156" s="73" t="s">
        <v>222</v>
      </c>
      <c r="H156" s="73" t="s">
        <v>222</v>
      </c>
      <c r="I156" s="73" t="s">
        <v>203</v>
      </c>
      <c r="J156" s="73" t="s">
        <v>185</v>
      </c>
      <c r="K156" s="129"/>
      <c r="L156" s="129">
        <v>7920</v>
      </c>
      <c r="M156" s="129">
        <v>7920</v>
      </c>
      <c r="N156" s="20" t="s">
        <v>223</v>
      </c>
      <c r="O156" s="132"/>
    </row>
    <row r="157" ht="16" customHeight="1" spans="1:15">
      <c r="A157" s="130" t="s">
        <v>26</v>
      </c>
      <c r="B157" s="73">
        <v>16</v>
      </c>
      <c r="C157" s="73" t="s">
        <v>175</v>
      </c>
      <c r="D157" s="73" t="s">
        <v>94</v>
      </c>
      <c r="E157" s="131" t="s">
        <v>95</v>
      </c>
      <c r="F157" s="73" t="s">
        <v>197</v>
      </c>
      <c r="G157" s="73" t="s">
        <v>217</v>
      </c>
      <c r="H157" s="73" t="s">
        <v>195</v>
      </c>
      <c r="I157" s="73" t="s">
        <v>192</v>
      </c>
      <c r="J157" s="73" t="s">
        <v>185</v>
      </c>
      <c r="K157" s="129"/>
      <c r="L157" s="129">
        <v>6000</v>
      </c>
      <c r="M157" s="129">
        <v>6000</v>
      </c>
      <c r="N157" s="20" t="s">
        <v>225</v>
      </c>
      <c r="O157" s="132"/>
    </row>
    <row r="158" ht="16" customHeight="1" spans="1:15">
      <c r="A158" s="130" t="s">
        <v>26</v>
      </c>
      <c r="B158" s="73">
        <v>17</v>
      </c>
      <c r="C158" s="73" t="s">
        <v>175</v>
      </c>
      <c r="D158" s="73" t="s">
        <v>96</v>
      </c>
      <c r="E158" s="131" t="s">
        <v>97</v>
      </c>
      <c r="F158" s="73" t="s">
        <v>197</v>
      </c>
      <c r="G158" s="73" t="s">
        <v>227</v>
      </c>
      <c r="H158" s="73" t="s">
        <v>198</v>
      </c>
      <c r="I158" s="73" t="s">
        <v>199</v>
      </c>
      <c r="J158" s="73" t="s">
        <v>185</v>
      </c>
      <c r="K158" s="129"/>
      <c r="L158" s="129">
        <v>6000</v>
      </c>
      <c r="M158" s="129">
        <v>6000</v>
      </c>
      <c r="N158" s="20" t="s">
        <v>228</v>
      </c>
      <c r="O158" s="132"/>
    </row>
    <row r="159" ht="31" customHeight="1" spans="1:15">
      <c r="A159" s="134" t="s">
        <v>26</v>
      </c>
      <c r="B159" s="135">
        <v>18</v>
      </c>
      <c r="C159" s="135" t="s">
        <v>175</v>
      </c>
      <c r="D159" s="135" t="s">
        <v>98</v>
      </c>
      <c r="E159" s="136" t="s">
        <v>99</v>
      </c>
      <c r="F159" s="135" t="s">
        <v>197</v>
      </c>
      <c r="G159" s="135" t="s">
        <v>227</v>
      </c>
      <c r="H159" s="135" t="s">
        <v>198</v>
      </c>
      <c r="I159" s="135" t="s">
        <v>199</v>
      </c>
      <c r="J159" s="135" t="s">
        <v>185</v>
      </c>
      <c r="K159" s="137"/>
      <c r="L159" s="137">
        <v>12000</v>
      </c>
      <c r="M159" s="137">
        <v>12000</v>
      </c>
      <c r="N159" s="138" t="s">
        <v>229</v>
      </c>
      <c r="O159" s="139" t="s">
        <v>230</v>
      </c>
    </row>
    <row r="160" ht="31" customHeight="1" spans="1:15">
      <c r="A160" s="130" t="s">
        <v>26</v>
      </c>
      <c r="B160" s="73">
        <v>19</v>
      </c>
      <c r="C160" s="73" t="s">
        <v>175</v>
      </c>
      <c r="D160" s="73" t="s">
        <v>66</v>
      </c>
      <c r="E160" s="131" t="s">
        <v>67</v>
      </c>
      <c r="F160" s="73" t="s">
        <v>189</v>
      </c>
      <c r="G160" s="73" t="s">
        <v>190</v>
      </c>
      <c r="H160" s="73" t="s">
        <v>195</v>
      </c>
      <c r="I160" s="73" t="s">
        <v>192</v>
      </c>
      <c r="J160" s="73" t="s">
        <v>185</v>
      </c>
      <c r="K160" s="129"/>
      <c r="L160" s="129">
        <v>5600</v>
      </c>
      <c r="M160" s="129">
        <v>5600</v>
      </c>
      <c r="N160" s="20" t="s">
        <v>196</v>
      </c>
      <c r="O160" s="132"/>
    </row>
    <row r="161" ht="31" customHeight="1" spans="1:15">
      <c r="A161" s="130" t="s">
        <v>26</v>
      </c>
      <c r="B161" s="73">
        <v>20</v>
      </c>
      <c r="C161" s="73" t="s">
        <v>175</v>
      </c>
      <c r="D161" s="73" t="s">
        <v>64</v>
      </c>
      <c r="E161" s="131" t="s">
        <v>65</v>
      </c>
      <c r="F161" s="73" t="s">
        <v>189</v>
      </c>
      <c r="G161" s="73" t="s">
        <v>190</v>
      </c>
      <c r="H161" s="73" t="s">
        <v>208</v>
      </c>
      <c r="I161" s="73" t="s">
        <v>192</v>
      </c>
      <c r="J161" s="73" t="s">
        <v>184</v>
      </c>
      <c r="K161" s="129">
        <v>3190</v>
      </c>
      <c r="L161" s="129"/>
      <c r="M161" s="129">
        <v>3190</v>
      </c>
      <c r="N161" s="20" t="s">
        <v>193</v>
      </c>
      <c r="O161" s="132" t="s">
        <v>194</v>
      </c>
    </row>
    <row r="162" ht="31" customHeight="1" spans="1:15">
      <c r="A162" s="130" t="s">
        <v>26</v>
      </c>
      <c r="B162" s="73">
        <v>21</v>
      </c>
      <c r="C162" s="73" t="s">
        <v>175</v>
      </c>
      <c r="D162" s="73" t="s">
        <v>100</v>
      </c>
      <c r="E162" s="131" t="s">
        <v>100</v>
      </c>
      <c r="F162" s="73" t="s">
        <v>189</v>
      </c>
      <c r="G162" s="73" t="s">
        <v>190</v>
      </c>
      <c r="H162" s="73" t="s">
        <v>191</v>
      </c>
      <c r="I162" s="73" t="s">
        <v>192</v>
      </c>
      <c r="J162" s="73" t="s">
        <v>184</v>
      </c>
      <c r="K162" s="129">
        <v>5600</v>
      </c>
      <c r="L162" s="129"/>
      <c r="M162" s="129">
        <v>5600</v>
      </c>
      <c r="N162" s="20" t="s">
        <v>196</v>
      </c>
      <c r="O162" s="132" t="s">
        <v>231</v>
      </c>
    </row>
    <row r="163" spans="1:15">
      <c r="A163" s="169" t="s">
        <v>232</v>
      </c>
      <c r="B163" s="170"/>
      <c r="C163" s="170"/>
      <c r="D163" s="170"/>
      <c r="E163" s="170"/>
      <c r="F163" s="170"/>
      <c r="G163" s="170"/>
      <c r="H163" s="170"/>
      <c r="I163" s="170"/>
      <c r="J163" s="171"/>
      <c r="K163" s="129">
        <f>SUM(K142:K162)</f>
        <v>11980</v>
      </c>
      <c r="L163" s="129">
        <f>SUM(L142:L162)</f>
        <v>246660</v>
      </c>
      <c r="M163" s="129">
        <f>SUM(M142:M162)</f>
        <v>258640</v>
      </c>
      <c r="N163" s="141"/>
      <c r="O163" s="142"/>
    </row>
    <row r="164" spans="1:15">
      <c r="A164" s="168" t="s">
        <v>327</v>
      </c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5"/>
    </row>
    <row r="165" ht="16" customHeight="1" spans="1:15">
      <c r="A165" s="130" t="s">
        <v>51</v>
      </c>
      <c r="B165" s="73" t="s">
        <v>52</v>
      </c>
      <c r="C165" s="73" t="s">
        <v>178</v>
      </c>
      <c r="D165" s="73" t="s">
        <v>53</v>
      </c>
      <c r="E165" s="131" t="s">
        <v>54</v>
      </c>
      <c r="F165" s="73" t="s">
        <v>179</v>
      </c>
      <c r="G165" s="73" t="s">
        <v>180</v>
      </c>
      <c r="H165" s="73" t="s">
        <v>181</v>
      </c>
      <c r="I165" s="73" t="s">
        <v>182</v>
      </c>
      <c r="J165" s="73" t="s">
        <v>183</v>
      </c>
      <c r="K165" s="129" t="s">
        <v>184</v>
      </c>
      <c r="L165" s="129" t="s">
        <v>185</v>
      </c>
      <c r="M165" s="129" t="s">
        <v>186</v>
      </c>
      <c r="N165" s="20" t="s">
        <v>187</v>
      </c>
      <c r="O165" s="141" t="s">
        <v>188</v>
      </c>
    </row>
    <row r="166" ht="31" customHeight="1" spans="1:15">
      <c r="A166" s="130" t="s">
        <v>27</v>
      </c>
      <c r="B166" s="73">
        <v>1</v>
      </c>
      <c r="C166" s="73" t="s">
        <v>175</v>
      </c>
      <c r="D166" s="73" t="s">
        <v>64</v>
      </c>
      <c r="E166" s="131" t="s">
        <v>65</v>
      </c>
      <c r="F166" s="73" t="s">
        <v>234</v>
      </c>
      <c r="G166" s="73" t="s">
        <v>217</v>
      </c>
      <c r="H166" s="73" t="s">
        <v>191</v>
      </c>
      <c r="I166" s="73" t="s">
        <v>192</v>
      </c>
      <c r="J166" s="73" t="s">
        <v>184</v>
      </c>
      <c r="K166" s="129">
        <v>2770</v>
      </c>
      <c r="L166" s="129"/>
      <c r="M166" s="129">
        <v>2770</v>
      </c>
      <c r="N166" s="20" t="s">
        <v>235</v>
      </c>
      <c r="O166" s="132" t="s">
        <v>194</v>
      </c>
    </row>
    <row r="167" ht="31" customHeight="1" spans="1:15">
      <c r="A167" s="130" t="s">
        <v>27</v>
      </c>
      <c r="B167" s="73">
        <v>2</v>
      </c>
      <c r="C167" s="73" t="s">
        <v>175</v>
      </c>
      <c r="D167" s="73" t="s">
        <v>66</v>
      </c>
      <c r="E167" s="131" t="s">
        <v>67</v>
      </c>
      <c r="F167" s="73" t="s">
        <v>234</v>
      </c>
      <c r="G167" s="73" t="s">
        <v>217</v>
      </c>
      <c r="H167" s="73" t="s">
        <v>195</v>
      </c>
      <c r="I167" s="73" t="s">
        <v>192</v>
      </c>
      <c r="J167" s="73" t="s">
        <v>185</v>
      </c>
      <c r="K167" s="129"/>
      <c r="L167" s="129">
        <v>4800</v>
      </c>
      <c r="M167" s="129">
        <v>4800</v>
      </c>
      <c r="N167" s="20" t="s">
        <v>236</v>
      </c>
      <c r="O167" s="132"/>
    </row>
    <row r="168" ht="46" customHeight="1" spans="1:15">
      <c r="A168" s="130" t="s">
        <v>27</v>
      </c>
      <c r="B168" s="73">
        <v>3</v>
      </c>
      <c r="C168" s="73" t="s">
        <v>175</v>
      </c>
      <c r="D168" s="73" t="s">
        <v>103</v>
      </c>
      <c r="E168" s="131" t="s">
        <v>104</v>
      </c>
      <c r="F168" s="73" t="s">
        <v>234</v>
      </c>
      <c r="G168" s="73" t="s">
        <v>195</v>
      </c>
      <c r="H168" s="73" t="s">
        <v>195</v>
      </c>
      <c r="I168" s="73" t="s">
        <v>203</v>
      </c>
      <c r="J168" s="73" t="s">
        <v>185</v>
      </c>
      <c r="K168" s="129"/>
      <c r="L168" s="129">
        <v>11190</v>
      </c>
      <c r="M168" s="129">
        <v>11190</v>
      </c>
      <c r="N168" s="20" t="s">
        <v>237</v>
      </c>
      <c r="O168" s="132" t="s">
        <v>238</v>
      </c>
    </row>
    <row r="169" ht="31" customHeight="1" spans="1:15">
      <c r="A169" s="130" t="s">
        <v>27</v>
      </c>
      <c r="B169" s="73">
        <v>4</v>
      </c>
      <c r="C169" s="73" t="s">
        <v>175</v>
      </c>
      <c r="D169" s="73" t="s">
        <v>106</v>
      </c>
      <c r="E169" s="131" t="s">
        <v>107</v>
      </c>
      <c r="F169" s="73" t="s">
        <v>234</v>
      </c>
      <c r="G169" s="73" t="s">
        <v>217</v>
      </c>
      <c r="H169" s="73" t="s">
        <v>191</v>
      </c>
      <c r="I169" s="73" t="s">
        <v>192</v>
      </c>
      <c r="J169" s="73" t="s">
        <v>185</v>
      </c>
      <c r="K169" s="129"/>
      <c r="L169" s="129">
        <v>19000</v>
      </c>
      <c r="M169" s="129">
        <v>19000</v>
      </c>
      <c r="N169" s="20" t="s">
        <v>239</v>
      </c>
      <c r="O169" s="132" t="s">
        <v>240</v>
      </c>
    </row>
    <row r="170" ht="31" customHeight="1" spans="1:15">
      <c r="A170" s="130" t="s">
        <v>27</v>
      </c>
      <c r="B170" s="73">
        <v>5</v>
      </c>
      <c r="C170" s="73" t="s">
        <v>175</v>
      </c>
      <c r="D170" s="73" t="s">
        <v>66</v>
      </c>
      <c r="E170" s="131" t="s">
        <v>67</v>
      </c>
      <c r="F170" s="73" t="s">
        <v>234</v>
      </c>
      <c r="G170" s="73" t="s">
        <v>217</v>
      </c>
      <c r="H170" s="73" t="s">
        <v>195</v>
      </c>
      <c r="I170" s="73" t="s">
        <v>192</v>
      </c>
      <c r="J170" s="73" t="s">
        <v>185</v>
      </c>
      <c r="K170" s="129"/>
      <c r="L170" s="129">
        <v>4800</v>
      </c>
      <c r="M170" s="129">
        <v>4800</v>
      </c>
      <c r="N170" s="20" t="s">
        <v>236</v>
      </c>
      <c r="O170" s="132"/>
    </row>
    <row r="171" ht="31" customHeight="1" spans="1:15">
      <c r="A171" s="130" t="s">
        <v>27</v>
      </c>
      <c r="B171" s="73">
        <v>6</v>
      </c>
      <c r="C171" s="73" t="s">
        <v>175</v>
      </c>
      <c r="D171" s="73" t="s">
        <v>64</v>
      </c>
      <c r="E171" s="131" t="s">
        <v>65</v>
      </c>
      <c r="F171" s="73" t="s">
        <v>234</v>
      </c>
      <c r="G171" s="73" t="s">
        <v>217</v>
      </c>
      <c r="H171" s="73" t="s">
        <v>208</v>
      </c>
      <c r="I171" s="73" t="s">
        <v>192</v>
      </c>
      <c r="J171" s="73" t="s">
        <v>184</v>
      </c>
      <c r="K171" s="129">
        <v>2770</v>
      </c>
      <c r="L171" s="129"/>
      <c r="M171" s="129">
        <v>2770</v>
      </c>
      <c r="N171" s="20" t="s">
        <v>235</v>
      </c>
      <c r="O171" s="132" t="s">
        <v>194</v>
      </c>
    </row>
    <row r="172" ht="31" customHeight="1" spans="1:15">
      <c r="A172" s="130" t="s">
        <v>27</v>
      </c>
      <c r="B172" s="73">
        <v>7</v>
      </c>
      <c r="C172" s="73" t="s">
        <v>175</v>
      </c>
      <c r="D172" s="73" t="s">
        <v>100</v>
      </c>
      <c r="E172" s="131" t="s">
        <v>100</v>
      </c>
      <c r="F172" s="73" t="s">
        <v>234</v>
      </c>
      <c r="G172" s="73" t="s">
        <v>217</v>
      </c>
      <c r="H172" s="73" t="s">
        <v>191</v>
      </c>
      <c r="I172" s="73" t="s">
        <v>192</v>
      </c>
      <c r="J172" s="73" t="s">
        <v>184</v>
      </c>
      <c r="K172" s="129">
        <v>4800</v>
      </c>
      <c r="L172" s="129"/>
      <c r="M172" s="129">
        <v>4800</v>
      </c>
      <c r="N172" s="20" t="s">
        <v>236</v>
      </c>
      <c r="O172" s="132" t="s">
        <v>231</v>
      </c>
    </row>
    <row r="173" spans="1:15">
      <c r="A173" s="169" t="s">
        <v>241</v>
      </c>
      <c r="B173" s="170"/>
      <c r="C173" s="170"/>
      <c r="D173" s="170"/>
      <c r="E173" s="170"/>
      <c r="F173" s="170"/>
      <c r="G173" s="170"/>
      <c r="H173" s="170"/>
      <c r="I173" s="170"/>
      <c r="J173" s="171"/>
      <c r="K173" s="129">
        <f>SUM(K166:K172)</f>
        <v>10340</v>
      </c>
      <c r="L173" s="129">
        <f>SUM(L166:L172)</f>
        <v>39790</v>
      </c>
      <c r="M173" s="129">
        <f>SUM(M166:M172)</f>
        <v>50130</v>
      </c>
      <c r="N173" s="141"/>
      <c r="O173" s="142"/>
    </row>
    <row r="174" spans="1:15">
      <c r="A174" s="168" t="s">
        <v>328</v>
      </c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5"/>
    </row>
    <row r="175" ht="16" customHeight="1" spans="1:15">
      <c r="A175" s="130" t="s">
        <v>51</v>
      </c>
      <c r="B175" s="73" t="s">
        <v>52</v>
      </c>
      <c r="C175" s="73" t="s">
        <v>178</v>
      </c>
      <c r="D175" s="73" t="s">
        <v>53</v>
      </c>
      <c r="E175" s="131" t="s">
        <v>54</v>
      </c>
      <c r="F175" s="73" t="s">
        <v>179</v>
      </c>
      <c r="G175" s="73" t="s">
        <v>180</v>
      </c>
      <c r="H175" s="73" t="s">
        <v>181</v>
      </c>
      <c r="I175" s="73" t="s">
        <v>182</v>
      </c>
      <c r="J175" s="73" t="s">
        <v>183</v>
      </c>
      <c r="K175" s="129" t="s">
        <v>184</v>
      </c>
      <c r="L175" s="129" t="s">
        <v>185</v>
      </c>
      <c r="M175" s="129" t="s">
        <v>186</v>
      </c>
      <c r="N175" s="20" t="s">
        <v>187</v>
      </c>
      <c r="O175" s="141" t="s">
        <v>188</v>
      </c>
    </row>
    <row r="176" ht="31" customHeight="1" spans="1:15">
      <c r="A176" s="130" t="s">
        <v>29</v>
      </c>
      <c r="B176" s="73">
        <v>1</v>
      </c>
      <c r="C176" s="73" t="s">
        <v>175</v>
      </c>
      <c r="D176" s="73" t="s">
        <v>64</v>
      </c>
      <c r="E176" s="131" t="s">
        <v>65</v>
      </c>
      <c r="F176" s="73" t="s">
        <v>243</v>
      </c>
      <c r="G176" s="73" t="s">
        <v>244</v>
      </c>
      <c r="H176" s="73" t="s">
        <v>191</v>
      </c>
      <c r="I176" s="73" t="s">
        <v>192</v>
      </c>
      <c r="J176" s="73" t="s">
        <v>184</v>
      </c>
      <c r="K176" s="129">
        <v>1510</v>
      </c>
      <c r="L176" s="129"/>
      <c r="M176" s="129">
        <v>1510</v>
      </c>
      <c r="N176" s="20" t="s">
        <v>245</v>
      </c>
      <c r="O176" s="132" t="s">
        <v>194</v>
      </c>
    </row>
    <row r="177" ht="31" customHeight="1" spans="1:15">
      <c r="A177" s="130" t="s">
        <v>29</v>
      </c>
      <c r="B177" s="73">
        <v>2</v>
      </c>
      <c r="C177" s="73" t="s">
        <v>175</v>
      </c>
      <c r="D177" s="73" t="s">
        <v>66</v>
      </c>
      <c r="E177" s="131" t="s">
        <v>67</v>
      </c>
      <c r="F177" s="73" t="s">
        <v>243</v>
      </c>
      <c r="G177" s="73" t="s">
        <v>244</v>
      </c>
      <c r="H177" s="73" t="s">
        <v>195</v>
      </c>
      <c r="I177" s="73" t="s">
        <v>192</v>
      </c>
      <c r="J177" s="73" t="s">
        <v>185</v>
      </c>
      <c r="K177" s="129"/>
      <c r="L177" s="129">
        <v>2400</v>
      </c>
      <c r="M177" s="129">
        <v>2400</v>
      </c>
      <c r="N177" s="20" t="s">
        <v>246</v>
      </c>
      <c r="O177" s="132"/>
    </row>
    <row r="178" ht="16" customHeight="1" spans="1:15">
      <c r="A178" s="130" t="s">
        <v>29</v>
      </c>
      <c r="B178" s="73">
        <v>3</v>
      </c>
      <c r="C178" s="73" t="s">
        <v>175</v>
      </c>
      <c r="D178" s="73" t="s">
        <v>82</v>
      </c>
      <c r="E178" s="131" t="s">
        <v>83</v>
      </c>
      <c r="F178" s="73" t="s">
        <v>243</v>
      </c>
      <c r="G178" s="73" t="s">
        <v>212</v>
      </c>
      <c r="H178" s="73" t="s">
        <v>212</v>
      </c>
      <c r="I178" s="73" t="s">
        <v>203</v>
      </c>
      <c r="J178" s="73" t="s">
        <v>185</v>
      </c>
      <c r="K178" s="129"/>
      <c r="L178" s="129">
        <v>10500</v>
      </c>
      <c r="M178" s="129">
        <v>10500</v>
      </c>
      <c r="N178" s="20" t="s">
        <v>213</v>
      </c>
      <c r="O178" s="132"/>
    </row>
    <row r="179" ht="31" customHeight="1" spans="1:15">
      <c r="A179" s="130" t="s">
        <v>29</v>
      </c>
      <c r="B179" s="73">
        <v>4</v>
      </c>
      <c r="C179" s="73" t="s">
        <v>175</v>
      </c>
      <c r="D179" s="73" t="s">
        <v>68</v>
      </c>
      <c r="E179" s="131" t="s">
        <v>69</v>
      </c>
      <c r="F179" s="73" t="s">
        <v>243</v>
      </c>
      <c r="G179" s="73"/>
      <c r="H179" s="73" t="s">
        <v>208</v>
      </c>
      <c r="I179" s="73" t="s">
        <v>199</v>
      </c>
      <c r="J179" s="73" t="s">
        <v>185</v>
      </c>
      <c r="K179" s="129"/>
      <c r="L179" s="129">
        <v>3000</v>
      </c>
      <c r="M179" s="129">
        <v>3000</v>
      </c>
      <c r="N179" s="20" t="s">
        <v>247</v>
      </c>
      <c r="O179" s="132" t="s">
        <v>248</v>
      </c>
    </row>
    <row r="180" ht="16" customHeight="1" spans="1:15">
      <c r="A180" s="130" t="s">
        <v>29</v>
      </c>
      <c r="B180" s="73">
        <v>5</v>
      </c>
      <c r="C180" s="73" t="s">
        <v>175</v>
      </c>
      <c r="D180" s="73" t="s">
        <v>84</v>
      </c>
      <c r="E180" s="131" t="s">
        <v>110</v>
      </c>
      <c r="F180" s="73" t="s">
        <v>243</v>
      </c>
      <c r="G180" s="73" t="s">
        <v>202</v>
      </c>
      <c r="H180" s="73" t="s">
        <v>202</v>
      </c>
      <c r="I180" s="73" t="s">
        <v>203</v>
      </c>
      <c r="J180" s="73" t="s">
        <v>185</v>
      </c>
      <c r="K180" s="129"/>
      <c r="L180" s="129">
        <v>12000</v>
      </c>
      <c r="M180" s="129">
        <v>12000</v>
      </c>
      <c r="N180" s="20" t="s">
        <v>249</v>
      </c>
      <c r="O180" s="132"/>
    </row>
    <row r="181" ht="16" customHeight="1" spans="1:15">
      <c r="A181" s="130" t="s">
        <v>29</v>
      </c>
      <c r="B181" s="73">
        <v>6</v>
      </c>
      <c r="C181" s="73" t="s">
        <v>175</v>
      </c>
      <c r="D181" s="73" t="s">
        <v>96</v>
      </c>
      <c r="E181" s="131" t="s">
        <v>97</v>
      </c>
      <c r="F181" s="73" t="s">
        <v>243</v>
      </c>
      <c r="G181" s="73" t="s">
        <v>250</v>
      </c>
      <c r="H181" s="73" t="s">
        <v>208</v>
      </c>
      <c r="I181" s="73" t="s">
        <v>199</v>
      </c>
      <c r="J181" s="73" t="s">
        <v>185</v>
      </c>
      <c r="K181" s="129"/>
      <c r="L181" s="129">
        <v>3000</v>
      </c>
      <c r="M181" s="129">
        <v>3000</v>
      </c>
      <c r="N181" s="20" t="s">
        <v>251</v>
      </c>
      <c r="O181" s="132"/>
    </row>
    <row r="182" ht="31" customHeight="1" spans="1:15">
      <c r="A182" s="134" t="s">
        <v>29</v>
      </c>
      <c r="B182" s="135">
        <v>7</v>
      </c>
      <c r="C182" s="135" t="s">
        <v>175</v>
      </c>
      <c r="D182" s="135" t="s">
        <v>98</v>
      </c>
      <c r="E182" s="136" t="s">
        <v>99</v>
      </c>
      <c r="F182" s="135" t="s">
        <v>243</v>
      </c>
      <c r="G182" s="135" t="s">
        <v>250</v>
      </c>
      <c r="H182" s="135" t="s">
        <v>195</v>
      </c>
      <c r="I182" s="135" t="s">
        <v>199</v>
      </c>
      <c r="J182" s="135" t="s">
        <v>185</v>
      </c>
      <c r="K182" s="137"/>
      <c r="L182" s="137">
        <v>6000</v>
      </c>
      <c r="M182" s="137">
        <v>6000</v>
      </c>
      <c r="N182" s="138" t="s">
        <v>252</v>
      </c>
      <c r="O182" s="139" t="s">
        <v>230</v>
      </c>
    </row>
    <row r="183" ht="46" customHeight="1" spans="1:15">
      <c r="A183" s="130" t="s">
        <v>29</v>
      </c>
      <c r="B183" s="73">
        <v>8</v>
      </c>
      <c r="C183" s="73" t="s">
        <v>175</v>
      </c>
      <c r="D183" s="73" t="s">
        <v>111</v>
      </c>
      <c r="E183" s="131" t="s">
        <v>112</v>
      </c>
      <c r="F183" s="73" t="s">
        <v>243</v>
      </c>
      <c r="G183" s="73" t="s">
        <v>253</v>
      </c>
      <c r="H183" s="73" t="s">
        <v>253</v>
      </c>
      <c r="I183" s="73" t="s">
        <v>203</v>
      </c>
      <c r="J183" s="73" t="s">
        <v>185</v>
      </c>
      <c r="K183" s="129"/>
      <c r="L183" s="129">
        <v>7158</v>
      </c>
      <c r="M183" s="129">
        <v>7158</v>
      </c>
      <c r="N183" s="20" t="s">
        <v>254</v>
      </c>
      <c r="O183" s="132" t="s">
        <v>255</v>
      </c>
    </row>
    <row r="184" ht="31" customHeight="1" spans="1:15">
      <c r="A184" s="130" t="s">
        <v>29</v>
      </c>
      <c r="B184" s="73">
        <v>9</v>
      </c>
      <c r="C184" s="73" t="s">
        <v>175</v>
      </c>
      <c r="D184" s="73" t="s">
        <v>66</v>
      </c>
      <c r="E184" s="131" t="s">
        <v>67</v>
      </c>
      <c r="F184" s="73" t="s">
        <v>243</v>
      </c>
      <c r="G184" s="73" t="s">
        <v>244</v>
      </c>
      <c r="H184" s="73" t="s">
        <v>208</v>
      </c>
      <c r="I184" s="73" t="s">
        <v>192</v>
      </c>
      <c r="J184" s="73" t="s">
        <v>185</v>
      </c>
      <c r="K184" s="129"/>
      <c r="L184" s="129">
        <v>2400</v>
      </c>
      <c r="M184" s="129">
        <v>2400</v>
      </c>
      <c r="N184" s="20" t="s">
        <v>246</v>
      </c>
      <c r="O184" s="132"/>
    </row>
    <row r="185" ht="31" customHeight="1" spans="1:15">
      <c r="A185" s="130" t="s">
        <v>29</v>
      </c>
      <c r="B185" s="73">
        <v>10</v>
      </c>
      <c r="C185" s="73" t="s">
        <v>175</v>
      </c>
      <c r="D185" s="73" t="s">
        <v>64</v>
      </c>
      <c r="E185" s="131" t="s">
        <v>65</v>
      </c>
      <c r="F185" s="73" t="s">
        <v>243</v>
      </c>
      <c r="G185" s="73" t="s">
        <v>244</v>
      </c>
      <c r="H185" s="73" t="s">
        <v>202</v>
      </c>
      <c r="I185" s="73" t="s">
        <v>192</v>
      </c>
      <c r="J185" s="73" t="s">
        <v>184</v>
      </c>
      <c r="K185" s="129">
        <v>1510</v>
      </c>
      <c r="L185" s="129"/>
      <c r="M185" s="129">
        <v>1510</v>
      </c>
      <c r="N185" s="20" t="s">
        <v>245</v>
      </c>
      <c r="O185" s="132" t="s">
        <v>194</v>
      </c>
    </row>
    <row r="186" ht="31" customHeight="1" spans="1:15">
      <c r="A186" s="130" t="s">
        <v>29</v>
      </c>
      <c r="B186" s="73">
        <v>11</v>
      </c>
      <c r="C186" s="73" t="s">
        <v>175</v>
      </c>
      <c r="D186" s="73" t="s">
        <v>100</v>
      </c>
      <c r="E186" s="131" t="s">
        <v>100</v>
      </c>
      <c r="F186" s="73" t="s">
        <v>243</v>
      </c>
      <c r="G186" s="73" t="s">
        <v>244</v>
      </c>
      <c r="H186" s="73" t="s">
        <v>195</v>
      </c>
      <c r="I186" s="73" t="s">
        <v>192</v>
      </c>
      <c r="J186" s="73" t="s">
        <v>184</v>
      </c>
      <c r="K186" s="129">
        <v>2400</v>
      </c>
      <c r="L186" s="129"/>
      <c r="M186" s="129">
        <v>2400</v>
      </c>
      <c r="N186" s="20" t="s">
        <v>246</v>
      </c>
      <c r="O186" s="132" t="s">
        <v>231</v>
      </c>
    </row>
    <row r="187" spans="1:15">
      <c r="A187" s="169" t="s">
        <v>256</v>
      </c>
      <c r="B187" s="170"/>
      <c r="C187" s="170"/>
      <c r="D187" s="170"/>
      <c r="E187" s="170"/>
      <c r="F187" s="170"/>
      <c r="G187" s="170"/>
      <c r="H187" s="170"/>
      <c r="I187" s="170"/>
      <c r="J187" s="171"/>
      <c r="K187" s="129">
        <f>SUM(K176:K186)</f>
        <v>5420</v>
      </c>
      <c r="L187" s="129">
        <f>SUM(L176:L186)</f>
        <v>46458</v>
      </c>
      <c r="M187" s="129">
        <f>SUM(M176:M186)</f>
        <v>51878</v>
      </c>
      <c r="N187" s="141"/>
      <c r="O187" s="142"/>
    </row>
    <row r="188" spans="1:15">
      <c r="A188" s="168" t="s">
        <v>329</v>
      </c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5"/>
    </row>
    <row r="189" ht="16" customHeight="1" spans="1:15">
      <c r="A189" s="130" t="s">
        <v>51</v>
      </c>
      <c r="B189" s="73" t="s">
        <v>52</v>
      </c>
      <c r="C189" s="73" t="s">
        <v>178</v>
      </c>
      <c r="D189" s="73" t="s">
        <v>53</v>
      </c>
      <c r="E189" s="131" t="s">
        <v>54</v>
      </c>
      <c r="F189" s="73" t="s">
        <v>179</v>
      </c>
      <c r="G189" s="73" t="s">
        <v>180</v>
      </c>
      <c r="H189" s="73" t="s">
        <v>181</v>
      </c>
      <c r="I189" s="73" t="s">
        <v>182</v>
      </c>
      <c r="J189" s="73" t="s">
        <v>183</v>
      </c>
      <c r="K189" s="129" t="s">
        <v>184</v>
      </c>
      <c r="L189" s="129" t="s">
        <v>185</v>
      </c>
      <c r="M189" s="129" t="s">
        <v>186</v>
      </c>
      <c r="N189" s="20" t="s">
        <v>187</v>
      </c>
      <c r="O189" s="141" t="s">
        <v>188</v>
      </c>
    </row>
    <row r="190" ht="31" customHeight="1" spans="1:15">
      <c r="A190" s="130" t="s">
        <v>30</v>
      </c>
      <c r="B190" s="73">
        <v>1</v>
      </c>
      <c r="C190" s="73" t="s">
        <v>175</v>
      </c>
      <c r="D190" s="73" t="s">
        <v>64</v>
      </c>
      <c r="E190" s="131" t="s">
        <v>65</v>
      </c>
      <c r="F190" s="73" t="s">
        <v>258</v>
      </c>
      <c r="G190" s="73" t="s">
        <v>244</v>
      </c>
      <c r="H190" s="73" t="s">
        <v>191</v>
      </c>
      <c r="I190" s="73" t="s">
        <v>192</v>
      </c>
      <c r="J190" s="73" t="s">
        <v>184</v>
      </c>
      <c r="K190" s="129">
        <v>1510</v>
      </c>
      <c r="L190" s="129"/>
      <c r="M190" s="129">
        <v>1510</v>
      </c>
      <c r="N190" s="20" t="s">
        <v>245</v>
      </c>
      <c r="O190" s="132" t="s">
        <v>194</v>
      </c>
    </row>
    <row r="191" ht="31" customHeight="1" spans="1:15">
      <c r="A191" s="130" t="s">
        <v>30</v>
      </c>
      <c r="B191" s="73">
        <v>2</v>
      </c>
      <c r="C191" s="73" t="s">
        <v>175</v>
      </c>
      <c r="D191" s="73" t="s">
        <v>66</v>
      </c>
      <c r="E191" s="131" t="s">
        <v>67</v>
      </c>
      <c r="F191" s="73" t="s">
        <v>258</v>
      </c>
      <c r="G191" s="73" t="s">
        <v>244</v>
      </c>
      <c r="H191" s="73" t="s">
        <v>195</v>
      </c>
      <c r="I191" s="73" t="s">
        <v>192</v>
      </c>
      <c r="J191" s="73" t="s">
        <v>185</v>
      </c>
      <c r="K191" s="129"/>
      <c r="L191" s="129">
        <v>2400</v>
      </c>
      <c r="M191" s="129">
        <v>2400</v>
      </c>
      <c r="N191" s="20" t="s">
        <v>246</v>
      </c>
      <c r="O191" s="132"/>
    </row>
    <row r="192" ht="16" customHeight="1" spans="1:15">
      <c r="A192" s="130" t="s">
        <v>30</v>
      </c>
      <c r="B192" s="73">
        <v>3</v>
      </c>
      <c r="C192" s="73" t="s">
        <v>175</v>
      </c>
      <c r="D192" s="73" t="s">
        <v>114</v>
      </c>
      <c r="E192" s="131" t="s">
        <v>115</v>
      </c>
      <c r="F192" s="73" t="s">
        <v>258</v>
      </c>
      <c r="G192" s="73" t="s">
        <v>259</v>
      </c>
      <c r="H192" s="73" t="s">
        <v>259</v>
      </c>
      <c r="I192" s="73" t="s">
        <v>203</v>
      </c>
      <c r="J192" s="73" t="s">
        <v>185</v>
      </c>
      <c r="K192" s="129"/>
      <c r="L192" s="129">
        <v>40320</v>
      </c>
      <c r="M192" s="129">
        <v>40320</v>
      </c>
      <c r="N192" s="20" t="s">
        <v>260</v>
      </c>
      <c r="O192" s="132"/>
    </row>
    <row r="193" ht="31" customHeight="1" spans="1:15">
      <c r="A193" s="130" t="s">
        <v>30</v>
      </c>
      <c r="B193" s="73">
        <v>4</v>
      </c>
      <c r="C193" s="73" t="s">
        <v>175</v>
      </c>
      <c r="D193" s="73" t="s">
        <v>66</v>
      </c>
      <c r="E193" s="131" t="s">
        <v>67</v>
      </c>
      <c r="F193" s="73" t="s">
        <v>258</v>
      </c>
      <c r="G193" s="73" t="s">
        <v>244</v>
      </c>
      <c r="H193" s="73" t="s">
        <v>208</v>
      </c>
      <c r="I193" s="73" t="s">
        <v>192</v>
      </c>
      <c r="J193" s="73" t="s">
        <v>185</v>
      </c>
      <c r="K193" s="129"/>
      <c r="L193" s="129">
        <v>2400</v>
      </c>
      <c r="M193" s="129">
        <v>2400</v>
      </c>
      <c r="N193" s="20" t="s">
        <v>246</v>
      </c>
      <c r="O193" s="132"/>
    </row>
    <row r="194" ht="31" customHeight="1" spans="1:15">
      <c r="A194" s="130" t="s">
        <v>30</v>
      </c>
      <c r="B194" s="73">
        <v>5</v>
      </c>
      <c r="C194" s="73" t="s">
        <v>175</v>
      </c>
      <c r="D194" s="73" t="s">
        <v>64</v>
      </c>
      <c r="E194" s="131" t="s">
        <v>65</v>
      </c>
      <c r="F194" s="73" t="s">
        <v>258</v>
      </c>
      <c r="G194" s="73" t="s">
        <v>244</v>
      </c>
      <c r="H194" s="73" t="s">
        <v>202</v>
      </c>
      <c r="I194" s="73" t="s">
        <v>192</v>
      </c>
      <c r="J194" s="73" t="s">
        <v>184</v>
      </c>
      <c r="K194" s="129">
        <v>1510</v>
      </c>
      <c r="L194" s="129"/>
      <c r="M194" s="129">
        <v>1510</v>
      </c>
      <c r="N194" s="20" t="s">
        <v>245</v>
      </c>
      <c r="O194" s="132" t="s">
        <v>194</v>
      </c>
    </row>
    <row r="195" ht="31" customHeight="1" spans="1:15">
      <c r="A195" s="130" t="s">
        <v>30</v>
      </c>
      <c r="B195" s="73">
        <v>6</v>
      </c>
      <c r="C195" s="73" t="s">
        <v>175</v>
      </c>
      <c r="D195" s="73" t="s">
        <v>100</v>
      </c>
      <c r="E195" s="131" t="s">
        <v>100</v>
      </c>
      <c r="F195" s="73" t="s">
        <v>258</v>
      </c>
      <c r="G195" s="73" t="s">
        <v>244</v>
      </c>
      <c r="H195" s="73" t="s">
        <v>195</v>
      </c>
      <c r="I195" s="73" t="s">
        <v>192</v>
      </c>
      <c r="J195" s="73" t="s">
        <v>184</v>
      </c>
      <c r="K195" s="129">
        <v>2400</v>
      </c>
      <c r="L195" s="129"/>
      <c r="M195" s="129">
        <v>2400</v>
      </c>
      <c r="N195" s="20" t="s">
        <v>246</v>
      </c>
      <c r="O195" s="132" t="s">
        <v>231</v>
      </c>
    </row>
    <row r="196" spans="1:15">
      <c r="A196" s="169" t="s">
        <v>261</v>
      </c>
      <c r="B196" s="170"/>
      <c r="C196" s="170"/>
      <c r="D196" s="170"/>
      <c r="E196" s="170"/>
      <c r="F196" s="170"/>
      <c r="G196" s="170"/>
      <c r="H196" s="170"/>
      <c r="I196" s="170"/>
      <c r="J196" s="171"/>
      <c r="K196" s="129">
        <f>SUM(K190:K195)</f>
        <v>5420</v>
      </c>
      <c r="L196" s="129">
        <f>SUM(L190:L195)</f>
        <v>45120</v>
      </c>
      <c r="M196" s="129">
        <f>SUM(M190:M195)</f>
        <v>50540</v>
      </c>
      <c r="N196" s="141"/>
      <c r="O196" s="142"/>
    </row>
    <row r="197" spans="1:15">
      <c r="A197" s="168" t="s">
        <v>330</v>
      </c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5"/>
    </row>
    <row r="198" ht="16" customHeight="1" spans="1:15">
      <c r="A198" s="130" t="s">
        <v>51</v>
      </c>
      <c r="B198" s="73" t="s">
        <v>52</v>
      </c>
      <c r="C198" s="73" t="s">
        <v>178</v>
      </c>
      <c r="D198" s="73" t="s">
        <v>53</v>
      </c>
      <c r="E198" s="131" t="s">
        <v>54</v>
      </c>
      <c r="F198" s="73" t="s">
        <v>179</v>
      </c>
      <c r="G198" s="73" t="s">
        <v>180</v>
      </c>
      <c r="H198" s="73" t="s">
        <v>181</v>
      </c>
      <c r="I198" s="73" t="s">
        <v>182</v>
      </c>
      <c r="J198" s="73" t="s">
        <v>183</v>
      </c>
      <c r="K198" s="129" t="s">
        <v>184</v>
      </c>
      <c r="L198" s="129" t="s">
        <v>185</v>
      </c>
      <c r="M198" s="129" t="s">
        <v>186</v>
      </c>
      <c r="N198" s="20" t="s">
        <v>187</v>
      </c>
      <c r="O198" s="141" t="s">
        <v>188</v>
      </c>
    </row>
    <row r="199" ht="31" customHeight="1" spans="1:15">
      <c r="A199" s="130" t="s">
        <v>31</v>
      </c>
      <c r="B199" s="73">
        <v>1</v>
      </c>
      <c r="C199" s="73" t="s">
        <v>175</v>
      </c>
      <c r="D199" s="73" t="s">
        <v>64</v>
      </c>
      <c r="E199" s="131" t="s">
        <v>65</v>
      </c>
      <c r="F199" s="73" t="s">
        <v>263</v>
      </c>
      <c r="G199" s="73" t="s">
        <v>244</v>
      </c>
      <c r="H199" s="73" t="s">
        <v>191</v>
      </c>
      <c r="I199" s="73" t="s">
        <v>192</v>
      </c>
      <c r="J199" s="73" t="s">
        <v>184</v>
      </c>
      <c r="K199" s="129">
        <v>1510</v>
      </c>
      <c r="L199" s="129"/>
      <c r="M199" s="129">
        <v>1510</v>
      </c>
      <c r="N199" s="20" t="s">
        <v>245</v>
      </c>
      <c r="O199" s="132" t="s">
        <v>194</v>
      </c>
    </row>
    <row r="200" ht="31" customHeight="1" spans="1:15">
      <c r="A200" s="130" t="s">
        <v>31</v>
      </c>
      <c r="B200" s="73">
        <v>2</v>
      </c>
      <c r="C200" s="73" t="s">
        <v>175</v>
      </c>
      <c r="D200" s="73" t="s">
        <v>66</v>
      </c>
      <c r="E200" s="131" t="s">
        <v>67</v>
      </c>
      <c r="F200" s="73" t="s">
        <v>263</v>
      </c>
      <c r="G200" s="73" t="s">
        <v>244</v>
      </c>
      <c r="H200" s="73" t="s">
        <v>195</v>
      </c>
      <c r="I200" s="73" t="s">
        <v>192</v>
      </c>
      <c r="J200" s="73" t="s">
        <v>185</v>
      </c>
      <c r="K200" s="129"/>
      <c r="L200" s="129">
        <v>2400</v>
      </c>
      <c r="M200" s="129">
        <v>2400</v>
      </c>
      <c r="N200" s="20" t="s">
        <v>246</v>
      </c>
      <c r="O200" s="132"/>
    </row>
    <row r="201" ht="16" customHeight="1" spans="1:15">
      <c r="A201" s="130" t="s">
        <v>31</v>
      </c>
      <c r="B201" s="73">
        <v>3</v>
      </c>
      <c r="C201" s="73" t="s">
        <v>175</v>
      </c>
      <c r="D201" s="73" t="s">
        <v>117</v>
      </c>
      <c r="E201" s="131" t="s">
        <v>118</v>
      </c>
      <c r="F201" s="73" t="s">
        <v>263</v>
      </c>
      <c r="G201" s="73" t="s">
        <v>264</v>
      </c>
      <c r="H201" s="73" t="s">
        <v>264</v>
      </c>
      <c r="I201" s="73" t="s">
        <v>203</v>
      </c>
      <c r="J201" s="73" t="s">
        <v>185</v>
      </c>
      <c r="K201" s="129"/>
      <c r="L201" s="129">
        <v>104400</v>
      </c>
      <c r="M201" s="129">
        <v>104400</v>
      </c>
      <c r="N201" s="20" t="s">
        <v>265</v>
      </c>
      <c r="O201" s="132"/>
    </row>
    <row r="202" ht="31" customHeight="1" spans="1:15">
      <c r="A202" s="130" t="s">
        <v>31</v>
      </c>
      <c r="B202" s="73">
        <v>4</v>
      </c>
      <c r="C202" s="73" t="s">
        <v>175</v>
      </c>
      <c r="D202" s="73" t="s">
        <v>66</v>
      </c>
      <c r="E202" s="131" t="s">
        <v>67</v>
      </c>
      <c r="F202" s="73" t="s">
        <v>263</v>
      </c>
      <c r="G202" s="73" t="s">
        <v>244</v>
      </c>
      <c r="H202" s="73" t="s">
        <v>208</v>
      </c>
      <c r="I202" s="73" t="s">
        <v>192</v>
      </c>
      <c r="J202" s="73" t="s">
        <v>185</v>
      </c>
      <c r="K202" s="129"/>
      <c r="L202" s="129">
        <v>2400</v>
      </c>
      <c r="M202" s="129">
        <v>2400</v>
      </c>
      <c r="N202" s="20" t="s">
        <v>246</v>
      </c>
      <c r="O202" s="132"/>
    </row>
    <row r="203" ht="31" customHeight="1" spans="1:15">
      <c r="A203" s="130" t="s">
        <v>31</v>
      </c>
      <c r="B203" s="73">
        <v>5</v>
      </c>
      <c r="C203" s="73" t="s">
        <v>175</v>
      </c>
      <c r="D203" s="73" t="s">
        <v>64</v>
      </c>
      <c r="E203" s="131" t="s">
        <v>65</v>
      </c>
      <c r="F203" s="73" t="s">
        <v>263</v>
      </c>
      <c r="G203" s="73" t="s">
        <v>244</v>
      </c>
      <c r="H203" s="73" t="s">
        <v>202</v>
      </c>
      <c r="I203" s="73" t="s">
        <v>192</v>
      </c>
      <c r="J203" s="73" t="s">
        <v>184</v>
      </c>
      <c r="K203" s="129">
        <v>1510</v>
      </c>
      <c r="L203" s="129"/>
      <c r="M203" s="129">
        <v>1510</v>
      </c>
      <c r="N203" s="20" t="s">
        <v>245</v>
      </c>
      <c r="O203" s="132" t="s">
        <v>194</v>
      </c>
    </row>
    <row r="204" ht="31" customHeight="1" spans="1:15">
      <c r="A204" s="130" t="s">
        <v>31</v>
      </c>
      <c r="B204" s="73">
        <v>6</v>
      </c>
      <c r="C204" s="73" t="s">
        <v>175</v>
      </c>
      <c r="D204" s="73" t="s">
        <v>100</v>
      </c>
      <c r="E204" s="131" t="s">
        <v>100</v>
      </c>
      <c r="F204" s="73" t="s">
        <v>263</v>
      </c>
      <c r="G204" s="73" t="s">
        <v>244</v>
      </c>
      <c r="H204" s="73" t="s">
        <v>195</v>
      </c>
      <c r="I204" s="73" t="s">
        <v>192</v>
      </c>
      <c r="J204" s="73" t="s">
        <v>184</v>
      </c>
      <c r="K204" s="129">
        <v>2400</v>
      </c>
      <c r="L204" s="129"/>
      <c r="M204" s="129">
        <v>2400</v>
      </c>
      <c r="N204" s="20" t="s">
        <v>246</v>
      </c>
      <c r="O204" s="132" t="s">
        <v>231</v>
      </c>
    </row>
    <row r="205" spans="1:15">
      <c r="A205" s="169" t="s">
        <v>266</v>
      </c>
      <c r="B205" s="170"/>
      <c r="C205" s="170"/>
      <c r="D205" s="170"/>
      <c r="E205" s="170"/>
      <c r="F205" s="170"/>
      <c r="G205" s="170"/>
      <c r="H205" s="170"/>
      <c r="I205" s="170"/>
      <c r="J205" s="171"/>
      <c r="K205" s="129">
        <f>SUM(K199:K204)</f>
        <v>5420</v>
      </c>
      <c r="L205" s="129">
        <f>SUM(L199:L204)</f>
        <v>109200</v>
      </c>
      <c r="M205" s="129">
        <f>SUM(M199:M204)</f>
        <v>114620</v>
      </c>
      <c r="N205" s="141"/>
      <c r="O205" s="142"/>
    </row>
    <row r="206" spans="1:15">
      <c r="A206" s="168" t="s">
        <v>331</v>
      </c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5"/>
    </row>
    <row r="207" ht="16" customHeight="1" spans="1:15">
      <c r="A207" s="130" t="s">
        <v>51</v>
      </c>
      <c r="B207" s="73" t="s">
        <v>52</v>
      </c>
      <c r="C207" s="73" t="s">
        <v>178</v>
      </c>
      <c r="D207" s="73" t="s">
        <v>53</v>
      </c>
      <c r="E207" s="131" t="s">
        <v>54</v>
      </c>
      <c r="F207" s="73" t="s">
        <v>179</v>
      </c>
      <c r="G207" s="73" t="s">
        <v>180</v>
      </c>
      <c r="H207" s="73" t="s">
        <v>181</v>
      </c>
      <c r="I207" s="73" t="s">
        <v>182</v>
      </c>
      <c r="J207" s="73" t="s">
        <v>183</v>
      </c>
      <c r="K207" s="129" t="s">
        <v>184</v>
      </c>
      <c r="L207" s="129" t="s">
        <v>185</v>
      </c>
      <c r="M207" s="129" t="s">
        <v>186</v>
      </c>
      <c r="N207" s="20" t="s">
        <v>187</v>
      </c>
      <c r="O207" s="141" t="s">
        <v>188</v>
      </c>
    </row>
    <row r="208" ht="16" customHeight="1" spans="1:15">
      <c r="A208" s="130" t="s">
        <v>32</v>
      </c>
      <c r="B208" s="73">
        <v>1</v>
      </c>
      <c r="C208" s="73" t="s">
        <v>175</v>
      </c>
      <c r="D208" s="73" t="s">
        <v>64</v>
      </c>
      <c r="E208" s="131" t="s">
        <v>65</v>
      </c>
      <c r="F208" s="73" t="s">
        <v>268</v>
      </c>
      <c r="G208" s="73"/>
      <c r="H208" s="73" t="s">
        <v>191</v>
      </c>
      <c r="I208" s="73" t="s">
        <v>332</v>
      </c>
      <c r="J208" s="73" t="s">
        <v>184</v>
      </c>
      <c r="K208" s="129"/>
      <c r="L208" s="129"/>
      <c r="M208" s="129"/>
      <c r="N208" s="20"/>
      <c r="O208" s="172"/>
    </row>
    <row r="209" ht="31" customHeight="1" spans="1:15">
      <c r="A209" s="130" t="s">
        <v>32</v>
      </c>
      <c r="B209" s="73">
        <v>2</v>
      </c>
      <c r="C209" s="73" t="s">
        <v>175</v>
      </c>
      <c r="D209" s="73" t="s">
        <v>66</v>
      </c>
      <c r="E209" s="131" t="s">
        <v>67</v>
      </c>
      <c r="F209" s="73" t="s">
        <v>268</v>
      </c>
      <c r="G209" s="73" t="s">
        <v>244</v>
      </c>
      <c r="H209" s="73" t="s">
        <v>195</v>
      </c>
      <c r="I209" s="73" t="s">
        <v>192</v>
      </c>
      <c r="J209" s="73" t="s">
        <v>185</v>
      </c>
      <c r="K209" s="129"/>
      <c r="L209" s="129">
        <v>2400</v>
      </c>
      <c r="M209" s="129">
        <v>2400</v>
      </c>
      <c r="N209" s="20" t="s">
        <v>246</v>
      </c>
      <c r="O209" s="132"/>
    </row>
    <row r="210" ht="16" customHeight="1" spans="1:15">
      <c r="A210" s="130" t="s">
        <v>32</v>
      </c>
      <c r="B210" s="73">
        <v>3</v>
      </c>
      <c r="C210" s="73" t="s">
        <v>175</v>
      </c>
      <c r="D210" s="73" t="s">
        <v>120</v>
      </c>
      <c r="E210" s="131" t="s">
        <v>121</v>
      </c>
      <c r="F210" s="73" t="s">
        <v>268</v>
      </c>
      <c r="G210" s="73" t="s">
        <v>271</v>
      </c>
      <c r="H210" s="73" t="s">
        <v>271</v>
      </c>
      <c r="I210" s="73" t="s">
        <v>203</v>
      </c>
      <c r="J210" s="73" t="s">
        <v>185</v>
      </c>
      <c r="K210" s="129"/>
      <c r="L210" s="129">
        <v>50850</v>
      </c>
      <c r="M210" s="129">
        <v>50850</v>
      </c>
      <c r="N210" s="20" t="s">
        <v>272</v>
      </c>
      <c r="O210" s="132"/>
    </row>
    <row r="211" ht="31" customHeight="1" spans="1:15">
      <c r="A211" s="130" t="s">
        <v>32</v>
      </c>
      <c r="B211" s="73">
        <v>4</v>
      </c>
      <c r="C211" s="73" t="s">
        <v>175</v>
      </c>
      <c r="D211" s="73" t="s">
        <v>66</v>
      </c>
      <c r="E211" s="131" t="s">
        <v>67</v>
      </c>
      <c r="F211" s="73" t="s">
        <v>268</v>
      </c>
      <c r="G211" s="73" t="s">
        <v>244</v>
      </c>
      <c r="H211" s="73" t="s">
        <v>208</v>
      </c>
      <c r="I211" s="73" t="s">
        <v>192</v>
      </c>
      <c r="J211" s="73" t="s">
        <v>185</v>
      </c>
      <c r="K211" s="129"/>
      <c r="L211" s="129">
        <v>2400</v>
      </c>
      <c r="M211" s="129">
        <v>2400</v>
      </c>
      <c r="N211" s="20" t="s">
        <v>246</v>
      </c>
      <c r="O211" s="132"/>
    </row>
    <row r="212" ht="31" customHeight="1" spans="1:15">
      <c r="A212" s="130" t="s">
        <v>32</v>
      </c>
      <c r="B212" s="73">
        <v>5</v>
      </c>
      <c r="C212" s="73" t="s">
        <v>175</v>
      </c>
      <c r="D212" s="73" t="s">
        <v>100</v>
      </c>
      <c r="E212" s="131" t="s">
        <v>100</v>
      </c>
      <c r="F212" s="73" t="s">
        <v>268</v>
      </c>
      <c r="G212" s="73" t="s">
        <v>269</v>
      </c>
      <c r="H212" s="73" t="s">
        <v>195</v>
      </c>
      <c r="I212" s="73" t="s">
        <v>192</v>
      </c>
      <c r="J212" s="73" t="s">
        <v>184</v>
      </c>
      <c r="K212" s="129">
        <v>3200</v>
      </c>
      <c r="L212" s="129"/>
      <c r="M212" s="129">
        <v>3200</v>
      </c>
      <c r="N212" s="20" t="s">
        <v>273</v>
      </c>
      <c r="O212" s="132" t="s">
        <v>231</v>
      </c>
    </row>
    <row r="213" ht="46" customHeight="1" spans="1:15">
      <c r="A213" s="130" t="s">
        <v>32</v>
      </c>
      <c r="B213" s="73">
        <v>6</v>
      </c>
      <c r="C213" s="73" t="s">
        <v>175</v>
      </c>
      <c r="D213" s="73" t="s">
        <v>123</v>
      </c>
      <c r="E213" s="131" t="s">
        <v>123</v>
      </c>
      <c r="F213" s="73" t="s">
        <v>268</v>
      </c>
      <c r="G213" s="73" t="s">
        <v>333</v>
      </c>
      <c r="H213" s="73" t="s">
        <v>275</v>
      </c>
      <c r="I213" s="73" t="s">
        <v>192</v>
      </c>
      <c r="J213" s="73" t="s">
        <v>185</v>
      </c>
      <c r="K213" s="129"/>
      <c r="L213" s="129">
        <v>21450</v>
      </c>
      <c r="M213" s="129">
        <v>21450</v>
      </c>
      <c r="N213" s="20" t="s">
        <v>276</v>
      </c>
      <c r="O213" s="132" t="s">
        <v>277</v>
      </c>
    </row>
    <row r="214" spans="1:15">
      <c r="A214" s="169" t="s">
        <v>278</v>
      </c>
      <c r="B214" s="170"/>
      <c r="C214" s="170"/>
      <c r="D214" s="170"/>
      <c r="E214" s="170"/>
      <c r="F214" s="170"/>
      <c r="G214" s="170"/>
      <c r="H214" s="170"/>
      <c r="I214" s="170"/>
      <c r="J214" s="171"/>
      <c r="K214" s="129">
        <f>SUM(K208:K213)</f>
        <v>3200</v>
      </c>
      <c r="L214" s="129">
        <f>SUM(L208:L213)</f>
        <v>77100</v>
      </c>
      <c r="M214" s="129">
        <f>SUM(M208:M213)</f>
        <v>80300</v>
      </c>
      <c r="N214" s="141"/>
      <c r="O214" s="142"/>
    </row>
    <row r="215" spans="1:15">
      <c r="A215" s="168" t="s">
        <v>334</v>
      </c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5"/>
    </row>
    <row r="216" ht="16" customHeight="1" spans="1:15">
      <c r="A216" s="130" t="s">
        <v>51</v>
      </c>
      <c r="B216" s="73" t="s">
        <v>52</v>
      </c>
      <c r="C216" s="73" t="s">
        <v>178</v>
      </c>
      <c r="D216" s="73" t="s">
        <v>53</v>
      </c>
      <c r="E216" s="131" t="s">
        <v>54</v>
      </c>
      <c r="F216" s="73" t="s">
        <v>179</v>
      </c>
      <c r="G216" s="73" t="s">
        <v>180</v>
      </c>
      <c r="H216" s="73" t="s">
        <v>181</v>
      </c>
      <c r="I216" s="73" t="s">
        <v>182</v>
      </c>
      <c r="J216" s="73" t="s">
        <v>183</v>
      </c>
      <c r="K216" s="129" t="s">
        <v>184</v>
      </c>
      <c r="L216" s="129" t="s">
        <v>185</v>
      </c>
      <c r="M216" s="129" t="s">
        <v>186</v>
      </c>
      <c r="N216" s="20" t="s">
        <v>187</v>
      </c>
      <c r="O216" s="141" t="s">
        <v>188</v>
      </c>
    </row>
    <row r="217" ht="16" customHeight="1" spans="1:15">
      <c r="A217" s="130" t="s">
        <v>34</v>
      </c>
      <c r="B217" s="73">
        <v>1</v>
      </c>
      <c r="C217" s="73" t="s">
        <v>175</v>
      </c>
      <c r="D217" s="73" t="s">
        <v>64</v>
      </c>
      <c r="E217" s="131" t="s">
        <v>65</v>
      </c>
      <c r="F217" s="73" t="s">
        <v>280</v>
      </c>
      <c r="G217" s="73"/>
      <c r="H217" s="73" t="s">
        <v>191</v>
      </c>
      <c r="I217" s="73" t="s">
        <v>332</v>
      </c>
      <c r="J217" s="73" t="s">
        <v>184</v>
      </c>
      <c r="K217" s="129"/>
      <c r="L217" s="129"/>
      <c r="M217" s="129"/>
      <c r="N217" s="20"/>
      <c r="O217" s="172"/>
    </row>
    <row r="218" ht="31" customHeight="1" spans="1:15">
      <c r="A218" s="130" t="s">
        <v>34</v>
      </c>
      <c r="B218" s="73">
        <v>2</v>
      </c>
      <c r="C218" s="73" t="s">
        <v>175</v>
      </c>
      <c r="D218" s="73" t="s">
        <v>66</v>
      </c>
      <c r="E218" s="131" t="s">
        <v>67</v>
      </c>
      <c r="F218" s="73" t="s">
        <v>280</v>
      </c>
      <c r="G218" s="73" t="s">
        <v>244</v>
      </c>
      <c r="H218" s="73" t="s">
        <v>195</v>
      </c>
      <c r="I218" s="73" t="s">
        <v>192</v>
      </c>
      <c r="J218" s="73" t="s">
        <v>185</v>
      </c>
      <c r="K218" s="129"/>
      <c r="L218" s="129">
        <v>2400</v>
      </c>
      <c r="M218" s="129">
        <v>2400</v>
      </c>
      <c r="N218" s="20" t="s">
        <v>246</v>
      </c>
      <c r="O218" s="132"/>
    </row>
    <row r="219" ht="16" customHeight="1" spans="1:15">
      <c r="A219" s="130" t="s">
        <v>34</v>
      </c>
      <c r="B219" s="73">
        <v>3</v>
      </c>
      <c r="C219" s="73" t="s">
        <v>175</v>
      </c>
      <c r="D219" s="73" t="s">
        <v>125</v>
      </c>
      <c r="E219" s="131" t="s">
        <v>126</v>
      </c>
      <c r="F219" s="73" t="s">
        <v>280</v>
      </c>
      <c r="G219" s="73" t="s">
        <v>207</v>
      </c>
      <c r="H219" s="73" t="s">
        <v>208</v>
      </c>
      <c r="I219" s="73" t="s">
        <v>199</v>
      </c>
      <c r="J219" s="73" t="s">
        <v>185</v>
      </c>
      <c r="K219" s="129"/>
      <c r="L219" s="129">
        <v>5000</v>
      </c>
      <c r="M219" s="129">
        <v>5000</v>
      </c>
      <c r="N219" s="20" t="s">
        <v>209</v>
      </c>
      <c r="O219" s="132"/>
    </row>
    <row r="220" ht="31" customHeight="1" spans="1:15">
      <c r="A220" s="130" t="s">
        <v>34</v>
      </c>
      <c r="B220" s="73">
        <v>4</v>
      </c>
      <c r="C220" s="73" t="s">
        <v>175</v>
      </c>
      <c r="D220" s="73" t="s">
        <v>66</v>
      </c>
      <c r="E220" s="131" t="s">
        <v>67</v>
      </c>
      <c r="F220" s="73" t="s">
        <v>280</v>
      </c>
      <c r="G220" s="73" t="s">
        <v>244</v>
      </c>
      <c r="H220" s="73" t="s">
        <v>208</v>
      </c>
      <c r="I220" s="73" t="s">
        <v>192</v>
      </c>
      <c r="J220" s="73" t="s">
        <v>185</v>
      </c>
      <c r="K220" s="129"/>
      <c r="L220" s="129">
        <v>2400</v>
      </c>
      <c r="M220" s="129">
        <v>2400</v>
      </c>
      <c r="N220" s="20" t="s">
        <v>246</v>
      </c>
      <c r="O220" s="132"/>
    </row>
    <row r="221" ht="31" customHeight="1" spans="1:15">
      <c r="A221" s="130" t="s">
        <v>34</v>
      </c>
      <c r="B221" s="73">
        <v>5</v>
      </c>
      <c r="C221" s="73" t="s">
        <v>175</v>
      </c>
      <c r="D221" s="73" t="s">
        <v>100</v>
      </c>
      <c r="E221" s="131" t="s">
        <v>100</v>
      </c>
      <c r="F221" s="73" t="s">
        <v>280</v>
      </c>
      <c r="G221" s="73" t="s">
        <v>244</v>
      </c>
      <c r="H221" s="73" t="s">
        <v>195</v>
      </c>
      <c r="I221" s="73" t="s">
        <v>192</v>
      </c>
      <c r="J221" s="73" t="s">
        <v>184</v>
      </c>
      <c r="K221" s="129">
        <v>2400</v>
      </c>
      <c r="L221" s="129"/>
      <c r="M221" s="129">
        <v>2400</v>
      </c>
      <c r="N221" s="20" t="s">
        <v>246</v>
      </c>
      <c r="O221" s="132" t="s">
        <v>231</v>
      </c>
    </row>
    <row r="222" spans="1:15">
      <c r="A222" s="169" t="s">
        <v>281</v>
      </c>
      <c r="B222" s="170"/>
      <c r="C222" s="170"/>
      <c r="D222" s="170"/>
      <c r="E222" s="170"/>
      <c r="F222" s="170"/>
      <c r="G222" s="170"/>
      <c r="H222" s="170"/>
      <c r="I222" s="170"/>
      <c r="J222" s="171"/>
      <c r="K222" s="129">
        <f>SUM(K217:K221)</f>
        <v>2400</v>
      </c>
      <c r="L222" s="129">
        <f>SUM(L217:L221)</f>
        <v>9800</v>
      </c>
      <c r="M222" s="129">
        <f>SUM(M217:M221)</f>
        <v>12200</v>
      </c>
      <c r="N222" s="141"/>
      <c r="O222" s="142"/>
    </row>
    <row r="223" spans="1:15">
      <c r="A223" s="168" t="s">
        <v>335</v>
      </c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5"/>
    </row>
    <row r="224" ht="16" customHeight="1" spans="1:15">
      <c r="A224" s="130" t="s">
        <v>51</v>
      </c>
      <c r="B224" s="73" t="s">
        <v>52</v>
      </c>
      <c r="C224" s="73" t="s">
        <v>178</v>
      </c>
      <c r="D224" s="73" t="s">
        <v>53</v>
      </c>
      <c r="E224" s="131" t="s">
        <v>54</v>
      </c>
      <c r="F224" s="73" t="s">
        <v>179</v>
      </c>
      <c r="G224" s="73" t="s">
        <v>180</v>
      </c>
      <c r="H224" s="73" t="s">
        <v>181</v>
      </c>
      <c r="I224" s="73" t="s">
        <v>182</v>
      </c>
      <c r="J224" s="73" t="s">
        <v>183</v>
      </c>
      <c r="K224" s="129" t="s">
        <v>184</v>
      </c>
      <c r="L224" s="129" t="s">
        <v>185</v>
      </c>
      <c r="M224" s="129" t="s">
        <v>186</v>
      </c>
      <c r="N224" s="20" t="s">
        <v>187</v>
      </c>
      <c r="O224" s="141" t="s">
        <v>188</v>
      </c>
    </row>
    <row r="225" ht="31" customHeight="1" spans="1:15">
      <c r="A225" s="130" t="s">
        <v>36</v>
      </c>
      <c r="B225" s="73">
        <v>1</v>
      </c>
      <c r="C225" s="73" t="s">
        <v>175</v>
      </c>
      <c r="D225" s="73" t="s">
        <v>64</v>
      </c>
      <c r="E225" s="131" t="s">
        <v>65</v>
      </c>
      <c r="F225" s="73" t="s">
        <v>283</v>
      </c>
      <c r="G225" s="73" t="s">
        <v>244</v>
      </c>
      <c r="H225" s="73" t="s">
        <v>191</v>
      </c>
      <c r="I225" s="73" t="s">
        <v>192</v>
      </c>
      <c r="J225" s="73" t="s">
        <v>184</v>
      </c>
      <c r="K225" s="129">
        <v>1510</v>
      </c>
      <c r="L225" s="129"/>
      <c r="M225" s="129">
        <v>1510</v>
      </c>
      <c r="N225" s="20" t="s">
        <v>245</v>
      </c>
      <c r="O225" s="132" t="s">
        <v>194</v>
      </c>
    </row>
    <row r="226" ht="31" customHeight="1" spans="1:15">
      <c r="A226" s="130" t="s">
        <v>36</v>
      </c>
      <c r="B226" s="73">
        <v>2</v>
      </c>
      <c r="C226" s="73" t="s">
        <v>175</v>
      </c>
      <c r="D226" s="73" t="s">
        <v>66</v>
      </c>
      <c r="E226" s="131" t="s">
        <v>67</v>
      </c>
      <c r="F226" s="73" t="s">
        <v>283</v>
      </c>
      <c r="G226" s="73" t="s">
        <v>244</v>
      </c>
      <c r="H226" s="73" t="s">
        <v>195</v>
      </c>
      <c r="I226" s="73" t="s">
        <v>192</v>
      </c>
      <c r="J226" s="73" t="s">
        <v>185</v>
      </c>
      <c r="K226" s="129"/>
      <c r="L226" s="129">
        <v>2400</v>
      </c>
      <c r="M226" s="129">
        <v>2400</v>
      </c>
      <c r="N226" s="20" t="s">
        <v>246</v>
      </c>
      <c r="O226" s="132"/>
    </row>
    <row r="227" ht="16" customHeight="1" spans="1:15">
      <c r="A227" s="130" t="s">
        <v>36</v>
      </c>
      <c r="B227" s="73">
        <v>3</v>
      </c>
      <c r="C227" s="73" t="s">
        <v>175</v>
      </c>
      <c r="D227" s="73" t="s">
        <v>128</v>
      </c>
      <c r="E227" s="131" t="s">
        <v>129</v>
      </c>
      <c r="F227" s="73" t="s">
        <v>283</v>
      </c>
      <c r="G227" s="73" t="s">
        <v>284</v>
      </c>
      <c r="H227" s="73" t="s">
        <v>284</v>
      </c>
      <c r="I227" s="73" t="s">
        <v>203</v>
      </c>
      <c r="J227" s="73" t="s">
        <v>185</v>
      </c>
      <c r="K227" s="129"/>
      <c r="L227" s="129">
        <v>23000</v>
      </c>
      <c r="M227" s="129">
        <v>23000</v>
      </c>
      <c r="N227" s="20" t="s">
        <v>285</v>
      </c>
      <c r="O227" s="132"/>
    </row>
    <row r="228" ht="31" customHeight="1" spans="1:15">
      <c r="A228" s="130" t="s">
        <v>36</v>
      </c>
      <c r="B228" s="73">
        <v>4</v>
      </c>
      <c r="C228" s="73" t="s">
        <v>175</v>
      </c>
      <c r="D228" s="73" t="s">
        <v>66</v>
      </c>
      <c r="E228" s="131" t="s">
        <v>67</v>
      </c>
      <c r="F228" s="73" t="s">
        <v>283</v>
      </c>
      <c r="G228" s="73" t="s">
        <v>244</v>
      </c>
      <c r="H228" s="73" t="s">
        <v>208</v>
      </c>
      <c r="I228" s="73" t="s">
        <v>192</v>
      </c>
      <c r="J228" s="73" t="s">
        <v>185</v>
      </c>
      <c r="K228" s="129"/>
      <c r="L228" s="129">
        <v>2400</v>
      </c>
      <c r="M228" s="129">
        <v>2400</v>
      </c>
      <c r="N228" s="20" t="s">
        <v>246</v>
      </c>
      <c r="O228" s="132"/>
    </row>
    <row r="229" ht="31" customHeight="1" spans="1:15">
      <c r="A229" s="130" t="s">
        <v>36</v>
      </c>
      <c r="B229" s="73">
        <v>5</v>
      </c>
      <c r="C229" s="73" t="s">
        <v>175</v>
      </c>
      <c r="D229" s="73" t="s">
        <v>64</v>
      </c>
      <c r="E229" s="131" t="s">
        <v>65</v>
      </c>
      <c r="F229" s="73" t="s">
        <v>283</v>
      </c>
      <c r="G229" s="73" t="s">
        <v>244</v>
      </c>
      <c r="H229" s="73" t="s">
        <v>202</v>
      </c>
      <c r="I229" s="73" t="s">
        <v>192</v>
      </c>
      <c r="J229" s="73" t="s">
        <v>184</v>
      </c>
      <c r="K229" s="129">
        <v>1510</v>
      </c>
      <c r="L229" s="129"/>
      <c r="M229" s="129">
        <v>1510</v>
      </c>
      <c r="N229" s="20" t="s">
        <v>245</v>
      </c>
      <c r="O229" s="132" t="s">
        <v>194</v>
      </c>
    </row>
    <row r="230" ht="31" customHeight="1" spans="1:15">
      <c r="A230" s="130" t="s">
        <v>36</v>
      </c>
      <c r="B230" s="73">
        <v>6</v>
      </c>
      <c r="C230" s="73" t="s">
        <v>175</v>
      </c>
      <c r="D230" s="73" t="s">
        <v>100</v>
      </c>
      <c r="E230" s="131" t="s">
        <v>100</v>
      </c>
      <c r="F230" s="73" t="s">
        <v>283</v>
      </c>
      <c r="G230" s="73" t="s">
        <v>244</v>
      </c>
      <c r="H230" s="73" t="s">
        <v>195</v>
      </c>
      <c r="I230" s="73" t="s">
        <v>192</v>
      </c>
      <c r="J230" s="73" t="s">
        <v>184</v>
      </c>
      <c r="K230" s="129">
        <v>2400</v>
      </c>
      <c r="L230" s="129"/>
      <c r="M230" s="129">
        <v>2400</v>
      </c>
      <c r="N230" s="20" t="s">
        <v>246</v>
      </c>
      <c r="O230" s="132" t="s">
        <v>231</v>
      </c>
    </row>
    <row r="231" spans="1:15">
      <c r="A231" s="169" t="s">
        <v>286</v>
      </c>
      <c r="B231" s="170"/>
      <c r="C231" s="170"/>
      <c r="D231" s="170"/>
      <c r="E231" s="170"/>
      <c r="F231" s="170"/>
      <c r="G231" s="170"/>
      <c r="H231" s="170"/>
      <c r="I231" s="170"/>
      <c r="J231" s="171"/>
      <c r="K231" s="129">
        <f>SUM(K225:K230)</f>
        <v>5420</v>
      </c>
      <c r="L231" s="129">
        <f>SUM(L225:L230)</f>
        <v>27800</v>
      </c>
      <c r="M231" s="129">
        <f>SUM(M225:M230)</f>
        <v>33220</v>
      </c>
      <c r="N231" s="141"/>
      <c r="O231" s="142"/>
    </row>
    <row r="232" spans="1:15">
      <c r="A232" s="168" t="s">
        <v>336</v>
      </c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5"/>
    </row>
    <row r="233" ht="16" customHeight="1" spans="1:15">
      <c r="A233" s="130" t="s">
        <v>51</v>
      </c>
      <c r="B233" s="73" t="s">
        <v>52</v>
      </c>
      <c r="C233" s="73" t="s">
        <v>178</v>
      </c>
      <c r="D233" s="73" t="s">
        <v>53</v>
      </c>
      <c r="E233" s="131" t="s">
        <v>54</v>
      </c>
      <c r="F233" s="73" t="s">
        <v>179</v>
      </c>
      <c r="G233" s="73" t="s">
        <v>180</v>
      </c>
      <c r="H233" s="73" t="s">
        <v>181</v>
      </c>
      <c r="I233" s="73" t="s">
        <v>182</v>
      </c>
      <c r="J233" s="73" t="s">
        <v>183</v>
      </c>
      <c r="K233" s="129" t="s">
        <v>184</v>
      </c>
      <c r="L233" s="129" t="s">
        <v>185</v>
      </c>
      <c r="M233" s="129" t="s">
        <v>186</v>
      </c>
      <c r="N233" s="20" t="s">
        <v>187</v>
      </c>
      <c r="O233" s="141" t="s">
        <v>188</v>
      </c>
    </row>
    <row r="234" ht="31" customHeight="1" spans="1:15">
      <c r="A234" s="130" t="s">
        <v>37</v>
      </c>
      <c r="B234" s="73">
        <v>1</v>
      </c>
      <c r="C234" s="73" t="s">
        <v>175</v>
      </c>
      <c r="D234" s="73" t="s">
        <v>64</v>
      </c>
      <c r="E234" s="131" t="s">
        <v>65</v>
      </c>
      <c r="F234" s="73" t="s">
        <v>288</v>
      </c>
      <c r="G234" s="73" t="s">
        <v>244</v>
      </c>
      <c r="H234" s="73" t="s">
        <v>191</v>
      </c>
      <c r="I234" s="73" t="s">
        <v>192</v>
      </c>
      <c r="J234" s="73" t="s">
        <v>184</v>
      </c>
      <c r="K234" s="129">
        <v>1510</v>
      </c>
      <c r="L234" s="129"/>
      <c r="M234" s="129">
        <v>1510</v>
      </c>
      <c r="N234" s="20" t="s">
        <v>245</v>
      </c>
      <c r="O234" s="132" t="s">
        <v>194</v>
      </c>
    </row>
    <row r="235" ht="31" customHeight="1" spans="1:15">
      <c r="A235" s="130" t="s">
        <v>37</v>
      </c>
      <c r="B235" s="73">
        <v>2</v>
      </c>
      <c r="C235" s="73" t="s">
        <v>175</v>
      </c>
      <c r="D235" s="73" t="s">
        <v>66</v>
      </c>
      <c r="E235" s="131" t="s">
        <v>67</v>
      </c>
      <c r="F235" s="73" t="s">
        <v>288</v>
      </c>
      <c r="G235" s="73" t="s">
        <v>244</v>
      </c>
      <c r="H235" s="73" t="s">
        <v>195</v>
      </c>
      <c r="I235" s="73" t="s">
        <v>192</v>
      </c>
      <c r="J235" s="73" t="s">
        <v>185</v>
      </c>
      <c r="K235" s="129"/>
      <c r="L235" s="129">
        <v>2400</v>
      </c>
      <c r="M235" s="129">
        <v>2400</v>
      </c>
      <c r="N235" s="20" t="s">
        <v>246</v>
      </c>
      <c r="O235" s="132"/>
    </row>
    <row r="236" ht="31" customHeight="1" spans="1:15">
      <c r="A236" s="130" t="s">
        <v>37</v>
      </c>
      <c r="B236" s="73">
        <v>3</v>
      </c>
      <c r="C236" s="73" t="s">
        <v>175</v>
      </c>
      <c r="D236" s="73" t="s">
        <v>131</v>
      </c>
      <c r="E236" s="131" t="s">
        <v>132</v>
      </c>
      <c r="F236" s="73" t="s">
        <v>288</v>
      </c>
      <c r="G236" s="73" t="s">
        <v>284</v>
      </c>
      <c r="H236" s="73" t="s">
        <v>284</v>
      </c>
      <c r="I236" s="73" t="s">
        <v>203</v>
      </c>
      <c r="J236" s="73" t="s">
        <v>185</v>
      </c>
      <c r="K236" s="129"/>
      <c r="L236" s="129">
        <v>23000</v>
      </c>
      <c r="M236" s="129">
        <v>23000</v>
      </c>
      <c r="N236" s="20" t="s">
        <v>285</v>
      </c>
      <c r="O236" s="132"/>
    </row>
    <row r="237" ht="31" customHeight="1" spans="1:15">
      <c r="A237" s="130" t="s">
        <v>37</v>
      </c>
      <c r="B237" s="73">
        <v>4</v>
      </c>
      <c r="C237" s="73" t="s">
        <v>175</v>
      </c>
      <c r="D237" s="73" t="s">
        <v>66</v>
      </c>
      <c r="E237" s="131" t="s">
        <v>67</v>
      </c>
      <c r="F237" s="73" t="s">
        <v>288</v>
      </c>
      <c r="G237" s="73" t="s">
        <v>244</v>
      </c>
      <c r="H237" s="73" t="s">
        <v>208</v>
      </c>
      <c r="I237" s="73" t="s">
        <v>192</v>
      </c>
      <c r="J237" s="73" t="s">
        <v>185</v>
      </c>
      <c r="K237" s="129"/>
      <c r="L237" s="129">
        <v>2400</v>
      </c>
      <c r="M237" s="129">
        <v>2400</v>
      </c>
      <c r="N237" s="20" t="s">
        <v>246</v>
      </c>
      <c r="O237" s="132"/>
    </row>
    <row r="238" ht="31" customHeight="1" spans="1:15">
      <c r="A238" s="130" t="s">
        <v>37</v>
      </c>
      <c r="B238" s="73">
        <v>5</v>
      </c>
      <c r="C238" s="73" t="s">
        <v>175</v>
      </c>
      <c r="D238" s="73" t="s">
        <v>100</v>
      </c>
      <c r="E238" s="131" t="s">
        <v>100</v>
      </c>
      <c r="F238" s="73" t="s">
        <v>288</v>
      </c>
      <c r="G238" s="73" t="s">
        <v>244</v>
      </c>
      <c r="H238" s="73" t="s">
        <v>195</v>
      </c>
      <c r="I238" s="73" t="s">
        <v>192</v>
      </c>
      <c r="J238" s="73" t="s">
        <v>184</v>
      </c>
      <c r="K238" s="129">
        <v>2400</v>
      </c>
      <c r="L238" s="129"/>
      <c r="M238" s="129">
        <v>2400</v>
      </c>
      <c r="N238" s="20" t="s">
        <v>246</v>
      </c>
      <c r="O238" s="132" t="s">
        <v>231</v>
      </c>
    </row>
    <row r="239" spans="1:15">
      <c r="A239" s="169" t="s">
        <v>289</v>
      </c>
      <c r="B239" s="170"/>
      <c r="C239" s="170"/>
      <c r="D239" s="170"/>
      <c r="E239" s="170"/>
      <c r="F239" s="170"/>
      <c r="G239" s="170"/>
      <c r="H239" s="170"/>
      <c r="I239" s="170"/>
      <c r="J239" s="171"/>
      <c r="K239" s="129">
        <f>SUM(K234:K238)</f>
        <v>3910</v>
      </c>
      <c r="L239" s="129">
        <f>SUM(L234:L238)</f>
        <v>27800</v>
      </c>
      <c r="M239" s="129">
        <f>SUM(M234:M238)</f>
        <v>31710</v>
      </c>
      <c r="N239" s="141"/>
      <c r="O239" s="142"/>
    </row>
    <row r="240" spans="1:15">
      <c r="A240" s="168" t="s">
        <v>337</v>
      </c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5"/>
    </row>
    <row r="241" ht="16" customHeight="1" spans="1:15">
      <c r="A241" s="130" t="s">
        <v>51</v>
      </c>
      <c r="B241" s="73" t="s">
        <v>52</v>
      </c>
      <c r="C241" s="73" t="s">
        <v>178</v>
      </c>
      <c r="D241" s="73" t="s">
        <v>53</v>
      </c>
      <c r="E241" s="131" t="s">
        <v>54</v>
      </c>
      <c r="F241" s="73" t="s">
        <v>179</v>
      </c>
      <c r="G241" s="73" t="s">
        <v>180</v>
      </c>
      <c r="H241" s="73" t="s">
        <v>181</v>
      </c>
      <c r="I241" s="73" t="s">
        <v>182</v>
      </c>
      <c r="J241" s="73" t="s">
        <v>183</v>
      </c>
      <c r="K241" s="129" t="s">
        <v>184</v>
      </c>
      <c r="L241" s="129" t="s">
        <v>185</v>
      </c>
      <c r="M241" s="129" t="s">
        <v>186</v>
      </c>
      <c r="N241" s="20" t="s">
        <v>187</v>
      </c>
      <c r="O241" s="141" t="s">
        <v>188</v>
      </c>
    </row>
    <row r="242" ht="31" customHeight="1" spans="1:15">
      <c r="A242" s="130" t="s">
        <v>38</v>
      </c>
      <c r="B242" s="73">
        <v>1</v>
      </c>
      <c r="C242" s="73" t="s">
        <v>175</v>
      </c>
      <c r="D242" s="73" t="s">
        <v>64</v>
      </c>
      <c r="E242" s="131" t="s">
        <v>65</v>
      </c>
      <c r="F242" s="73" t="s">
        <v>291</v>
      </c>
      <c r="G242" s="73" t="s">
        <v>244</v>
      </c>
      <c r="H242" s="73" t="s">
        <v>191</v>
      </c>
      <c r="I242" s="73" t="s">
        <v>192</v>
      </c>
      <c r="J242" s="73" t="s">
        <v>184</v>
      </c>
      <c r="K242" s="129">
        <v>1510</v>
      </c>
      <c r="L242" s="129"/>
      <c r="M242" s="129">
        <v>1510</v>
      </c>
      <c r="N242" s="20" t="s">
        <v>245</v>
      </c>
      <c r="O242" s="132" t="s">
        <v>194</v>
      </c>
    </row>
    <row r="243" ht="31" customHeight="1" spans="1:15">
      <c r="A243" s="130" t="s">
        <v>38</v>
      </c>
      <c r="B243" s="73">
        <v>2</v>
      </c>
      <c r="C243" s="73" t="s">
        <v>175</v>
      </c>
      <c r="D243" s="73" t="s">
        <v>66</v>
      </c>
      <c r="E243" s="131" t="s">
        <v>67</v>
      </c>
      <c r="F243" s="73" t="s">
        <v>291</v>
      </c>
      <c r="G243" s="73" t="s">
        <v>244</v>
      </c>
      <c r="H243" s="73" t="s">
        <v>195</v>
      </c>
      <c r="I243" s="73" t="s">
        <v>192</v>
      </c>
      <c r="J243" s="73" t="s">
        <v>185</v>
      </c>
      <c r="K243" s="129"/>
      <c r="L243" s="129">
        <v>2400</v>
      </c>
      <c r="M243" s="129">
        <v>2400</v>
      </c>
      <c r="N243" s="20" t="s">
        <v>246</v>
      </c>
      <c r="O243" s="132"/>
    </row>
    <row r="244" ht="31" customHeight="1" spans="1:15">
      <c r="A244" s="130" t="s">
        <v>38</v>
      </c>
      <c r="B244" s="73">
        <v>3</v>
      </c>
      <c r="C244" s="73" t="s">
        <v>175</v>
      </c>
      <c r="D244" s="73" t="s">
        <v>131</v>
      </c>
      <c r="E244" s="131" t="s">
        <v>134</v>
      </c>
      <c r="F244" s="73" t="s">
        <v>291</v>
      </c>
      <c r="G244" s="73" t="s">
        <v>292</v>
      </c>
      <c r="H244" s="73" t="s">
        <v>292</v>
      </c>
      <c r="I244" s="73" t="s">
        <v>203</v>
      </c>
      <c r="J244" s="73" t="s">
        <v>185</v>
      </c>
      <c r="K244" s="129"/>
      <c r="L244" s="129">
        <v>25300</v>
      </c>
      <c r="M244" s="129">
        <v>25300</v>
      </c>
      <c r="N244" s="20" t="s">
        <v>293</v>
      </c>
      <c r="O244" s="132"/>
    </row>
    <row r="245" ht="31" customHeight="1" spans="1:15">
      <c r="A245" s="130" t="s">
        <v>38</v>
      </c>
      <c r="B245" s="73">
        <v>4</v>
      </c>
      <c r="C245" s="73" t="s">
        <v>175</v>
      </c>
      <c r="D245" s="73" t="s">
        <v>66</v>
      </c>
      <c r="E245" s="131" t="s">
        <v>67</v>
      </c>
      <c r="F245" s="73" t="s">
        <v>291</v>
      </c>
      <c r="G245" s="73" t="s">
        <v>244</v>
      </c>
      <c r="H245" s="73" t="s">
        <v>208</v>
      </c>
      <c r="I245" s="73" t="s">
        <v>192</v>
      </c>
      <c r="J245" s="73" t="s">
        <v>185</v>
      </c>
      <c r="K245" s="129"/>
      <c r="L245" s="129">
        <v>2400</v>
      </c>
      <c r="M245" s="129">
        <v>2400</v>
      </c>
      <c r="N245" s="20" t="s">
        <v>246</v>
      </c>
      <c r="O245" s="132"/>
    </row>
    <row r="246" ht="31" customHeight="1" spans="1:15">
      <c r="A246" s="130" t="s">
        <v>38</v>
      </c>
      <c r="B246" s="73">
        <v>5</v>
      </c>
      <c r="C246" s="73" t="s">
        <v>175</v>
      </c>
      <c r="D246" s="73" t="s">
        <v>64</v>
      </c>
      <c r="E246" s="131" t="s">
        <v>65</v>
      </c>
      <c r="F246" s="73" t="s">
        <v>291</v>
      </c>
      <c r="G246" s="73" t="s">
        <v>244</v>
      </c>
      <c r="H246" s="73" t="s">
        <v>202</v>
      </c>
      <c r="I246" s="73" t="s">
        <v>192</v>
      </c>
      <c r="J246" s="73" t="s">
        <v>184</v>
      </c>
      <c r="K246" s="129">
        <v>1510</v>
      </c>
      <c r="L246" s="129"/>
      <c r="M246" s="129">
        <v>1510</v>
      </c>
      <c r="N246" s="20" t="s">
        <v>245</v>
      </c>
      <c r="O246" s="132" t="s">
        <v>194</v>
      </c>
    </row>
    <row r="247" ht="31" customHeight="1" spans="1:15">
      <c r="A247" s="130" t="s">
        <v>38</v>
      </c>
      <c r="B247" s="73">
        <v>6</v>
      </c>
      <c r="C247" s="73" t="s">
        <v>175</v>
      </c>
      <c r="D247" s="73" t="s">
        <v>100</v>
      </c>
      <c r="E247" s="131" t="s">
        <v>100</v>
      </c>
      <c r="F247" s="73" t="s">
        <v>291</v>
      </c>
      <c r="G247" s="73" t="s">
        <v>244</v>
      </c>
      <c r="H247" s="73" t="s">
        <v>195</v>
      </c>
      <c r="I247" s="73" t="s">
        <v>192</v>
      </c>
      <c r="J247" s="73" t="s">
        <v>184</v>
      </c>
      <c r="K247" s="129">
        <v>2400</v>
      </c>
      <c r="L247" s="129"/>
      <c r="M247" s="129">
        <v>2400</v>
      </c>
      <c r="N247" s="20" t="s">
        <v>246</v>
      </c>
      <c r="O247" s="132" t="s">
        <v>231</v>
      </c>
    </row>
    <row r="248" spans="1:15">
      <c r="A248" s="169" t="s">
        <v>294</v>
      </c>
      <c r="B248" s="170"/>
      <c r="C248" s="170"/>
      <c r="D248" s="170"/>
      <c r="E248" s="170"/>
      <c r="F248" s="170"/>
      <c r="G248" s="170"/>
      <c r="H248" s="170"/>
      <c r="I248" s="170"/>
      <c r="J248" s="171"/>
      <c r="K248" s="129">
        <f>SUM(K242:K247)</f>
        <v>5420</v>
      </c>
      <c r="L248" s="129">
        <f>SUM(L242:L247)</f>
        <v>30100</v>
      </c>
      <c r="M248" s="129">
        <f>SUM(M242:M247)</f>
        <v>35520</v>
      </c>
      <c r="N248" s="141"/>
      <c r="O248" s="142"/>
    </row>
    <row r="249" spans="1:15">
      <c r="A249" s="168" t="s">
        <v>338</v>
      </c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5"/>
    </row>
    <row r="250" ht="16" customHeight="1" spans="1:15">
      <c r="A250" s="130" t="s">
        <v>51</v>
      </c>
      <c r="B250" s="73" t="s">
        <v>52</v>
      </c>
      <c r="C250" s="73" t="s">
        <v>178</v>
      </c>
      <c r="D250" s="73" t="s">
        <v>53</v>
      </c>
      <c r="E250" s="131" t="s">
        <v>54</v>
      </c>
      <c r="F250" s="73" t="s">
        <v>179</v>
      </c>
      <c r="G250" s="73" t="s">
        <v>180</v>
      </c>
      <c r="H250" s="73" t="s">
        <v>181</v>
      </c>
      <c r="I250" s="73" t="s">
        <v>182</v>
      </c>
      <c r="J250" s="73" t="s">
        <v>183</v>
      </c>
      <c r="K250" s="129" t="s">
        <v>184</v>
      </c>
      <c r="L250" s="129" t="s">
        <v>185</v>
      </c>
      <c r="M250" s="129" t="s">
        <v>186</v>
      </c>
      <c r="N250" s="20" t="s">
        <v>187</v>
      </c>
      <c r="O250" s="141" t="s">
        <v>188</v>
      </c>
    </row>
    <row r="251" ht="31" customHeight="1" spans="1:15">
      <c r="A251" s="130" t="s">
        <v>40</v>
      </c>
      <c r="B251" s="73">
        <v>1</v>
      </c>
      <c r="C251" s="73" t="s">
        <v>175</v>
      </c>
      <c r="D251" s="73" t="s">
        <v>64</v>
      </c>
      <c r="E251" s="131" t="s">
        <v>65</v>
      </c>
      <c r="F251" s="73" t="s">
        <v>339</v>
      </c>
      <c r="G251" s="73" t="s">
        <v>340</v>
      </c>
      <c r="H251" s="73" t="s">
        <v>191</v>
      </c>
      <c r="I251" s="73" t="s">
        <v>192</v>
      </c>
      <c r="J251" s="73" t="s">
        <v>184</v>
      </c>
      <c r="K251" s="129">
        <v>3150</v>
      </c>
      <c r="L251" s="129"/>
      <c r="M251" s="129">
        <v>3150</v>
      </c>
      <c r="N251" s="20" t="s">
        <v>341</v>
      </c>
      <c r="O251" s="132" t="s">
        <v>342</v>
      </c>
    </row>
    <row r="252" ht="31" customHeight="1" spans="1:15">
      <c r="A252" s="130" t="s">
        <v>40</v>
      </c>
      <c r="B252" s="73">
        <v>2</v>
      </c>
      <c r="C252" s="73" t="s">
        <v>175</v>
      </c>
      <c r="D252" s="73" t="s">
        <v>66</v>
      </c>
      <c r="E252" s="131" t="s">
        <v>67</v>
      </c>
      <c r="F252" s="73" t="s">
        <v>339</v>
      </c>
      <c r="G252" s="73" t="s">
        <v>340</v>
      </c>
      <c r="H252" s="73" t="s">
        <v>195</v>
      </c>
      <c r="I252" s="73" t="s">
        <v>192</v>
      </c>
      <c r="J252" s="73" t="s">
        <v>185</v>
      </c>
      <c r="K252" s="129"/>
      <c r="L252" s="129">
        <v>6000</v>
      </c>
      <c r="M252" s="129">
        <v>6000</v>
      </c>
      <c r="N252" s="20" t="s">
        <v>343</v>
      </c>
      <c r="O252" s="132"/>
    </row>
    <row r="253" ht="16" customHeight="1" spans="1:15">
      <c r="A253" s="130" t="s">
        <v>40</v>
      </c>
      <c r="B253" s="73">
        <v>3</v>
      </c>
      <c r="C253" s="73" t="s">
        <v>175</v>
      </c>
      <c r="D253" s="73" t="s">
        <v>139</v>
      </c>
      <c r="E253" s="131" t="s">
        <v>140</v>
      </c>
      <c r="F253" s="73" t="s">
        <v>339</v>
      </c>
      <c r="G253" s="73" t="s">
        <v>344</v>
      </c>
      <c r="H253" s="73" t="s">
        <v>344</v>
      </c>
      <c r="I253" s="73" t="s">
        <v>203</v>
      </c>
      <c r="J253" s="73" t="s">
        <v>185</v>
      </c>
      <c r="K253" s="129"/>
      <c r="L253" s="129">
        <v>6400</v>
      </c>
      <c r="M253" s="129">
        <v>6400</v>
      </c>
      <c r="N253" s="20" t="s">
        <v>345</v>
      </c>
      <c r="O253" s="132"/>
    </row>
    <row r="254" ht="16" customHeight="1" spans="1:15">
      <c r="A254" s="130" t="s">
        <v>40</v>
      </c>
      <c r="B254" s="73">
        <v>4</v>
      </c>
      <c r="C254" s="73" t="s">
        <v>175</v>
      </c>
      <c r="D254" s="73" t="s">
        <v>139</v>
      </c>
      <c r="E254" s="131" t="s">
        <v>141</v>
      </c>
      <c r="F254" s="73" t="s">
        <v>339</v>
      </c>
      <c r="G254" s="73" t="s">
        <v>344</v>
      </c>
      <c r="H254" s="73" t="s">
        <v>344</v>
      </c>
      <c r="I254" s="73" t="s">
        <v>203</v>
      </c>
      <c r="J254" s="73" t="s">
        <v>185</v>
      </c>
      <c r="K254" s="129"/>
      <c r="L254" s="129">
        <v>6400</v>
      </c>
      <c r="M254" s="129">
        <v>6400</v>
      </c>
      <c r="N254" s="20" t="s">
        <v>345</v>
      </c>
      <c r="O254" s="132"/>
    </row>
    <row r="255" ht="16" customHeight="1" spans="1:15">
      <c r="A255" s="130" t="s">
        <v>40</v>
      </c>
      <c r="B255" s="73">
        <v>5</v>
      </c>
      <c r="C255" s="73" t="s">
        <v>175</v>
      </c>
      <c r="D255" s="73" t="s">
        <v>139</v>
      </c>
      <c r="E255" s="131" t="s">
        <v>142</v>
      </c>
      <c r="F255" s="73" t="s">
        <v>339</v>
      </c>
      <c r="G255" s="73" t="s">
        <v>344</v>
      </c>
      <c r="H255" s="73" t="s">
        <v>344</v>
      </c>
      <c r="I255" s="73" t="s">
        <v>203</v>
      </c>
      <c r="J255" s="73" t="s">
        <v>185</v>
      </c>
      <c r="K255" s="129"/>
      <c r="L255" s="129">
        <v>6400</v>
      </c>
      <c r="M255" s="129">
        <v>6400</v>
      </c>
      <c r="N255" s="20" t="s">
        <v>345</v>
      </c>
      <c r="O255" s="132"/>
    </row>
    <row r="256" ht="16" customHeight="1" spans="1:15">
      <c r="A256" s="130" t="s">
        <v>40</v>
      </c>
      <c r="B256" s="73">
        <v>6</v>
      </c>
      <c r="C256" s="73" t="s">
        <v>175</v>
      </c>
      <c r="D256" s="73" t="s">
        <v>139</v>
      </c>
      <c r="E256" s="131" t="s">
        <v>143</v>
      </c>
      <c r="F256" s="73" t="s">
        <v>339</v>
      </c>
      <c r="G256" s="73" t="s">
        <v>344</v>
      </c>
      <c r="H256" s="73" t="s">
        <v>344</v>
      </c>
      <c r="I256" s="73" t="s">
        <v>203</v>
      </c>
      <c r="J256" s="73" t="s">
        <v>185</v>
      </c>
      <c r="K256" s="129"/>
      <c r="L256" s="129">
        <v>6400</v>
      </c>
      <c r="M256" s="129">
        <v>6400</v>
      </c>
      <c r="N256" s="20" t="s">
        <v>345</v>
      </c>
      <c r="O256" s="132"/>
    </row>
    <row r="257" ht="16" customHeight="1" spans="1:15">
      <c r="A257" s="130" t="s">
        <v>40</v>
      </c>
      <c r="B257" s="73">
        <v>7</v>
      </c>
      <c r="C257" s="73" t="s">
        <v>175</v>
      </c>
      <c r="D257" s="73" t="s">
        <v>139</v>
      </c>
      <c r="E257" s="131" t="s">
        <v>144</v>
      </c>
      <c r="F257" s="73" t="s">
        <v>339</v>
      </c>
      <c r="G257" s="73" t="s">
        <v>344</v>
      </c>
      <c r="H257" s="73" t="s">
        <v>344</v>
      </c>
      <c r="I257" s="73" t="s">
        <v>203</v>
      </c>
      <c r="J257" s="73" t="s">
        <v>185</v>
      </c>
      <c r="K257" s="129"/>
      <c r="L257" s="129">
        <v>6400</v>
      </c>
      <c r="M257" s="129">
        <v>6400</v>
      </c>
      <c r="N257" s="20" t="s">
        <v>345</v>
      </c>
      <c r="O257" s="132"/>
    </row>
    <row r="258" ht="31" customHeight="1" spans="1:15">
      <c r="A258" s="130" t="s">
        <v>40</v>
      </c>
      <c r="B258" s="73">
        <v>8</v>
      </c>
      <c r="C258" s="73" t="s">
        <v>175</v>
      </c>
      <c r="D258" s="73" t="s">
        <v>66</v>
      </c>
      <c r="E258" s="131" t="s">
        <v>67</v>
      </c>
      <c r="F258" s="73" t="s">
        <v>339</v>
      </c>
      <c r="G258" s="73" t="s">
        <v>346</v>
      </c>
      <c r="H258" s="73" t="s">
        <v>195</v>
      </c>
      <c r="I258" s="73" t="s">
        <v>192</v>
      </c>
      <c r="J258" s="73" t="s">
        <v>185</v>
      </c>
      <c r="K258" s="129"/>
      <c r="L258" s="129">
        <v>3600</v>
      </c>
      <c r="M258" s="129">
        <v>3600</v>
      </c>
      <c r="N258" s="20" t="s">
        <v>347</v>
      </c>
      <c r="O258" s="132"/>
    </row>
    <row r="259" ht="31" customHeight="1" spans="1:15">
      <c r="A259" s="130" t="s">
        <v>40</v>
      </c>
      <c r="B259" s="73">
        <v>9</v>
      </c>
      <c r="C259" s="73" t="s">
        <v>175</v>
      </c>
      <c r="D259" s="73" t="s">
        <v>64</v>
      </c>
      <c r="E259" s="131" t="s">
        <v>65</v>
      </c>
      <c r="F259" s="73" t="s">
        <v>339</v>
      </c>
      <c r="G259" s="73" t="s">
        <v>346</v>
      </c>
      <c r="H259" s="73" t="s">
        <v>195</v>
      </c>
      <c r="I259" s="73" t="s">
        <v>192</v>
      </c>
      <c r="J259" s="73" t="s">
        <v>184</v>
      </c>
      <c r="K259" s="129">
        <v>1890</v>
      </c>
      <c r="L259" s="129"/>
      <c r="M259" s="129">
        <v>1890</v>
      </c>
      <c r="N259" s="20" t="s">
        <v>348</v>
      </c>
      <c r="O259" s="132" t="s">
        <v>342</v>
      </c>
    </row>
    <row r="260" ht="31" customHeight="1" spans="1:15">
      <c r="A260" s="130" t="s">
        <v>40</v>
      </c>
      <c r="B260" s="73">
        <v>10</v>
      </c>
      <c r="C260" s="73" t="s">
        <v>175</v>
      </c>
      <c r="D260" s="73" t="s">
        <v>100</v>
      </c>
      <c r="E260" s="131" t="s">
        <v>100</v>
      </c>
      <c r="F260" s="73" t="s">
        <v>339</v>
      </c>
      <c r="G260" s="73" t="s">
        <v>346</v>
      </c>
      <c r="H260" s="73" t="s">
        <v>195</v>
      </c>
      <c r="I260" s="73" t="s">
        <v>192</v>
      </c>
      <c r="J260" s="73" t="s">
        <v>184</v>
      </c>
      <c r="K260" s="129">
        <v>3600</v>
      </c>
      <c r="L260" s="129"/>
      <c r="M260" s="129">
        <v>3600</v>
      </c>
      <c r="N260" s="20" t="s">
        <v>347</v>
      </c>
      <c r="O260" s="132" t="s">
        <v>231</v>
      </c>
    </row>
    <row r="261" spans="1:15">
      <c r="A261" s="169" t="s">
        <v>349</v>
      </c>
      <c r="B261" s="170"/>
      <c r="C261" s="170"/>
      <c r="D261" s="170"/>
      <c r="E261" s="170"/>
      <c r="F261" s="170"/>
      <c r="G261" s="170"/>
      <c r="H261" s="170"/>
      <c r="I261" s="170"/>
      <c r="J261" s="171"/>
      <c r="K261" s="129">
        <f>SUM(K251:K260)</f>
        <v>8640</v>
      </c>
      <c r="L261" s="129">
        <f>SUM(L251:L260)</f>
        <v>41600</v>
      </c>
      <c r="M261" s="129">
        <f>SUM(M251:M260)</f>
        <v>50240</v>
      </c>
      <c r="N261" s="141"/>
      <c r="O261" s="142"/>
    </row>
    <row r="262" spans="1:15">
      <c r="A262" s="168" t="s">
        <v>135</v>
      </c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5"/>
    </row>
    <row r="263" ht="16" customHeight="1" spans="1:15">
      <c r="A263" s="130" t="s">
        <v>51</v>
      </c>
      <c r="B263" s="73" t="s">
        <v>52</v>
      </c>
      <c r="C263" s="73" t="s">
        <v>178</v>
      </c>
      <c r="D263" s="73" t="s">
        <v>53</v>
      </c>
      <c r="E263" s="131" t="s">
        <v>54</v>
      </c>
      <c r="F263" s="73" t="s">
        <v>179</v>
      </c>
      <c r="G263" s="73" t="s">
        <v>180</v>
      </c>
      <c r="H263" s="73" t="s">
        <v>181</v>
      </c>
      <c r="I263" s="73" t="s">
        <v>182</v>
      </c>
      <c r="J263" s="73" t="s">
        <v>183</v>
      </c>
      <c r="K263" s="129" t="s">
        <v>184</v>
      </c>
      <c r="L263" s="129" t="s">
        <v>185</v>
      </c>
      <c r="M263" s="129" t="s">
        <v>186</v>
      </c>
      <c r="N263" s="20" t="s">
        <v>187</v>
      </c>
      <c r="O263" s="141" t="s">
        <v>188</v>
      </c>
    </row>
    <row r="264" ht="31" customHeight="1" spans="1:15">
      <c r="A264" s="130" t="s">
        <v>39</v>
      </c>
      <c r="B264" s="73">
        <v>1</v>
      </c>
      <c r="C264" s="73" t="s">
        <v>175</v>
      </c>
      <c r="D264" s="73" t="s">
        <v>64</v>
      </c>
      <c r="E264" s="131" t="s">
        <v>65</v>
      </c>
      <c r="F264" s="73" t="s">
        <v>350</v>
      </c>
      <c r="G264" s="73" t="s">
        <v>244</v>
      </c>
      <c r="H264" s="73" t="s">
        <v>191</v>
      </c>
      <c r="I264" s="73" t="s">
        <v>192</v>
      </c>
      <c r="J264" s="73" t="s">
        <v>184</v>
      </c>
      <c r="K264" s="129">
        <v>1510</v>
      </c>
      <c r="L264" s="129"/>
      <c r="M264" s="129">
        <v>1510</v>
      </c>
      <c r="N264" s="20" t="s">
        <v>245</v>
      </c>
      <c r="O264" s="132" t="s">
        <v>194</v>
      </c>
    </row>
    <row r="265" ht="31" customHeight="1" spans="1:15">
      <c r="A265" s="130" t="s">
        <v>39</v>
      </c>
      <c r="B265" s="73">
        <v>2</v>
      </c>
      <c r="C265" s="73" t="s">
        <v>175</v>
      </c>
      <c r="D265" s="73" t="s">
        <v>66</v>
      </c>
      <c r="E265" s="131" t="s">
        <v>67</v>
      </c>
      <c r="F265" s="73" t="s">
        <v>350</v>
      </c>
      <c r="G265" s="73" t="s">
        <v>244</v>
      </c>
      <c r="H265" s="73" t="s">
        <v>195</v>
      </c>
      <c r="I265" s="73" t="s">
        <v>192</v>
      </c>
      <c r="J265" s="73" t="s">
        <v>185</v>
      </c>
      <c r="K265" s="129"/>
      <c r="L265" s="129">
        <v>2400</v>
      </c>
      <c r="M265" s="129">
        <v>2400</v>
      </c>
      <c r="N265" s="20" t="s">
        <v>246</v>
      </c>
      <c r="O265" s="132"/>
    </row>
    <row r="266" ht="16" customHeight="1" spans="1:15">
      <c r="A266" s="130" t="s">
        <v>39</v>
      </c>
      <c r="B266" s="73">
        <v>3</v>
      </c>
      <c r="C266" s="73" t="s">
        <v>175</v>
      </c>
      <c r="D266" s="73" t="s">
        <v>137</v>
      </c>
      <c r="E266" s="131" t="s">
        <v>297</v>
      </c>
      <c r="F266" s="73" t="s">
        <v>350</v>
      </c>
      <c r="G266" s="73" t="s">
        <v>198</v>
      </c>
      <c r="H266" s="73" t="s">
        <v>198</v>
      </c>
      <c r="I266" s="73" t="s">
        <v>203</v>
      </c>
      <c r="J266" s="73" t="s">
        <v>185</v>
      </c>
      <c r="K266" s="129"/>
      <c r="L266" s="129">
        <v>6600</v>
      </c>
      <c r="M266" s="129">
        <v>6600</v>
      </c>
      <c r="N266" s="20" t="s">
        <v>298</v>
      </c>
      <c r="O266" s="132"/>
    </row>
    <row r="267" ht="31" customHeight="1" spans="1:15">
      <c r="A267" s="130" t="s">
        <v>39</v>
      </c>
      <c r="B267" s="73">
        <v>4</v>
      </c>
      <c r="C267" s="73" t="s">
        <v>175</v>
      </c>
      <c r="D267" s="73" t="s">
        <v>66</v>
      </c>
      <c r="E267" s="131" t="s">
        <v>67</v>
      </c>
      <c r="F267" s="73" t="s">
        <v>350</v>
      </c>
      <c r="G267" s="73" t="s">
        <v>244</v>
      </c>
      <c r="H267" s="73" t="s">
        <v>208</v>
      </c>
      <c r="I267" s="73" t="s">
        <v>192</v>
      </c>
      <c r="J267" s="73" t="s">
        <v>185</v>
      </c>
      <c r="K267" s="129"/>
      <c r="L267" s="129">
        <v>2400</v>
      </c>
      <c r="M267" s="129">
        <v>2400</v>
      </c>
      <c r="N267" s="20" t="s">
        <v>246</v>
      </c>
      <c r="O267" s="132"/>
    </row>
    <row r="268" ht="31" customHeight="1" spans="1:15">
      <c r="A268" s="130" t="s">
        <v>39</v>
      </c>
      <c r="B268" s="73">
        <v>5</v>
      </c>
      <c r="C268" s="73" t="s">
        <v>175</v>
      </c>
      <c r="D268" s="73" t="s">
        <v>64</v>
      </c>
      <c r="E268" s="131" t="s">
        <v>65</v>
      </c>
      <c r="F268" s="73" t="s">
        <v>350</v>
      </c>
      <c r="G268" s="73" t="s">
        <v>244</v>
      </c>
      <c r="H268" s="73" t="s">
        <v>202</v>
      </c>
      <c r="I268" s="73" t="s">
        <v>192</v>
      </c>
      <c r="J268" s="73" t="s">
        <v>184</v>
      </c>
      <c r="K268" s="129">
        <v>1510</v>
      </c>
      <c r="L268" s="129"/>
      <c r="M268" s="129">
        <v>1510</v>
      </c>
      <c r="N268" s="20" t="s">
        <v>245</v>
      </c>
      <c r="O268" s="132" t="s">
        <v>194</v>
      </c>
    </row>
    <row r="269" ht="31.75" customHeight="1" spans="1:15">
      <c r="A269" s="143" t="s">
        <v>39</v>
      </c>
      <c r="B269" s="144">
        <v>6</v>
      </c>
      <c r="C269" s="144" t="s">
        <v>175</v>
      </c>
      <c r="D269" s="144" t="s">
        <v>100</v>
      </c>
      <c r="E269" s="145" t="s">
        <v>100</v>
      </c>
      <c r="F269" s="144" t="s">
        <v>350</v>
      </c>
      <c r="G269" s="144" t="s">
        <v>244</v>
      </c>
      <c r="H269" s="144" t="s">
        <v>195</v>
      </c>
      <c r="I269" s="144" t="s">
        <v>192</v>
      </c>
      <c r="J269" s="144" t="s">
        <v>184</v>
      </c>
      <c r="K269" s="146">
        <v>2400</v>
      </c>
      <c r="L269" s="146"/>
      <c r="M269" s="146">
        <v>2400</v>
      </c>
      <c r="N269" s="147" t="s">
        <v>246</v>
      </c>
      <c r="O269" s="148" t="s">
        <v>231</v>
      </c>
    </row>
    <row r="270" spans="1:15">
      <c r="A270" s="169" t="s">
        <v>299</v>
      </c>
      <c r="B270" s="170"/>
      <c r="C270" s="170"/>
      <c r="D270" s="170"/>
      <c r="E270" s="170"/>
      <c r="F270" s="170"/>
      <c r="G270" s="170"/>
      <c r="H270" s="170"/>
      <c r="I270" s="170"/>
      <c r="J270" s="171"/>
      <c r="K270" s="129">
        <f>SUM(K264:K269)</f>
        <v>5420</v>
      </c>
      <c r="L270" s="129">
        <f>SUM(L264:L269)</f>
        <v>11400</v>
      </c>
      <c r="M270" s="129">
        <f>SUM(M264:M269)</f>
        <v>16820</v>
      </c>
      <c r="N270" s="141"/>
      <c r="O270" s="142"/>
    </row>
    <row r="271" spans="1:15">
      <c r="A271" s="168" t="s">
        <v>145</v>
      </c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1"/>
    </row>
    <row r="272" ht="16" customHeight="1" spans="1:15">
      <c r="A272" s="130" t="s">
        <v>51</v>
      </c>
      <c r="B272" s="73" t="s">
        <v>52</v>
      </c>
      <c r="C272" s="73" t="s">
        <v>178</v>
      </c>
      <c r="D272" s="73" t="s">
        <v>53</v>
      </c>
      <c r="E272" s="131" t="s">
        <v>54</v>
      </c>
      <c r="F272" s="73" t="s">
        <v>179</v>
      </c>
      <c r="G272" s="73" t="s">
        <v>180</v>
      </c>
      <c r="H272" s="73" t="s">
        <v>181</v>
      </c>
      <c r="I272" s="73" t="s">
        <v>182</v>
      </c>
      <c r="J272" s="73" t="s">
        <v>183</v>
      </c>
      <c r="K272" s="129" t="s">
        <v>184</v>
      </c>
      <c r="L272" s="129" t="s">
        <v>185</v>
      </c>
      <c r="M272" s="129" t="s">
        <v>186</v>
      </c>
      <c r="N272" s="20" t="s">
        <v>187</v>
      </c>
      <c r="O272" s="141" t="s">
        <v>188</v>
      </c>
    </row>
    <row r="273" ht="31" customHeight="1" spans="1:15">
      <c r="A273" s="134" t="s">
        <v>41</v>
      </c>
      <c r="B273" s="135">
        <v>1</v>
      </c>
      <c r="C273" s="135" t="s">
        <v>175</v>
      </c>
      <c r="D273" s="135" t="s">
        <v>146</v>
      </c>
      <c r="E273" s="136" t="s">
        <v>147</v>
      </c>
      <c r="F273" s="149">
        <v>98</v>
      </c>
      <c r="G273" s="135" t="s">
        <v>301</v>
      </c>
      <c r="H273" s="135" t="s">
        <v>302</v>
      </c>
      <c r="I273" s="135" t="s">
        <v>303</v>
      </c>
      <c r="J273" s="135" t="s">
        <v>185</v>
      </c>
      <c r="K273" s="137"/>
      <c r="L273" s="137">
        <v>20000</v>
      </c>
      <c r="M273" s="137">
        <v>20000</v>
      </c>
      <c r="N273" s="138" t="s">
        <v>304</v>
      </c>
      <c r="O273" s="139" t="s">
        <v>305</v>
      </c>
    </row>
    <row r="274" spans="1:15">
      <c r="A274" s="169" t="s">
        <v>306</v>
      </c>
      <c r="B274" s="170"/>
      <c r="C274" s="170"/>
      <c r="D274" s="170"/>
      <c r="E274" s="170"/>
      <c r="F274" s="170"/>
      <c r="G274" s="170"/>
      <c r="H274" s="170"/>
      <c r="I274" s="170"/>
      <c r="J274" s="171"/>
      <c r="K274" s="129">
        <f>SUM(K273:K273)</f>
        <v>0</v>
      </c>
      <c r="L274" s="129">
        <f>SUM(L273:L273)</f>
        <v>20000</v>
      </c>
      <c r="M274" s="129">
        <f>SUM(M273:M273)</f>
        <v>20000</v>
      </c>
      <c r="N274" s="141"/>
      <c r="O274" s="142"/>
    </row>
    <row r="275" spans="1:15">
      <c r="A275" s="168" t="s">
        <v>148</v>
      </c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5"/>
    </row>
    <row r="276" ht="16" customHeight="1" spans="1:15">
      <c r="A276" s="130" t="s">
        <v>51</v>
      </c>
      <c r="B276" s="73" t="s">
        <v>52</v>
      </c>
      <c r="C276" s="73" t="s">
        <v>178</v>
      </c>
      <c r="D276" s="73" t="s">
        <v>53</v>
      </c>
      <c r="E276" s="131" t="s">
        <v>54</v>
      </c>
      <c r="F276" s="73" t="s">
        <v>179</v>
      </c>
      <c r="G276" s="73" t="s">
        <v>180</v>
      </c>
      <c r="H276" s="73" t="s">
        <v>181</v>
      </c>
      <c r="I276" s="73" t="s">
        <v>182</v>
      </c>
      <c r="J276" s="73" t="s">
        <v>183</v>
      </c>
      <c r="K276" s="129" t="s">
        <v>184</v>
      </c>
      <c r="L276" s="129" t="s">
        <v>185</v>
      </c>
      <c r="M276" s="129" t="s">
        <v>186</v>
      </c>
      <c r="N276" s="20" t="s">
        <v>187</v>
      </c>
      <c r="O276" s="141" t="s">
        <v>188</v>
      </c>
    </row>
    <row r="277" s="7" customFormat="1" ht="16" customHeight="1" spans="1:15">
      <c r="A277" s="134" t="s">
        <v>43</v>
      </c>
      <c r="B277" s="135">
        <v>1</v>
      </c>
      <c r="C277" s="135" t="s">
        <v>175</v>
      </c>
      <c r="D277" s="135" t="s">
        <v>149</v>
      </c>
      <c r="E277" s="136" t="s">
        <v>150</v>
      </c>
      <c r="F277" s="149" t="s">
        <v>351</v>
      </c>
      <c r="G277" s="135" t="s">
        <v>309</v>
      </c>
      <c r="H277" s="135" t="s">
        <v>275</v>
      </c>
      <c r="I277" s="135" t="s">
        <v>192</v>
      </c>
      <c r="J277" s="135" t="s">
        <v>185</v>
      </c>
      <c r="K277" s="137"/>
      <c r="L277" s="137">
        <v>42500</v>
      </c>
      <c r="M277" s="137">
        <v>42500</v>
      </c>
      <c r="N277" s="138" t="s">
        <v>310</v>
      </c>
      <c r="O277" s="139" t="s">
        <v>311</v>
      </c>
    </row>
    <row r="278" spans="1:15">
      <c r="A278" s="169" t="s">
        <v>312</v>
      </c>
      <c r="B278" s="170"/>
      <c r="C278" s="170"/>
      <c r="D278" s="170"/>
      <c r="E278" s="170"/>
      <c r="F278" s="170"/>
      <c r="G278" s="170"/>
      <c r="H278" s="170"/>
      <c r="I278" s="170"/>
      <c r="J278" s="171"/>
      <c r="K278" s="129">
        <f>SUM(K277:K277)</f>
        <v>0</v>
      </c>
      <c r="L278" s="129">
        <f>SUM(L277:L277)</f>
        <v>42500</v>
      </c>
      <c r="M278" s="129">
        <f>SUM(M277:M277)</f>
        <v>42500</v>
      </c>
      <c r="N278" s="141"/>
      <c r="O278" s="142"/>
    </row>
    <row r="279" ht="16" customHeight="1" spans="1:15">
      <c r="A279" s="173" t="s">
        <v>352</v>
      </c>
      <c r="B279" s="174"/>
      <c r="C279" s="174"/>
      <c r="D279" s="175"/>
      <c r="E279" s="176" t="s">
        <v>314</v>
      </c>
      <c r="F279" s="154" t="s">
        <v>180</v>
      </c>
      <c r="G279" s="154"/>
      <c r="H279" s="155"/>
      <c r="I279" s="70" t="s">
        <v>182</v>
      </c>
      <c r="J279" s="70" t="s">
        <v>183</v>
      </c>
      <c r="K279" s="127" t="s">
        <v>184</v>
      </c>
      <c r="L279" s="127" t="s">
        <v>185</v>
      </c>
      <c r="M279" s="127" t="s">
        <v>186</v>
      </c>
      <c r="N279" s="86" t="s">
        <v>187</v>
      </c>
      <c r="O279" s="128" t="s">
        <v>188</v>
      </c>
    </row>
    <row r="280" ht="31" customHeight="1" spans="1:15">
      <c r="A280" s="177"/>
      <c r="B280" s="178"/>
      <c r="C280" s="178"/>
      <c r="D280" s="179"/>
      <c r="E280" s="180" t="s">
        <v>221</v>
      </c>
      <c r="F280" s="160" t="s">
        <v>315</v>
      </c>
      <c r="G280" s="160"/>
      <c r="H280" s="161"/>
      <c r="I280" s="73" t="s">
        <v>316</v>
      </c>
      <c r="J280" s="73" t="s">
        <v>185</v>
      </c>
      <c r="K280" s="129" t="s">
        <v>317</v>
      </c>
      <c r="L280" s="129">
        <v>12000</v>
      </c>
      <c r="M280" s="129">
        <v>12000</v>
      </c>
      <c r="N280" s="20" t="s">
        <v>318</v>
      </c>
      <c r="O280" s="132" t="s">
        <v>319</v>
      </c>
    </row>
    <row r="281" ht="31" customHeight="1" spans="1:15">
      <c r="A281" s="181"/>
      <c r="B281" s="182"/>
      <c r="C281" s="182"/>
      <c r="D281" s="183"/>
      <c r="E281" s="180" t="s">
        <v>224</v>
      </c>
      <c r="F281" s="160" t="s">
        <v>353</v>
      </c>
      <c r="G281" s="160"/>
      <c r="H281" s="161"/>
      <c r="I281" s="73" t="s">
        <v>321</v>
      </c>
      <c r="J281" s="73" t="s">
        <v>185</v>
      </c>
      <c r="K281" s="129" t="s">
        <v>317</v>
      </c>
      <c r="L281" s="129">
        <v>2100</v>
      </c>
      <c r="M281" s="129">
        <v>2100</v>
      </c>
      <c r="N281" s="20" t="s">
        <v>354</v>
      </c>
      <c r="O281" s="132" t="s">
        <v>323</v>
      </c>
    </row>
  </sheetData>
  <mergeCells count="110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B10:O10"/>
    <mergeCell ref="Q10:W10"/>
    <mergeCell ref="A11:O11"/>
    <mergeCell ref="A34:J34"/>
    <mergeCell ref="N34:O34"/>
    <mergeCell ref="A35:O35"/>
    <mergeCell ref="A44:J44"/>
    <mergeCell ref="N44:O44"/>
    <mergeCell ref="A45:O45"/>
    <mergeCell ref="A58:J58"/>
    <mergeCell ref="N58:O58"/>
    <mergeCell ref="A59:O59"/>
    <mergeCell ref="A67:J67"/>
    <mergeCell ref="N67:O67"/>
    <mergeCell ref="A68:O68"/>
    <mergeCell ref="A76:J76"/>
    <mergeCell ref="N76:O76"/>
    <mergeCell ref="A77:O77"/>
    <mergeCell ref="A84:J84"/>
    <mergeCell ref="N84:O84"/>
    <mergeCell ref="A85:O85"/>
    <mergeCell ref="A91:J91"/>
    <mergeCell ref="N91:O91"/>
    <mergeCell ref="A92:O92"/>
    <mergeCell ref="A100:J100"/>
    <mergeCell ref="N100:O100"/>
    <mergeCell ref="A101:O101"/>
    <mergeCell ref="A108:J108"/>
    <mergeCell ref="N108:O108"/>
    <mergeCell ref="A109:O109"/>
    <mergeCell ref="A117:J117"/>
    <mergeCell ref="N117:O117"/>
    <mergeCell ref="A118:O118"/>
    <mergeCell ref="A126:J126"/>
    <mergeCell ref="N126:O126"/>
    <mergeCell ref="A127:O127"/>
    <mergeCell ref="A130:J130"/>
    <mergeCell ref="N130:O130"/>
    <mergeCell ref="A131:O131"/>
    <mergeCell ref="A134:J134"/>
    <mergeCell ref="N134:O134"/>
    <mergeCell ref="F135:H135"/>
    <mergeCell ref="F136:H136"/>
    <mergeCell ref="F137:H137"/>
    <mergeCell ref="A138:O138"/>
    <mergeCell ref="B139:O139"/>
    <mergeCell ref="A140:O140"/>
    <mergeCell ref="A163:J163"/>
    <mergeCell ref="N163:O163"/>
    <mergeCell ref="A164:O164"/>
    <mergeCell ref="A173:J173"/>
    <mergeCell ref="N173:O173"/>
    <mergeCell ref="A174:O174"/>
    <mergeCell ref="A187:J187"/>
    <mergeCell ref="N187:O187"/>
    <mergeCell ref="A188:O188"/>
    <mergeCell ref="A196:J196"/>
    <mergeCell ref="N196:O196"/>
    <mergeCell ref="A197:O197"/>
    <mergeCell ref="A205:J205"/>
    <mergeCell ref="N205:O205"/>
    <mergeCell ref="A206:O206"/>
    <mergeCell ref="A214:J214"/>
    <mergeCell ref="N214:O214"/>
    <mergeCell ref="A215:O215"/>
    <mergeCell ref="A222:J222"/>
    <mergeCell ref="N222:O222"/>
    <mergeCell ref="A223:O223"/>
    <mergeCell ref="A231:J231"/>
    <mergeCell ref="N231:O231"/>
    <mergeCell ref="A232:O232"/>
    <mergeCell ref="A239:J239"/>
    <mergeCell ref="N239:O239"/>
    <mergeCell ref="A240:O240"/>
    <mergeCell ref="A248:J248"/>
    <mergeCell ref="N248:O248"/>
    <mergeCell ref="A249:O249"/>
    <mergeCell ref="A261:J261"/>
    <mergeCell ref="N261:O261"/>
    <mergeCell ref="A262:O262"/>
    <mergeCell ref="A270:J270"/>
    <mergeCell ref="N270:O270"/>
    <mergeCell ref="A271:O271"/>
    <mergeCell ref="A274:J274"/>
    <mergeCell ref="N274:O274"/>
    <mergeCell ref="A275:O275"/>
    <mergeCell ref="A278:J278"/>
    <mergeCell ref="N278:O278"/>
    <mergeCell ref="F279:H279"/>
    <mergeCell ref="F280:H280"/>
    <mergeCell ref="F281:H281"/>
    <mergeCell ref="A135:D137"/>
    <mergeCell ref="A279:D281"/>
  </mergeCells>
  <pageMargins left="0.7" right="0.7" top="0.75" bottom="0.75" header="0.3" footer="0.3"/>
  <headerFooter/>
  <ignoredErrors>
    <ignoredError sqref="U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5"/>
  <sheetViews>
    <sheetView showGridLines="0" workbookViewId="0">
      <selection activeCell="O11" sqref="O11"/>
    </sheetView>
  </sheetViews>
  <sheetFormatPr defaultColWidth="9.64285714285714" defaultRowHeight="17.6"/>
  <cols>
    <col min="1" max="1" width="14" style="62" customWidth="1"/>
    <col min="2" max="2" width="10" style="62" customWidth="1"/>
    <col min="3" max="3" width="8" style="62" customWidth="1"/>
    <col min="4" max="4" width="25.1428571428571" style="62" customWidth="1"/>
    <col min="5" max="5" width="13" style="62" customWidth="1"/>
    <col min="6" max="6" width="42.2589285714286" style="62" customWidth="1"/>
    <col min="7" max="7" width="12" style="62" customWidth="1"/>
    <col min="8" max="8" width="14" style="62" customWidth="1"/>
    <col min="9" max="10" width="12" style="62" customWidth="1"/>
    <col min="11" max="11" width="22" style="62" customWidth="1"/>
    <col min="12" max="12" width="14" style="62" customWidth="1"/>
    <col min="13" max="13" width="52" style="91" customWidth="1"/>
    <col min="14" max="14" width="63.0982142857143" style="62" customWidth="1"/>
    <col min="15" max="15" width="12.0535714285714" style="62" customWidth="1"/>
    <col min="16" max="16" width="11.6071428571429" style="62" customWidth="1"/>
    <col min="17" max="17" width="12.4910714285714" style="7" customWidth="1"/>
    <col min="18" max="18" width="13.2857142857143" style="7" customWidth="1"/>
    <col min="19" max="19" width="11.9017857142857" style="7" customWidth="1"/>
    <col min="20" max="16380" width="9.64285714285714" style="62" customWidth="1"/>
    <col min="16381" max="16384" width="9.64285714285714" style="62"/>
  </cols>
  <sheetData>
    <row r="1" ht="23.2" customHeight="1" spans="1:18">
      <c r="A1" s="64" t="s">
        <v>355</v>
      </c>
      <c r="P1" s="65" t="s">
        <v>170</v>
      </c>
    </row>
    <row r="2" spans="1:18">
      <c r="A2" s="66" t="s">
        <v>152</v>
      </c>
      <c r="B2" s="67" t="s">
        <v>153</v>
      </c>
      <c r="C2" s="66" t="s">
        <v>154</v>
      </c>
      <c r="D2" s="67" t="s">
        <v>155</v>
      </c>
      <c r="E2" s="68"/>
      <c r="F2" s="68"/>
      <c r="G2" s="68"/>
      <c r="H2" s="68"/>
      <c r="I2" s="68"/>
      <c r="J2" s="68"/>
      <c r="K2" s="68"/>
      <c r="L2" s="69"/>
      <c r="M2" s="92"/>
      <c r="N2" s="68"/>
      <c r="P2" s="70" t="s">
        <v>3</v>
      </c>
      <c r="Q2" s="71" t="s">
        <v>172</v>
      </c>
      <c r="R2" s="72" t="s">
        <v>175</v>
      </c>
    </row>
    <row r="3" spans="1:18">
      <c r="A3" s="66" t="s">
        <v>158</v>
      </c>
      <c r="B3" s="67" t="s">
        <v>159</v>
      </c>
      <c r="C3" s="66" t="s">
        <v>166</v>
      </c>
      <c r="D3" s="67" t="s">
        <v>167</v>
      </c>
      <c r="E3" s="68"/>
      <c r="F3" s="68"/>
      <c r="G3" s="68"/>
      <c r="H3" s="68"/>
      <c r="I3" s="68"/>
      <c r="J3" s="68"/>
      <c r="K3" s="68"/>
      <c r="L3" s="69"/>
      <c r="M3" s="92"/>
      <c r="N3" s="68"/>
      <c r="P3" s="73" t="s">
        <v>26</v>
      </c>
      <c r="Q3" s="74">
        <f t="shared" ref="Q3:Q12" si="0">SUMIFS($L$1:$L$175,$C$1:$C$175,"DV",$A$1:$A$175,$P3)</f>
        <v>246416</v>
      </c>
      <c r="R3" s="75">
        <f t="shared" ref="R3:R16" si="1">SUMIFS($L$1:$L$175,$C$1:$C$175,"PV",$A$1:$A$175,$P3)</f>
        <v>246416</v>
      </c>
    </row>
    <row r="4" spans="1:18">
      <c r="A4" s="66" t="s">
        <v>156</v>
      </c>
      <c r="B4" s="67" t="s">
        <v>157</v>
      </c>
      <c r="C4" s="66" t="s">
        <v>160</v>
      </c>
      <c r="D4" s="67" t="s">
        <v>161</v>
      </c>
      <c r="E4" s="68"/>
      <c r="F4" s="68"/>
      <c r="G4" s="68"/>
      <c r="H4" s="68"/>
      <c r="I4" s="68"/>
      <c r="J4" s="68"/>
      <c r="K4" s="68"/>
      <c r="L4" s="69"/>
      <c r="M4" s="92"/>
      <c r="N4" s="68"/>
      <c r="P4" s="73" t="s">
        <v>27</v>
      </c>
      <c r="Q4" s="74">
        <f t="shared" si="0"/>
        <v>39790</v>
      </c>
      <c r="R4" s="75">
        <f t="shared" si="1"/>
        <v>39790</v>
      </c>
    </row>
    <row r="5" spans="1:18">
      <c r="A5" s="66" t="s">
        <v>162</v>
      </c>
      <c r="B5" s="67" t="s">
        <v>163</v>
      </c>
      <c r="C5" s="66" t="s">
        <v>164</v>
      </c>
      <c r="D5" s="67" t="s">
        <v>165</v>
      </c>
      <c r="E5" s="68"/>
      <c r="F5" s="68"/>
      <c r="G5" s="68"/>
      <c r="H5" s="68"/>
      <c r="I5" s="68"/>
      <c r="J5" s="68"/>
      <c r="K5" s="68"/>
      <c r="L5" s="69"/>
      <c r="M5" s="92"/>
      <c r="N5" s="68"/>
      <c r="P5" s="73" t="s">
        <v>29</v>
      </c>
      <c r="Q5" s="74">
        <f t="shared" si="0"/>
        <v>39958</v>
      </c>
      <c r="R5" s="75">
        <f t="shared" si="1"/>
        <v>39958</v>
      </c>
    </row>
    <row r="6" spans="1:18">
      <c r="A6" s="93" t="s">
        <v>168</v>
      </c>
      <c r="B6" s="94" t="s">
        <v>356</v>
      </c>
      <c r="P6" s="73" t="s">
        <v>30</v>
      </c>
      <c r="Q6" s="74">
        <f t="shared" si="0"/>
        <v>41760</v>
      </c>
      <c r="R6" s="75">
        <f t="shared" si="1"/>
        <v>41760</v>
      </c>
    </row>
    <row r="7" spans="1:18">
      <c r="A7" s="78" t="s">
        <v>171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6"/>
      <c r="P7" s="73" t="s">
        <v>31</v>
      </c>
      <c r="Q7" s="74">
        <f t="shared" si="0"/>
        <v>109200</v>
      </c>
      <c r="R7" s="75">
        <f t="shared" si="1"/>
        <v>109200</v>
      </c>
    </row>
    <row r="8" spans="1:18">
      <c r="A8" s="80" t="s">
        <v>51</v>
      </c>
      <c r="B8" s="80" t="s">
        <v>52</v>
      </c>
      <c r="C8" s="80" t="s">
        <v>178</v>
      </c>
      <c r="D8" s="80" t="s">
        <v>357</v>
      </c>
      <c r="E8" s="80" t="s">
        <v>53</v>
      </c>
      <c r="F8" s="80" t="s">
        <v>54</v>
      </c>
      <c r="G8" s="80" t="s">
        <v>179</v>
      </c>
      <c r="H8" s="80" t="s">
        <v>180</v>
      </c>
      <c r="I8" s="80" t="s">
        <v>181</v>
      </c>
      <c r="J8" s="80" t="s">
        <v>182</v>
      </c>
      <c r="K8" s="80" t="s">
        <v>358</v>
      </c>
      <c r="L8" s="97" t="s">
        <v>359</v>
      </c>
      <c r="M8" s="80" t="s">
        <v>187</v>
      </c>
      <c r="N8" s="80" t="s">
        <v>188</v>
      </c>
      <c r="P8" s="73" t="s">
        <v>32</v>
      </c>
      <c r="Q8" s="74">
        <f t="shared" si="0"/>
        <v>66930</v>
      </c>
      <c r="R8" s="75">
        <f t="shared" si="1"/>
        <v>66930</v>
      </c>
    </row>
    <row r="9" ht="31" customHeight="1" spans="1:18">
      <c r="A9" s="82" t="s">
        <v>26</v>
      </c>
      <c r="B9" s="82">
        <v>2</v>
      </c>
      <c r="C9" s="82" t="s">
        <v>172</v>
      </c>
      <c r="D9" s="82" t="s">
        <v>48</v>
      </c>
      <c r="E9" s="82" t="s">
        <v>66</v>
      </c>
      <c r="F9" s="82" t="s">
        <v>67</v>
      </c>
      <c r="G9" s="82" t="s">
        <v>189</v>
      </c>
      <c r="H9" s="82" t="s">
        <v>190</v>
      </c>
      <c r="I9" s="82" t="s">
        <v>195</v>
      </c>
      <c r="J9" s="82" t="s">
        <v>192</v>
      </c>
      <c r="K9" s="82" t="s">
        <v>360</v>
      </c>
      <c r="L9" s="83">
        <v>5600</v>
      </c>
      <c r="M9" s="98" t="s">
        <v>196</v>
      </c>
      <c r="N9" s="82"/>
      <c r="P9" s="73" t="s">
        <v>34</v>
      </c>
      <c r="Q9" s="74">
        <f t="shared" si="0"/>
        <v>8900</v>
      </c>
      <c r="R9" s="75">
        <f t="shared" si="1"/>
        <v>8900</v>
      </c>
    </row>
    <row r="10" ht="46" customHeight="1" spans="1:18">
      <c r="A10" s="82" t="s">
        <v>26</v>
      </c>
      <c r="B10" s="82">
        <v>3</v>
      </c>
      <c r="C10" s="82" t="s">
        <v>172</v>
      </c>
      <c r="D10" s="82" t="s">
        <v>48</v>
      </c>
      <c r="E10" s="82" t="s">
        <v>68</v>
      </c>
      <c r="F10" s="82" t="s">
        <v>69</v>
      </c>
      <c r="G10" s="82" t="s">
        <v>197</v>
      </c>
      <c r="H10" s="82"/>
      <c r="I10" s="82" t="s">
        <v>198</v>
      </c>
      <c r="J10" s="82" t="s">
        <v>199</v>
      </c>
      <c r="K10" s="82" t="s">
        <v>361</v>
      </c>
      <c r="L10" s="83">
        <v>13000</v>
      </c>
      <c r="M10" s="98" t="s">
        <v>362</v>
      </c>
      <c r="N10" s="82" t="s">
        <v>363</v>
      </c>
      <c r="P10" s="73" t="s">
        <v>36</v>
      </c>
      <c r="Q10" s="74">
        <f t="shared" si="0"/>
        <v>27800</v>
      </c>
      <c r="R10" s="75">
        <f t="shared" si="1"/>
        <v>27800</v>
      </c>
    </row>
    <row r="11" ht="16" customHeight="1" spans="1:18">
      <c r="A11" s="82" t="s">
        <v>26</v>
      </c>
      <c r="B11" s="82">
        <v>4</v>
      </c>
      <c r="C11" s="82" t="s">
        <v>172</v>
      </c>
      <c r="D11" s="82" t="s">
        <v>48</v>
      </c>
      <c r="E11" s="82" t="s">
        <v>70</v>
      </c>
      <c r="F11" s="82" t="s">
        <v>71</v>
      </c>
      <c r="G11" s="82" t="s">
        <v>197</v>
      </c>
      <c r="H11" s="82" t="s">
        <v>202</v>
      </c>
      <c r="I11" s="82" t="s">
        <v>202</v>
      </c>
      <c r="J11" s="82" t="s">
        <v>203</v>
      </c>
      <c r="K11" s="82" t="s">
        <v>364</v>
      </c>
      <c r="L11" s="83">
        <v>720</v>
      </c>
      <c r="M11" s="98" t="s">
        <v>365</v>
      </c>
      <c r="N11" s="82"/>
      <c r="P11" s="73" t="s">
        <v>37</v>
      </c>
      <c r="Q11" s="74">
        <f t="shared" si="0"/>
        <v>27800</v>
      </c>
      <c r="R11" s="75">
        <f t="shared" si="1"/>
        <v>27800</v>
      </c>
    </row>
    <row r="12" s="60" customFormat="1" ht="16" customHeight="1" spans="1:18">
      <c r="A12" s="82" t="s">
        <v>26</v>
      </c>
      <c r="B12" s="82">
        <v>5</v>
      </c>
      <c r="C12" s="82" t="s">
        <v>172</v>
      </c>
      <c r="D12" s="82" t="s">
        <v>48</v>
      </c>
      <c r="E12" s="82" t="s">
        <v>72</v>
      </c>
      <c r="F12" s="82" t="s">
        <v>73</v>
      </c>
      <c r="G12" s="82" t="s">
        <v>197</v>
      </c>
      <c r="H12" s="82" t="s">
        <v>202</v>
      </c>
      <c r="I12" s="82" t="s">
        <v>202</v>
      </c>
      <c r="J12" s="82" t="s">
        <v>203</v>
      </c>
      <c r="K12" s="82" t="s">
        <v>364</v>
      </c>
      <c r="L12" s="83">
        <v>720</v>
      </c>
      <c r="M12" s="98" t="s">
        <v>365</v>
      </c>
      <c r="N12" s="82"/>
      <c r="P12" s="73" t="s">
        <v>38</v>
      </c>
      <c r="Q12" s="74">
        <f t="shared" si="0"/>
        <v>30100</v>
      </c>
      <c r="R12" s="75">
        <f t="shared" si="1"/>
        <v>30100</v>
      </c>
    </row>
    <row r="13" ht="31" customHeight="1" spans="1:18">
      <c r="A13" s="82" t="s">
        <v>26</v>
      </c>
      <c r="B13" s="82">
        <v>6</v>
      </c>
      <c r="C13" s="82" t="s">
        <v>172</v>
      </c>
      <c r="D13" s="82" t="s">
        <v>48</v>
      </c>
      <c r="E13" s="82" t="s">
        <v>74</v>
      </c>
      <c r="F13" s="82" t="s">
        <v>75</v>
      </c>
      <c r="G13" s="82" t="s">
        <v>197</v>
      </c>
      <c r="H13" s="82" t="s">
        <v>202</v>
      </c>
      <c r="I13" s="82" t="s">
        <v>202</v>
      </c>
      <c r="J13" s="82" t="s">
        <v>203</v>
      </c>
      <c r="K13" s="82" t="s">
        <v>364</v>
      </c>
      <c r="L13" s="83">
        <v>720</v>
      </c>
      <c r="M13" s="98" t="s">
        <v>365</v>
      </c>
      <c r="N13" s="82"/>
      <c r="P13" s="73" t="s">
        <v>40</v>
      </c>
      <c r="Q13" s="74" t="s">
        <v>214</v>
      </c>
      <c r="R13" s="75">
        <f t="shared" si="1"/>
        <v>41600</v>
      </c>
    </row>
    <row r="14" ht="31" customHeight="1" spans="1:18">
      <c r="A14" s="82" t="s">
        <v>26</v>
      </c>
      <c r="B14" s="82">
        <v>7</v>
      </c>
      <c r="C14" s="82" t="s">
        <v>172</v>
      </c>
      <c r="D14" s="82" t="s">
        <v>48</v>
      </c>
      <c r="E14" s="82" t="s">
        <v>76</v>
      </c>
      <c r="F14" s="82" t="s">
        <v>77</v>
      </c>
      <c r="G14" s="82" t="s">
        <v>197</v>
      </c>
      <c r="H14" s="82" t="s">
        <v>205</v>
      </c>
      <c r="I14" s="82" t="s">
        <v>205</v>
      </c>
      <c r="J14" s="82" t="s">
        <v>203</v>
      </c>
      <c r="K14" s="82" t="s">
        <v>364</v>
      </c>
      <c r="L14" s="83">
        <v>2880</v>
      </c>
      <c r="M14" s="98" t="s">
        <v>366</v>
      </c>
      <c r="N14" s="82"/>
      <c r="P14" s="73" t="s">
        <v>39</v>
      </c>
      <c r="Q14" s="74">
        <f>SUMIFS($L$1:$L$175,$C$1:$C$175,"DV",$A$1:$A$175,$P14)</f>
        <v>11400</v>
      </c>
      <c r="R14" s="75">
        <f t="shared" si="1"/>
        <v>11400</v>
      </c>
    </row>
    <row r="15" ht="31" customHeight="1" spans="1:18">
      <c r="A15" s="82" t="s">
        <v>26</v>
      </c>
      <c r="B15" s="82">
        <v>8</v>
      </c>
      <c r="C15" s="82" t="s">
        <v>172</v>
      </c>
      <c r="D15" s="82" t="s">
        <v>48</v>
      </c>
      <c r="E15" s="82" t="s">
        <v>78</v>
      </c>
      <c r="F15" s="82" t="s">
        <v>79</v>
      </c>
      <c r="G15" s="82" t="s">
        <v>197</v>
      </c>
      <c r="H15" s="82" t="s">
        <v>207</v>
      </c>
      <c r="I15" s="82" t="s">
        <v>208</v>
      </c>
      <c r="J15" s="82" t="s">
        <v>199</v>
      </c>
      <c r="K15" s="82" t="s">
        <v>367</v>
      </c>
      <c r="L15" s="83">
        <v>3360</v>
      </c>
      <c r="M15" s="98" t="s">
        <v>368</v>
      </c>
      <c r="N15" s="82"/>
      <c r="P15" s="73" t="s">
        <v>41</v>
      </c>
      <c r="Q15" s="74">
        <f>SUMIFS($L$1:$L$175,$C$1:$C$175,"DV",$A$1:$A$175,$P15)</f>
        <v>0</v>
      </c>
      <c r="R15" s="75">
        <f t="shared" si="1"/>
        <v>0</v>
      </c>
    </row>
    <row r="16" ht="16" customHeight="1" spans="1:18">
      <c r="A16" s="82" t="s">
        <v>26</v>
      </c>
      <c r="B16" s="82">
        <v>9</v>
      </c>
      <c r="C16" s="82" t="s">
        <v>172</v>
      </c>
      <c r="D16" s="82" t="s">
        <v>48</v>
      </c>
      <c r="E16" s="82" t="s">
        <v>80</v>
      </c>
      <c r="F16" s="82" t="s">
        <v>81</v>
      </c>
      <c r="G16" s="82" t="s">
        <v>197</v>
      </c>
      <c r="H16" s="82" t="s">
        <v>210</v>
      </c>
      <c r="I16" s="82" t="s">
        <v>210</v>
      </c>
      <c r="J16" s="82" t="s">
        <v>203</v>
      </c>
      <c r="K16" s="82" t="s">
        <v>364</v>
      </c>
      <c r="L16" s="83">
        <v>7200</v>
      </c>
      <c r="M16" s="98" t="s">
        <v>369</v>
      </c>
      <c r="N16" s="82"/>
      <c r="P16" s="73" t="s">
        <v>43</v>
      </c>
      <c r="Q16" s="74">
        <f>SUMIFS($L$1:$L$175,$C$1:$C$175,"DV",$A$1:$A$175,$P16)</f>
        <v>0</v>
      </c>
      <c r="R16" s="75">
        <f t="shared" si="1"/>
        <v>0</v>
      </c>
    </row>
    <row r="17" ht="16" customHeight="1" spans="1:18">
      <c r="A17" s="82" t="s">
        <v>26</v>
      </c>
      <c r="B17" s="82">
        <v>10</v>
      </c>
      <c r="C17" s="82" t="s">
        <v>172</v>
      </c>
      <c r="D17" s="82" t="s">
        <v>48</v>
      </c>
      <c r="E17" s="82" t="s">
        <v>82</v>
      </c>
      <c r="F17" s="82" t="s">
        <v>83</v>
      </c>
      <c r="G17" s="82" t="s">
        <v>197</v>
      </c>
      <c r="H17" s="82" t="s">
        <v>212</v>
      </c>
      <c r="I17" s="82" t="s">
        <v>212</v>
      </c>
      <c r="J17" s="82" t="s">
        <v>203</v>
      </c>
      <c r="K17" s="82" t="s">
        <v>370</v>
      </c>
      <c r="L17" s="83">
        <v>10500</v>
      </c>
      <c r="M17" s="98" t="s">
        <v>213</v>
      </c>
      <c r="N17" s="82"/>
      <c r="P17" s="84" t="s">
        <v>221</v>
      </c>
      <c r="Q17" s="74">
        <v>12000</v>
      </c>
      <c r="R17" s="75">
        <v>12000</v>
      </c>
    </row>
    <row r="18" ht="16" customHeight="1" spans="1:18">
      <c r="A18" s="82" t="s">
        <v>26</v>
      </c>
      <c r="B18" s="82">
        <v>11</v>
      </c>
      <c r="C18" s="82" t="s">
        <v>172</v>
      </c>
      <c r="D18" s="82" t="s">
        <v>48</v>
      </c>
      <c r="E18" s="82" t="s">
        <v>84</v>
      </c>
      <c r="F18" s="82" t="s">
        <v>85</v>
      </c>
      <c r="G18" s="82" t="s">
        <v>197</v>
      </c>
      <c r="H18" s="82" t="s">
        <v>208</v>
      </c>
      <c r="I18" s="82" t="s">
        <v>208</v>
      </c>
      <c r="J18" s="82" t="s">
        <v>203</v>
      </c>
      <c r="K18" s="82" t="s">
        <v>371</v>
      </c>
      <c r="L18" s="83">
        <v>24000</v>
      </c>
      <c r="M18" s="98" t="s">
        <v>215</v>
      </c>
      <c r="N18" s="82"/>
      <c r="P18" s="85" t="s">
        <v>224</v>
      </c>
      <c r="Q18" s="74">
        <v>0</v>
      </c>
      <c r="R18" s="75">
        <v>0</v>
      </c>
    </row>
    <row r="19" ht="16" customHeight="1" spans="1:18">
      <c r="A19" s="82" t="s">
        <v>26</v>
      </c>
      <c r="B19" s="82">
        <v>12</v>
      </c>
      <c r="C19" s="82" t="s">
        <v>172</v>
      </c>
      <c r="D19" s="82" t="s">
        <v>48</v>
      </c>
      <c r="E19" s="82" t="s">
        <v>86</v>
      </c>
      <c r="F19" s="82" t="s">
        <v>87</v>
      </c>
      <c r="G19" s="82" t="s">
        <v>189</v>
      </c>
      <c r="H19" s="82" t="s">
        <v>190</v>
      </c>
      <c r="I19" s="82" t="s">
        <v>208</v>
      </c>
      <c r="J19" s="82" t="s">
        <v>192</v>
      </c>
      <c r="K19" s="82" t="s">
        <v>372</v>
      </c>
      <c r="L19" s="83">
        <v>4200</v>
      </c>
      <c r="M19" s="98" t="s">
        <v>216</v>
      </c>
      <c r="N19" s="82"/>
      <c r="P19" s="86" t="s">
        <v>226</v>
      </c>
      <c r="Q19" s="74">
        <f>SUM(Q3:Q18)</f>
        <v>662054</v>
      </c>
      <c r="R19" s="75">
        <f>SUM(R3:R18)</f>
        <v>703654</v>
      </c>
    </row>
    <row r="20" ht="16" customHeight="1" spans="1:18">
      <c r="A20" s="82" t="s">
        <v>26</v>
      </c>
      <c r="B20" s="82">
        <v>13</v>
      </c>
      <c r="C20" s="82" t="s">
        <v>172</v>
      </c>
      <c r="D20" s="82" t="s">
        <v>48</v>
      </c>
      <c r="E20" s="82" t="s">
        <v>88</v>
      </c>
      <c r="F20" s="82" t="s">
        <v>89</v>
      </c>
      <c r="G20" s="82" t="s">
        <v>197</v>
      </c>
      <c r="H20" s="82" t="s">
        <v>217</v>
      </c>
      <c r="I20" s="82" t="s">
        <v>208</v>
      </c>
      <c r="J20" s="82" t="s">
        <v>192</v>
      </c>
      <c r="K20" s="82" t="s">
        <v>373</v>
      </c>
      <c r="L20" s="83">
        <v>3996</v>
      </c>
      <c r="M20" s="98" t="s">
        <v>374</v>
      </c>
      <c r="N20" s="82"/>
    </row>
    <row r="21" ht="16" customHeight="1" spans="1:18">
      <c r="A21" s="82" t="s">
        <v>26</v>
      </c>
      <c r="B21" s="82">
        <v>14</v>
      </c>
      <c r="C21" s="82" t="s">
        <v>172</v>
      </c>
      <c r="D21" s="82" t="s">
        <v>48</v>
      </c>
      <c r="E21" s="82" t="s">
        <v>90</v>
      </c>
      <c r="F21" s="82" t="s">
        <v>91</v>
      </c>
      <c r="G21" s="82" t="s">
        <v>197</v>
      </c>
      <c r="H21" s="82" t="s">
        <v>217</v>
      </c>
      <c r="I21" s="82" t="s">
        <v>210</v>
      </c>
      <c r="J21" s="82" t="s">
        <v>192</v>
      </c>
      <c r="K21" s="82" t="s">
        <v>375</v>
      </c>
      <c r="L21" s="83">
        <v>144000</v>
      </c>
      <c r="M21" s="98" t="s">
        <v>376</v>
      </c>
      <c r="N21" s="82" t="s">
        <v>220</v>
      </c>
    </row>
    <row r="22" ht="16" customHeight="1" spans="1:18">
      <c r="A22" s="82" t="s">
        <v>26</v>
      </c>
      <c r="B22" s="82">
        <v>15</v>
      </c>
      <c r="C22" s="82" t="s">
        <v>172</v>
      </c>
      <c r="D22" s="82" t="s">
        <v>48</v>
      </c>
      <c r="E22" s="82" t="s">
        <v>92</v>
      </c>
      <c r="F22" s="82" t="s">
        <v>93</v>
      </c>
      <c r="G22" s="82" t="s">
        <v>197</v>
      </c>
      <c r="H22" s="82" t="s">
        <v>222</v>
      </c>
      <c r="I22" s="82" t="s">
        <v>222</v>
      </c>
      <c r="J22" s="82" t="s">
        <v>203</v>
      </c>
      <c r="K22" s="82" t="s">
        <v>364</v>
      </c>
      <c r="L22" s="83">
        <v>7920</v>
      </c>
      <c r="M22" s="98" t="s">
        <v>377</v>
      </c>
      <c r="N22" s="82"/>
    </row>
    <row r="23" ht="16" customHeight="1" spans="1:18">
      <c r="A23" s="82" t="s">
        <v>26</v>
      </c>
      <c r="B23" s="82">
        <v>16</v>
      </c>
      <c r="C23" s="82" t="s">
        <v>172</v>
      </c>
      <c r="D23" s="82" t="s">
        <v>48</v>
      </c>
      <c r="E23" s="82" t="s">
        <v>94</v>
      </c>
      <c r="F23" s="82" t="s">
        <v>95</v>
      </c>
      <c r="G23" s="82" t="s">
        <v>197</v>
      </c>
      <c r="H23" s="82" t="s">
        <v>217</v>
      </c>
      <c r="I23" s="82" t="s">
        <v>195</v>
      </c>
      <c r="J23" s="82" t="s">
        <v>192</v>
      </c>
      <c r="K23" s="82" t="s">
        <v>378</v>
      </c>
      <c r="L23" s="83">
        <v>6000</v>
      </c>
      <c r="M23" s="98" t="s">
        <v>225</v>
      </c>
      <c r="N23" s="82"/>
    </row>
    <row r="24" ht="16" customHeight="1" spans="1:18">
      <c r="A24" s="82" t="s">
        <v>26</v>
      </c>
      <c r="B24" s="82">
        <v>17</v>
      </c>
      <c r="C24" s="82" t="s">
        <v>172</v>
      </c>
      <c r="D24" s="82" t="s">
        <v>48</v>
      </c>
      <c r="E24" s="82" t="s">
        <v>96</v>
      </c>
      <c r="F24" s="82" t="s">
        <v>97</v>
      </c>
      <c r="G24" s="82" t="s">
        <v>197</v>
      </c>
      <c r="H24" s="82" t="s">
        <v>227</v>
      </c>
      <c r="I24" s="82" t="s">
        <v>198</v>
      </c>
      <c r="J24" s="82" t="s">
        <v>199</v>
      </c>
      <c r="K24" s="82" t="s">
        <v>379</v>
      </c>
      <c r="L24" s="83">
        <v>6000</v>
      </c>
      <c r="M24" s="98" t="s">
        <v>380</v>
      </c>
      <c r="N24" s="82"/>
    </row>
    <row r="25" ht="31" customHeight="1" spans="1:18">
      <c r="A25" s="82" t="s">
        <v>26</v>
      </c>
      <c r="B25" s="82">
        <v>19</v>
      </c>
      <c r="C25" s="82" t="s">
        <v>172</v>
      </c>
      <c r="D25" s="82" t="s">
        <v>48</v>
      </c>
      <c r="E25" s="82" t="s">
        <v>66</v>
      </c>
      <c r="F25" s="82" t="s">
        <v>67</v>
      </c>
      <c r="G25" s="82" t="s">
        <v>189</v>
      </c>
      <c r="H25" s="82" t="s">
        <v>190</v>
      </c>
      <c r="I25" s="82" t="s">
        <v>195</v>
      </c>
      <c r="J25" s="82" t="s">
        <v>192</v>
      </c>
      <c r="K25" s="82" t="s">
        <v>360</v>
      </c>
      <c r="L25" s="83">
        <v>5600</v>
      </c>
      <c r="M25" s="98" t="s">
        <v>196</v>
      </c>
      <c r="N25" s="82"/>
    </row>
    <row r="26" ht="31" customHeight="1" spans="1:18">
      <c r="A26" s="78" t="s">
        <v>233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6"/>
    </row>
    <row r="27" ht="31" customHeight="1" spans="1:18">
      <c r="A27" s="80" t="s">
        <v>51</v>
      </c>
      <c r="B27" s="80" t="s">
        <v>52</v>
      </c>
      <c r="C27" s="80" t="s">
        <v>178</v>
      </c>
      <c r="D27" s="80" t="s">
        <v>357</v>
      </c>
      <c r="E27" s="80" t="s">
        <v>53</v>
      </c>
      <c r="F27" s="80" t="s">
        <v>54</v>
      </c>
      <c r="G27" s="80" t="s">
        <v>179</v>
      </c>
      <c r="H27" s="80" t="s">
        <v>180</v>
      </c>
      <c r="I27" s="80" t="s">
        <v>181</v>
      </c>
      <c r="J27" s="80" t="s">
        <v>182</v>
      </c>
      <c r="K27" s="80" t="s">
        <v>358</v>
      </c>
      <c r="L27" s="81" t="s">
        <v>185</v>
      </c>
      <c r="M27" s="80" t="s">
        <v>187</v>
      </c>
      <c r="N27" s="80" t="s">
        <v>188</v>
      </c>
    </row>
    <row r="28" ht="31" customHeight="1" spans="1:18">
      <c r="A28" s="82" t="s">
        <v>27</v>
      </c>
      <c r="B28" s="82">
        <v>2</v>
      </c>
      <c r="C28" s="82" t="s">
        <v>172</v>
      </c>
      <c r="D28" s="82" t="s">
        <v>102</v>
      </c>
      <c r="E28" s="82" t="s">
        <v>66</v>
      </c>
      <c r="F28" s="82" t="s">
        <v>67</v>
      </c>
      <c r="G28" s="82" t="s">
        <v>234</v>
      </c>
      <c r="H28" s="82" t="s">
        <v>217</v>
      </c>
      <c r="I28" s="82" t="s">
        <v>195</v>
      </c>
      <c r="J28" s="82" t="s">
        <v>192</v>
      </c>
      <c r="K28" s="82" t="s">
        <v>360</v>
      </c>
      <c r="L28" s="83">
        <v>4800</v>
      </c>
      <c r="M28" s="98" t="s">
        <v>236</v>
      </c>
      <c r="N28" s="82"/>
    </row>
    <row r="29" ht="31" customHeight="1" spans="1:18">
      <c r="A29" s="82" t="s">
        <v>27</v>
      </c>
      <c r="B29" s="82">
        <v>3</v>
      </c>
      <c r="C29" s="82" t="s">
        <v>172</v>
      </c>
      <c r="D29" s="82" t="s">
        <v>102</v>
      </c>
      <c r="E29" s="82" t="s">
        <v>103</v>
      </c>
      <c r="F29" s="82" t="s">
        <v>104</v>
      </c>
      <c r="G29" s="82" t="s">
        <v>234</v>
      </c>
      <c r="H29" s="82" t="s">
        <v>195</v>
      </c>
      <c r="I29" s="82" t="s">
        <v>195</v>
      </c>
      <c r="J29" s="82" t="s">
        <v>203</v>
      </c>
      <c r="K29" s="82" t="s">
        <v>381</v>
      </c>
      <c r="L29" s="83">
        <v>11190</v>
      </c>
      <c r="M29" s="98" t="s">
        <v>382</v>
      </c>
      <c r="N29" s="82" t="s">
        <v>238</v>
      </c>
    </row>
    <row r="30" spans="1:18">
      <c r="A30" s="82" t="s">
        <v>27</v>
      </c>
      <c r="B30" s="82">
        <v>4</v>
      </c>
      <c r="C30" s="82" t="s">
        <v>172</v>
      </c>
      <c r="D30" s="82" t="s">
        <v>102</v>
      </c>
      <c r="E30" s="82" t="s">
        <v>106</v>
      </c>
      <c r="F30" s="82" t="s">
        <v>107</v>
      </c>
      <c r="G30" s="82" t="s">
        <v>234</v>
      </c>
      <c r="H30" s="82" t="s">
        <v>217</v>
      </c>
      <c r="I30" s="82" t="s">
        <v>191</v>
      </c>
      <c r="J30" s="82" t="s">
        <v>192</v>
      </c>
      <c r="K30" s="82" t="s">
        <v>383</v>
      </c>
      <c r="L30" s="83">
        <v>19000</v>
      </c>
      <c r="M30" s="98" t="s">
        <v>384</v>
      </c>
      <c r="N30" s="82" t="s">
        <v>240</v>
      </c>
    </row>
    <row r="31" ht="31" customHeight="1" spans="1:18">
      <c r="A31" s="82" t="s">
        <v>27</v>
      </c>
      <c r="B31" s="82">
        <v>5</v>
      </c>
      <c r="C31" s="82" t="s">
        <v>172</v>
      </c>
      <c r="D31" s="82" t="s">
        <v>102</v>
      </c>
      <c r="E31" s="82" t="s">
        <v>66</v>
      </c>
      <c r="F31" s="82" t="s">
        <v>67</v>
      </c>
      <c r="G31" s="82" t="s">
        <v>234</v>
      </c>
      <c r="H31" s="82" t="s">
        <v>217</v>
      </c>
      <c r="I31" s="82" t="s">
        <v>195</v>
      </c>
      <c r="J31" s="82" t="s">
        <v>192</v>
      </c>
      <c r="K31" s="82" t="s">
        <v>360</v>
      </c>
      <c r="L31" s="83">
        <v>4800</v>
      </c>
      <c r="M31" s="98" t="s">
        <v>236</v>
      </c>
      <c r="N31" s="82"/>
    </row>
    <row r="32" spans="1:18">
      <c r="A32" s="78" t="s">
        <v>242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6"/>
    </row>
    <row r="33" spans="1:14">
      <c r="A33" s="80" t="s">
        <v>51</v>
      </c>
      <c r="B33" s="80" t="s">
        <v>52</v>
      </c>
      <c r="C33" s="80" t="s">
        <v>178</v>
      </c>
      <c r="D33" s="80" t="s">
        <v>357</v>
      </c>
      <c r="E33" s="80" t="s">
        <v>53</v>
      </c>
      <c r="F33" s="80" t="s">
        <v>54</v>
      </c>
      <c r="G33" s="80" t="s">
        <v>179</v>
      </c>
      <c r="H33" s="80" t="s">
        <v>180</v>
      </c>
      <c r="I33" s="80" t="s">
        <v>181</v>
      </c>
      <c r="J33" s="80" t="s">
        <v>182</v>
      </c>
      <c r="K33" s="80" t="s">
        <v>358</v>
      </c>
      <c r="L33" s="81" t="s">
        <v>185</v>
      </c>
      <c r="M33" s="80" t="s">
        <v>187</v>
      </c>
      <c r="N33" s="80" t="s">
        <v>188</v>
      </c>
    </row>
    <row r="34" ht="31" customHeight="1" spans="1:14">
      <c r="A34" s="82" t="s">
        <v>29</v>
      </c>
      <c r="B34" s="82">
        <v>2</v>
      </c>
      <c r="C34" s="82" t="s">
        <v>172</v>
      </c>
      <c r="D34" s="82" t="s">
        <v>109</v>
      </c>
      <c r="E34" s="82" t="s">
        <v>66</v>
      </c>
      <c r="F34" s="82" t="s">
        <v>67</v>
      </c>
      <c r="G34" s="82" t="s">
        <v>243</v>
      </c>
      <c r="H34" s="82" t="s">
        <v>244</v>
      </c>
      <c r="I34" s="82" t="s">
        <v>195</v>
      </c>
      <c r="J34" s="82" t="s">
        <v>192</v>
      </c>
      <c r="K34" s="82" t="s">
        <v>360</v>
      </c>
      <c r="L34" s="83">
        <v>2400</v>
      </c>
      <c r="M34" s="98" t="s">
        <v>246</v>
      </c>
      <c r="N34" s="82"/>
    </row>
    <row r="35" spans="1:14">
      <c r="A35" s="82" t="s">
        <v>29</v>
      </c>
      <c r="B35" s="82">
        <v>3</v>
      </c>
      <c r="C35" s="82" t="s">
        <v>172</v>
      </c>
      <c r="D35" s="82" t="s">
        <v>109</v>
      </c>
      <c r="E35" s="82" t="s">
        <v>82</v>
      </c>
      <c r="F35" s="82" t="s">
        <v>83</v>
      </c>
      <c r="G35" s="82" t="s">
        <v>243</v>
      </c>
      <c r="H35" s="82" t="s">
        <v>212</v>
      </c>
      <c r="I35" s="82" t="s">
        <v>212</v>
      </c>
      <c r="J35" s="82" t="s">
        <v>203</v>
      </c>
      <c r="K35" s="82" t="s">
        <v>370</v>
      </c>
      <c r="L35" s="83">
        <v>10500</v>
      </c>
      <c r="M35" s="98" t="s">
        <v>213</v>
      </c>
      <c r="N35" s="82"/>
    </row>
    <row r="36" ht="31" customHeight="1" spans="1:14">
      <c r="A36" s="82" t="s">
        <v>29</v>
      </c>
      <c r="B36" s="82">
        <v>4</v>
      </c>
      <c r="C36" s="82" t="s">
        <v>172</v>
      </c>
      <c r="D36" s="82" t="s">
        <v>109</v>
      </c>
      <c r="E36" s="82" t="s">
        <v>68</v>
      </c>
      <c r="F36" s="82" t="s">
        <v>69</v>
      </c>
      <c r="G36" s="82" t="s">
        <v>243</v>
      </c>
      <c r="H36" s="82"/>
      <c r="I36" s="82" t="s">
        <v>208</v>
      </c>
      <c r="J36" s="82" t="s">
        <v>199</v>
      </c>
      <c r="K36" s="82" t="s">
        <v>385</v>
      </c>
      <c r="L36" s="83">
        <v>2500</v>
      </c>
      <c r="M36" s="98" t="s">
        <v>386</v>
      </c>
      <c r="N36" s="82" t="s">
        <v>387</v>
      </c>
    </row>
    <row r="37" spans="1:14">
      <c r="A37" s="82" t="s">
        <v>29</v>
      </c>
      <c r="B37" s="82">
        <v>5</v>
      </c>
      <c r="C37" s="82" t="s">
        <v>172</v>
      </c>
      <c r="D37" s="82" t="s">
        <v>109</v>
      </c>
      <c r="E37" s="82" t="s">
        <v>84</v>
      </c>
      <c r="F37" s="82" t="s">
        <v>110</v>
      </c>
      <c r="G37" s="82" t="s">
        <v>243</v>
      </c>
      <c r="H37" s="82" t="s">
        <v>202</v>
      </c>
      <c r="I37" s="82" t="s">
        <v>202</v>
      </c>
      <c r="J37" s="82" t="s">
        <v>203</v>
      </c>
      <c r="K37" s="82" t="s">
        <v>371</v>
      </c>
      <c r="L37" s="83">
        <v>12000</v>
      </c>
      <c r="M37" s="98" t="s">
        <v>249</v>
      </c>
      <c r="N37" s="82"/>
    </row>
    <row r="38" spans="1:14">
      <c r="A38" s="82" t="s">
        <v>29</v>
      </c>
      <c r="B38" s="82">
        <v>6</v>
      </c>
      <c r="C38" s="82" t="s">
        <v>172</v>
      </c>
      <c r="D38" s="82" t="s">
        <v>109</v>
      </c>
      <c r="E38" s="82" t="s">
        <v>96</v>
      </c>
      <c r="F38" s="82" t="s">
        <v>97</v>
      </c>
      <c r="G38" s="82" t="s">
        <v>243</v>
      </c>
      <c r="H38" s="82" t="s">
        <v>250</v>
      </c>
      <c r="I38" s="82" t="s">
        <v>208</v>
      </c>
      <c r="J38" s="82" t="s">
        <v>199</v>
      </c>
      <c r="K38" s="82" t="s">
        <v>379</v>
      </c>
      <c r="L38" s="83">
        <v>3000</v>
      </c>
      <c r="M38" s="98" t="s">
        <v>388</v>
      </c>
      <c r="N38" s="82"/>
    </row>
    <row r="39" ht="31" customHeight="1" spans="1:14">
      <c r="A39" s="82" t="s">
        <v>29</v>
      </c>
      <c r="B39" s="82">
        <v>8</v>
      </c>
      <c r="C39" s="82" t="s">
        <v>172</v>
      </c>
      <c r="D39" s="82" t="s">
        <v>109</v>
      </c>
      <c r="E39" s="82" t="s">
        <v>111</v>
      </c>
      <c r="F39" s="82" t="s">
        <v>112</v>
      </c>
      <c r="G39" s="82" t="s">
        <v>243</v>
      </c>
      <c r="H39" s="82" t="s">
        <v>253</v>
      </c>
      <c r="I39" s="82" t="s">
        <v>253</v>
      </c>
      <c r="J39" s="82" t="s">
        <v>203</v>
      </c>
      <c r="K39" s="82" t="s">
        <v>389</v>
      </c>
      <c r="L39" s="83">
        <v>7158</v>
      </c>
      <c r="M39" s="98" t="s">
        <v>390</v>
      </c>
      <c r="N39" s="82" t="s">
        <v>255</v>
      </c>
    </row>
    <row r="40" ht="31" customHeight="1" spans="1:14">
      <c r="A40" s="82" t="s">
        <v>29</v>
      </c>
      <c r="B40" s="82">
        <v>9</v>
      </c>
      <c r="C40" s="82" t="s">
        <v>172</v>
      </c>
      <c r="D40" s="82" t="s">
        <v>109</v>
      </c>
      <c r="E40" s="82" t="s">
        <v>66</v>
      </c>
      <c r="F40" s="82" t="s">
        <v>67</v>
      </c>
      <c r="G40" s="82" t="s">
        <v>243</v>
      </c>
      <c r="H40" s="82" t="s">
        <v>244</v>
      </c>
      <c r="I40" s="82" t="s">
        <v>208</v>
      </c>
      <c r="J40" s="82" t="s">
        <v>192</v>
      </c>
      <c r="K40" s="82" t="s">
        <v>360</v>
      </c>
      <c r="L40" s="83">
        <v>2400</v>
      </c>
      <c r="M40" s="98" t="s">
        <v>246</v>
      </c>
      <c r="N40" s="82"/>
    </row>
    <row r="41" spans="1:14">
      <c r="A41" s="78" t="s">
        <v>257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6"/>
    </row>
    <row r="42" spans="1:14">
      <c r="A42" s="80" t="s">
        <v>51</v>
      </c>
      <c r="B42" s="80" t="s">
        <v>52</v>
      </c>
      <c r="C42" s="80" t="s">
        <v>178</v>
      </c>
      <c r="D42" s="80" t="s">
        <v>357</v>
      </c>
      <c r="E42" s="80" t="s">
        <v>53</v>
      </c>
      <c r="F42" s="80" t="s">
        <v>54</v>
      </c>
      <c r="G42" s="80" t="s">
        <v>179</v>
      </c>
      <c r="H42" s="80" t="s">
        <v>180</v>
      </c>
      <c r="I42" s="80" t="s">
        <v>181</v>
      </c>
      <c r="J42" s="80" t="s">
        <v>182</v>
      </c>
      <c r="K42" s="80" t="s">
        <v>358</v>
      </c>
      <c r="L42" s="81" t="s">
        <v>185</v>
      </c>
      <c r="M42" s="99" t="s">
        <v>187</v>
      </c>
      <c r="N42" s="80" t="s">
        <v>188</v>
      </c>
    </row>
    <row r="43" ht="31" customHeight="1" spans="1:14">
      <c r="A43" s="82" t="s">
        <v>30</v>
      </c>
      <c r="B43" s="82">
        <v>2</v>
      </c>
      <c r="C43" s="82" t="s">
        <v>172</v>
      </c>
      <c r="D43" s="82" t="s">
        <v>113</v>
      </c>
      <c r="E43" s="82" t="s">
        <v>66</v>
      </c>
      <c r="F43" s="82" t="s">
        <v>67</v>
      </c>
      <c r="G43" s="82" t="s">
        <v>258</v>
      </c>
      <c r="H43" s="82" t="s">
        <v>244</v>
      </c>
      <c r="I43" s="82" t="s">
        <v>195</v>
      </c>
      <c r="J43" s="82" t="s">
        <v>192</v>
      </c>
      <c r="K43" s="82" t="s">
        <v>360</v>
      </c>
      <c r="L43" s="83">
        <v>2400</v>
      </c>
      <c r="M43" s="98" t="s">
        <v>246</v>
      </c>
      <c r="N43" s="82"/>
    </row>
    <row r="44" ht="31" customHeight="1" spans="1:14">
      <c r="A44" s="100" t="s">
        <v>30</v>
      </c>
      <c r="B44" s="100">
        <v>3</v>
      </c>
      <c r="C44" s="100" t="s">
        <v>172</v>
      </c>
      <c r="D44" s="100" t="s">
        <v>113</v>
      </c>
      <c r="E44" s="100" t="s">
        <v>114</v>
      </c>
      <c r="F44" s="100" t="s">
        <v>115</v>
      </c>
      <c r="G44" s="100" t="s">
        <v>258</v>
      </c>
      <c r="H44" s="100" t="s">
        <v>259</v>
      </c>
      <c r="I44" s="100" t="s">
        <v>259</v>
      </c>
      <c r="J44" s="100" t="s">
        <v>203</v>
      </c>
      <c r="K44" s="100" t="s">
        <v>391</v>
      </c>
      <c r="L44" s="101">
        <v>36960</v>
      </c>
      <c r="M44" s="102" t="s">
        <v>392</v>
      </c>
      <c r="N44" s="100"/>
    </row>
    <row r="45" ht="31" customHeight="1" spans="1:14">
      <c r="A45" s="82" t="s">
        <v>30</v>
      </c>
      <c r="B45" s="82">
        <v>4</v>
      </c>
      <c r="C45" s="82" t="s">
        <v>172</v>
      </c>
      <c r="D45" s="82" t="s">
        <v>113</v>
      </c>
      <c r="E45" s="82" t="s">
        <v>66</v>
      </c>
      <c r="F45" s="82" t="s">
        <v>67</v>
      </c>
      <c r="G45" s="82" t="s">
        <v>258</v>
      </c>
      <c r="H45" s="82" t="s">
        <v>244</v>
      </c>
      <c r="I45" s="82" t="s">
        <v>208</v>
      </c>
      <c r="J45" s="82" t="s">
        <v>192</v>
      </c>
      <c r="K45" s="82" t="s">
        <v>360</v>
      </c>
      <c r="L45" s="83">
        <v>2400</v>
      </c>
      <c r="M45" s="98" t="s">
        <v>246</v>
      </c>
      <c r="N45" s="82"/>
    </row>
    <row r="46" spans="1:14">
      <c r="A46" s="78" t="s">
        <v>262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6"/>
    </row>
    <row r="47" spans="1:14">
      <c r="A47" s="80" t="s">
        <v>51</v>
      </c>
      <c r="B47" s="80" t="s">
        <v>52</v>
      </c>
      <c r="C47" s="80" t="s">
        <v>178</v>
      </c>
      <c r="D47" s="80" t="s">
        <v>357</v>
      </c>
      <c r="E47" s="80" t="s">
        <v>53</v>
      </c>
      <c r="F47" s="80" t="s">
        <v>54</v>
      </c>
      <c r="G47" s="80" t="s">
        <v>179</v>
      </c>
      <c r="H47" s="80" t="s">
        <v>180</v>
      </c>
      <c r="I47" s="80" t="s">
        <v>181</v>
      </c>
      <c r="J47" s="80" t="s">
        <v>182</v>
      </c>
      <c r="K47" s="80" t="s">
        <v>358</v>
      </c>
      <c r="L47" s="81" t="s">
        <v>185</v>
      </c>
      <c r="M47" s="99" t="s">
        <v>187</v>
      </c>
      <c r="N47" s="80" t="s">
        <v>188</v>
      </c>
    </row>
    <row r="48" ht="31" customHeight="1" spans="1:14">
      <c r="A48" s="82" t="s">
        <v>31</v>
      </c>
      <c r="B48" s="82">
        <v>2</v>
      </c>
      <c r="C48" s="82" t="s">
        <v>172</v>
      </c>
      <c r="D48" s="82" t="s">
        <v>116</v>
      </c>
      <c r="E48" s="82" t="s">
        <v>66</v>
      </c>
      <c r="F48" s="82" t="s">
        <v>67</v>
      </c>
      <c r="G48" s="82" t="s">
        <v>263</v>
      </c>
      <c r="H48" s="82" t="s">
        <v>244</v>
      </c>
      <c r="I48" s="82" t="s">
        <v>195</v>
      </c>
      <c r="J48" s="82" t="s">
        <v>192</v>
      </c>
      <c r="K48" s="82" t="s">
        <v>360</v>
      </c>
      <c r="L48" s="83">
        <v>2400</v>
      </c>
      <c r="M48" s="98" t="s">
        <v>246</v>
      </c>
      <c r="N48" s="82"/>
    </row>
    <row r="49" ht="31" customHeight="1" spans="1:14">
      <c r="A49" s="82" t="s">
        <v>31</v>
      </c>
      <c r="B49" s="82">
        <v>3</v>
      </c>
      <c r="C49" s="82" t="s">
        <v>172</v>
      </c>
      <c r="D49" s="82" t="s">
        <v>116</v>
      </c>
      <c r="E49" s="82" t="s">
        <v>117</v>
      </c>
      <c r="F49" s="82" t="s">
        <v>118</v>
      </c>
      <c r="G49" s="82" t="s">
        <v>263</v>
      </c>
      <c r="H49" s="82" t="s">
        <v>264</v>
      </c>
      <c r="I49" s="82" t="s">
        <v>264</v>
      </c>
      <c r="J49" s="82" t="s">
        <v>203</v>
      </c>
      <c r="K49" s="82" t="s">
        <v>393</v>
      </c>
      <c r="L49" s="83">
        <v>104400</v>
      </c>
      <c r="M49" s="98" t="s">
        <v>265</v>
      </c>
      <c r="N49" s="82"/>
    </row>
    <row r="50" ht="31" customHeight="1" spans="1:14">
      <c r="A50" s="82" t="s">
        <v>31</v>
      </c>
      <c r="B50" s="82">
        <v>4</v>
      </c>
      <c r="C50" s="82" t="s">
        <v>172</v>
      </c>
      <c r="D50" s="82" t="s">
        <v>116</v>
      </c>
      <c r="E50" s="82" t="s">
        <v>66</v>
      </c>
      <c r="F50" s="82" t="s">
        <v>67</v>
      </c>
      <c r="G50" s="82" t="s">
        <v>263</v>
      </c>
      <c r="H50" s="82" t="s">
        <v>244</v>
      </c>
      <c r="I50" s="82" t="s">
        <v>208</v>
      </c>
      <c r="J50" s="82" t="s">
        <v>192</v>
      </c>
      <c r="K50" s="82" t="s">
        <v>360</v>
      </c>
      <c r="L50" s="83">
        <v>2400</v>
      </c>
      <c r="M50" s="98" t="s">
        <v>246</v>
      </c>
      <c r="N50" s="82"/>
    </row>
    <row r="51" spans="1:14">
      <c r="A51" s="78" t="s">
        <v>267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6"/>
    </row>
    <row r="52" spans="1:14">
      <c r="A52" s="80" t="s">
        <v>51</v>
      </c>
      <c r="B52" s="80" t="s">
        <v>52</v>
      </c>
      <c r="C52" s="80" t="s">
        <v>178</v>
      </c>
      <c r="D52" s="80" t="s">
        <v>357</v>
      </c>
      <c r="E52" s="80" t="s">
        <v>53</v>
      </c>
      <c r="F52" s="80" t="s">
        <v>54</v>
      </c>
      <c r="G52" s="80" t="s">
        <v>179</v>
      </c>
      <c r="H52" s="80" t="s">
        <v>180</v>
      </c>
      <c r="I52" s="80" t="s">
        <v>181</v>
      </c>
      <c r="J52" s="80" t="s">
        <v>182</v>
      </c>
      <c r="K52" s="80" t="s">
        <v>358</v>
      </c>
      <c r="L52" s="81" t="s">
        <v>185</v>
      </c>
      <c r="M52" s="99" t="s">
        <v>187</v>
      </c>
      <c r="N52" s="80" t="s">
        <v>188</v>
      </c>
    </row>
    <row r="53" ht="31" customHeight="1" spans="1:14">
      <c r="A53" s="82" t="s">
        <v>32</v>
      </c>
      <c r="B53" s="82">
        <v>2</v>
      </c>
      <c r="C53" s="82" t="s">
        <v>172</v>
      </c>
      <c r="D53" s="82" t="s">
        <v>394</v>
      </c>
      <c r="E53" s="82" t="s">
        <v>66</v>
      </c>
      <c r="F53" s="82" t="s">
        <v>67</v>
      </c>
      <c r="G53" s="82" t="s">
        <v>268</v>
      </c>
      <c r="H53" s="82" t="s">
        <v>244</v>
      </c>
      <c r="I53" s="82" t="s">
        <v>195</v>
      </c>
      <c r="J53" s="82" t="s">
        <v>192</v>
      </c>
      <c r="K53" s="82" t="s">
        <v>360</v>
      </c>
      <c r="L53" s="83">
        <v>2400</v>
      </c>
      <c r="M53" s="98" t="s">
        <v>246</v>
      </c>
      <c r="N53" s="82"/>
    </row>
    <row r="54" ht="31" customHeight="1" spans="1:14">
      <c r="A54" s="82" t="s">
        <v>32</v>
      </c>
      <c r="B54" s="82">
        <v>3</v>
      </c>
      <c r="C54" s="82" t="s">
        <v>172</v>
      </c>
      <c r="D54" s="82" t="s">
        <v>394</v>
      </c>
      <c r="E54" s="82" t="s">
        <v>120</v>
      </c>
      <c r="F54" s="82" t="s">
        <v>121</v>
      </c>
      <c r="G54" s="82" t="s">
        <v>268</v>
      </c>
      <c r="H54" s="82" t="s">
        <v>271</v>
      </c>
      <c r="I54" s="82" t="s">
        <v>271</v>
      </c>
      <c r="J54" s="82" t="s">
        <v>203</v>
      </c>
      <c r="K54" s="82" t="s">
        <v>395</v>
      </c>
      <c r="L54" s="83">
        <v>40680</v>
      </c>
      <c r="M54" s="98" t="s">
        <v>396</v>
      </c>
      <c r="N54" s="82"/>
    </row>
    <row r="55" ht="31" customHeight="1" spans="1:14">
      <c r="A55" s="82" t="s">
        <v>32</v>
      </c>
      <c r="B55" s="82">
        <v>4</v>
      </c>
      <c r="C55" s="82" t="s">
        <v>172</v>
      </c>
      <c r="D55" s="82" t="s">
        <v>394</v>
      </c>
      <c r="E55" s="82" t="s">
        <v>66</v>
      </c>
      <c r="F55" s="82" t="s">
        <v>67</v>
      </c>
      <c r="G55" s="82" t="s">
        <v>268</v>
      </c>
      <c r="H55" s="82" t="s">
        <v>244</v>
      </c>
      <c r="I55" s="82" t="s">
        <v>208</v>
      </c>
      <c r="J55" s="82" t="s">
        <v>192</v>
      </c>
      <c r="K55" s="82" t="s">
        <v>360</v>
      </c>
      <c r="L55" s="83">
        <v>2400</v>
      </c>
      <c r="M55" s="98" t="s">
        <v>246</v>
      </c>
      <c r="N55" s="82"/>
    </row>
    <row r="56" ht="46" customHeight="1" spans="1:14">
      <c r="A56" s="82" t="s">
        <v>32</v>
      </c>
      <c r="B56" s="82">
        <v>6</v>
      </c>
      <c r="C56" s="82" t="s">
        <v>172</v>
      </c>
      <c r="D56" s="82" t="s">
        <v>394</v>
      </c>
      <c r="E56" s="82" t="s">
        <v>123</v>
      </c>
      <c r="F56" s="82" t="s">
        <v>123</v>
      </c>
      <c r="G56" s="82" t="s">
        <v>268</v>
      </c>
      <c r="H56" s="82" t="s">
        <v>274</v>
      </c>
      <c r="I56" s="82" t="s">
        <v>275</v>
      </c>
      <c r="J56" s="82" t="s">
        <v>192</v>
      </c>
      <c r="K56" s="82" t="s">
        <v>397</v>
      </c>
      <c r="L56" s="83">
        <v>21450</v>
      </c>
      <c r="M56" s="98" t="s">
        <v>276</v>
      </c>
      <c r="N56" s="82" t="s">
        <v>277</v>
      </c>
    </row>
    <row r="57" spans="1:14">
      <c r="A57" s="78" t="s">
        <v>398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6"/>
    </row>
    <row r="58" spans="1:14">
      <c r="A58" s="80" t="s">
        <v>51</v>
      </c>
      <c r="B58" s="80" t="s">
        <v>52</v>
      </c>
      <c r="C58" s="80" t="s">
        <v>178</v>
      </c>
      <c r="D58" s="80" t="s">
        <v>357</v>
      </c>
      <c r="E58" s="80" t="s">
        <v>53</v>
      </c>
      <c r="F58" s="80" t="s">
        <v>54</v>
      </c>
      <c r="G58" s="80" t="s">
        <v>179</v>
      </c>
      <c r="H58" s="80" t="s">
        <v>180</v>
      </c>
      <c r="I58" s="80" t="s">
        <v>181</v>
      </c>
      <c r="J58" s="80" t="s">
        <v>182</v>
      </c>
      <c r="K58" s="80" t="s">
        <v>358</v>
      </c>
      <c r="L58" s="81" t="s">
        <v>185</v>
      </c>
      <c r="M58" s="99" t="s">
        <v>187</v>
      </c>
      <c r="N58" s="80" t="s">
        <v>188</v>
      </c>
    </row>
    <row r="59" ht="31" customHeight="1" spans="1:14">
      <c r="A59" s="82" t="s">
        <v>34</v>
      </c>
      <c r="B59" s="82">
        <v>2</v>
      </c>
      <c r="C59" s="82" t="s">
        <v>172</v>
      </c>
      <c r="D59" s="82" t="s">
        <v>399</v>
      </c>
      <c r="E59" s="82" t="s">
        <v>66</v>
      </c>
      <c r="F59" s="82" t="s">
        <v>67</v>
      </c>
      <c r="G59" s="82" t="s">
        <v>280</v>
      </c>
      <c r="H59" s="82" t="s">
        <v>244</v>
      </c>
      <c r="I59" s="82" t="s">
        <v>195</v>
      </c>
      <c r="J59" s="82" t="s">
        <v>192</v>
      </c>
      <c r="K59" s="82" t="s">
        <v>360</v>
      </c>
      <c r="L59" s="83">
        <v>2400</v>
      </c>
      <c r="M59" s="98" t="s">
        <v>246</v>
      </c>
      <c r="N59" s="82"/>
    </row>
    <row r="60" ht="31" customHeight="1" spans="1:14">
      <c r="A60" s="82" t="s">
        <v>34</v>
      </c>
      <c r="B60" s="82">
        <v>3</v>
      </c>
      <c r="C60" s="82" t="s">
        <v>172</v>
      </c>
      <c r="D60" s="82" t="s">
        <v>399</v>
      </c>
      <c r="E60" s="82" t="s">
        <v>125</v>
      </c>
      <c r="F60" s="82" t="s">
        <v>126</v>
      </c>
      <c r="G60" s="82" t="s">
        <v>280</v>
      </c>
      <c r="H60" s="82" t="s">
        <v>207</v>
      </c>
      <c r="I60" s="82" t="s">
        <v>208</v>
      </c>
      <c r="J60" s="82" t="s">
        <v>199</v>
      </c>
      <c r="K60" s="82" t="s">
        <v>400</v>
      </c>
      <c r="L60" s="83">
        <v>4100</v>
      </c>
      <c r="M60" s="98" t="s">
        <v>401</v>
      </c>
      <c r="N60" s="82"/>
    </row>
    <row r="61" ht="31" customHeight="1" spans="1:14">
      <c r="A61" s="82" t="s">
        <v>34</v>
      </c>
      <c r="B61" s="82">
        <v>4</v>
      </c>
      <c r="C61" s="82" t="s">
        <v>172</v>
      </c>
      <c r="D61" s="82" t="s">
        <v>399</v>
      </c>
      <c r="E61" s="82" t="s">
        <v>66</v>
      </c>
      <c r="F61" s="82" t="s">
        <v>67</v>
      </c>
      <c r="G61" s="82" t="s">
        <v>280</v>
      </c>
      <c r="H61" s="82" t="s">
        <v>244</v>
      </c>
      <c r="I61" s="82" t="s">
        <v>208</v>
      </c>
      <c r="J61" s="82" t="s">
        <v>192</v>
      </c>
      <c r="K61" s="82" t="s">
        <v>360</v>
      </c>
      <c r="L61" s="83">
        <v>2400</v>
      </c>
      <c r="M61" s="98" t="s">
        <v>246</v>
      </c>
      <c r="N61" s="82"/>
    </row>
    <row r="62" spans="1:14">
      <c r="A62" s="78" t="s">
        <v>282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6"/>
    </row>
    <row r="63" spans="1:14">
      <c r="A63" s="80" t="s">
        <v>51</v>
      </c>
      <c r="B63" s="80" t="s">
        <v>52</v>
      </c>
      <c r="C63" s="80" t="s">
        <v>178</v>
      </c>
      <c r="D63" s="80" t="s">
        <v>357</v>
      </c>
      <c r="E63" s="80" t="s">
        <v>53</v>
      </c>
      <c r="F63" s="80" t="s">
        <v>54</v>
      </c>
      <c r="G63" s="80" t="s">
        <v>179</v>
      </c>
      <c r="H63" s="80" t="s">
        <v>180</v>
      </c>
      <c r="I63" s="80" t="s">
        <v>181</v>
      </c>
      <c r="J63" s="80" t="s">
        <v>182</v>
      </c>
      <c r="K63" s="80" t="s">
        <v>358</v>
      </c>
      <c r="L63" s="81" t="s">
        <v>185</v>
      </c>
      <c r="M63" s="99" t="s">
        <v>187</v>
      </c>
      <c r="N63" s="80" t="s">
        <v>188</v>
      </c>
    </row>
    <row r="64" ht="31" customHeight="1" spans="1:14">
      <c r="A64" s="82" t="s">
        <v>36</v>
      </c>
      <c r="B64" s="82">
        <v>2</v>
      </c>
      <c r="C64" s="82" t="s">
        <v>172</v>
      </c>
      <c r="D64" s="82" t="s">
        <v>127</v>
      </c>
      <c r="E64" s="82" t="s">
        <v>66</v>
      </c>
      <c r="F64" s="82" t="s">
        <v>67</v>
      </c>
      <c r="G64" s="82" t="s">
        <v>283</v>
      </c>
      <c r="H64" s="82" t="s">
        <v>244</v>
      </c>
      <c r="I64" s="82" t="s">
        <v>195</v>
      </c>
      <c r="J64" s="82" t="s">
        <v>192</v>
      </c>
      <c r="K64" s="82" t="s">
        <v>360</v>
      </c>
      <c r="L64" s="83">
        <v>2400</v>
      </c>
      <c r="M64" s="98" t="s">
        <v>246</v>
      </c>
      <c r="N64" s="82"/>
    </row>
    <row r="65" ht="31" customHeight="1" spans="1:14">
      <c r="A65" s="82" t="s">
        <v>36</v>
      </c>
      <c r="B65" s="82">
        <v>3</v>
      </c>
      <c r="C65" s="82" t="s">
        <v>172</v>
      </c>
      <c r="D65" s="82" t="s">
        <v>127</v>
      </c>
      <c r="E65" s="82" t="s">
        <v>128</v>
      </c>
      <c r="F65" s="82" t="s">
        <v>129</v>
      </c>
      <c r="G65" s="82" t="s">
        <v>283</v>
      </c>
      <c r="H65" s="82" t="s">
        <v>284</v>
      </c>
      <c r="I65" s="82" t="s">
        <v>284</v>
      </c>
      <c r="J65" s="82" t="s">
        <v>203</v>
      </c>
      <c r="K65" s="82" t="s">
        <v>402</v>
      </c>
      <c r="L65" s="83">
        <v>23000</v>
      </c>
      <c r="M65" s="98" t="s">
        <v>403</v>
      </c>
      <c r="N65" s="82"/>
    </row>
    <row r="66" ht="31" customHeight="1" spans="1:14">
      <c r="A66" s="82" t="s">
        <v>36</v>
      </c>
      <c r="B66" s="82">
        <v>4</v>
      </c>
      <c r="C66" s="82" t="s">
        <v>172</v>
      </c>
      <c r="D66" s="82" t="s">
        <v>127</v>
      </c>
      <c r="E66" s="82" t="s">
        <v>66</v>
      </c>
      <c r="F66" s="82" t="s">
        <v>67</v>
      </c>
      <c r="G66" s="82" t="s">
        <v>283</v>
      </c>
      <c r="H66" s="82" t="s">
        <v>244</v>
      </c>
      <c r="I66" s="82" t="s">
        <v>208</v>
      </c>
      <c r="J66" s="82" t="s">
        <v>192</v>
      </c>
      <c r="K66" s="82" t="s">
        <v>360</v>
      </c>
      <c r="L66" s="83">
        <v>2400</v>
      </c>
      <c r="M66" s="98" t="s">
        <v>246</v>
      </c>
      <c r="N66" s="82"/>
    </row>
    <row r="67" spans="1:14">
      <c r="A67" s="78" t="s">
        <v>287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6"/>
    </row>
    <row r="68" spans="1:14">
      <c r="A68" s="80" t="s">
        <v>51</v>
      </c>
      <c r="B68" s="80" t="s">
        <v>52</v>
      </c>
      <c r="C68" s="80" t="s">
        <v>178</v>
      </c>
      <c r="D68" s="80" t="s">
        <v>357</v>
      </c>
      <c r="E68" s="80" t="s">
        <v>53</v>
      </c>
      <c r="F68" s="80" t="s">
        <v>54</v>
      </c>
      <c r="G68" s="80" t="s">
        <v>179</v>
      </c>
      <c r="H68" s="80" t="s">
        <v>180</v>
      </c>
      <c r="I68" s="80" t="s">
        <v>181</v>
      </c>
      <c r="J68" s="80" t="s">
        <v>182</v>
      </c>
      <c r="K68" s="80" t="s">
        <v>358</v>
      </c>
      <c r="L68" s="81" t="s">
        <v>185</v>
      </c>
      <c r="M68" s="99" t="s">
        <v>187</v>
      </c>
      <c r="N68" s="80" t="s">
        <v>188</v>
      </c>
    </row>
    <row r="69" ht="31" customHeight="1" spans="1:14">
      <c r="A69" s="82" t="s">
        <v>37</v>
      </c>
      <c r="B69" s="82">
        <v>2</v>
      </c>
      <c r="C69" s="82" t="s">
        <v>172</v>
      </c>
      <c r="D69" s="82" t="s">
        <v>130</v>
      </c>
      <c r="E69" s="82" t="s">
        <v>66</v>
      </c>
      <c r="F69" s="82" t="s">
        <v>67</v>
      </c>
      <c r="G69" s="82" t="s">
        <v>288</v>
      </c>
      <c r="H69" s="82" t="s">
        <v>244</v>
      </c>
      <c r="I69" s="82" t="s">
        <v>195</v>
      </c>
      <c r="J69" s="82" t="s">
        <v>192</v>
      </c>
      <c r="K69" s="82" t="s">
        <v>360</v>
      </c>
      <c r="L69" s="83">
        <v>2400</v>
      </c>
      <c r="M69" s="98" t="s">
        <v>246</v>
      </c>
      <c r="N69" s="82"/>
    </row>
    <row r="70" ht="31" customHeight="1" spans="1:14">
      <c r="A70" s="82" t="s">
        <v>37</v>
      </c>
      <c r="B70" s="82">
        <v>3</v>
      </c>
      <c r="C70" s="82" t="s">
        <v>172</v>
      </c>
      <c r="D70" s="82" t="s">
        <v>130</v>
      </c>
      <c r="E70" s="82" t="s">
        <v>131</v>
      </c>
      <c r="F70" s="82" t="s">
        <v>132</v>
      </c>
      <c r="G70" s="82" t="s">
        <v>288</v>
      </c>
      <c r="H70" s="82" t="s">
        <v>284</v>
      </c>
      <c r="I70" s="82" t="s">
        <v>284</v>
      </c>
      <c r="J70" s="82" t="s">
        <v>203</v>
      </c>
      <c r="K70" s="82" t="s">
        <v>402</v>
      </c>
      <c r="L70" s="83">
        <v>23000</v>
      </c>
      <c r="M70" s="98" t="s">
        <v>403</v>
      </c>
      <c r="N70" s="82"/>
    </row>
    <row r="71" ht="31" customHeight="1" spans="1:14">
      <c r="A71" s="82" t="s">
        <v>37</v>
      </c>
      <c r="B71" s="82">
        <v>4</v>
      </c>
      <c r="C71" s="82" t="s">
        <v>172</v>
      </c>
      <c r="D71" s="82" t="s">
        <v>130</v>
      </c>
      <c r="E71" s="82" t="s">
        <v>66</v>
      </c>
      <c r="F71" s="82" t="s">
        <v>67</v>
      </c>
      <c r="G71" s="82" t="s">
        <v>288</v>
      </c>
      <c r="H71" s="82" t="s">
        <v>244</v>
      </c>
      <c r="I71" s="82" t="s">
        <v>208</v>
      </c>
      <c r="J71" s="82" t="s">
        <v>192</v>
      </c>
      <c r="K71" s="82" t="s">
        <v>360</v>
      </c>
      <c r="L71" s="83">
        <v>2400</v>
      </c>
      <c r="M71" s="98" t="s">
        <v>246</v>
      </c>
      <c r="N71" s="82"/>
    </row>
    <row r="72" spans="1:14">
      <c r="A72" s="78" t="s">
        <v>290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6"/>
    </row>
    <row r="73" spans="1:14">
      <c r="A73" s="80" t="s">
        <v>51</v>
      </c>
      <c r="B73" s="80" t="s">
        <v>52</v>
      </c>
      <c r="C73" s="80" t="s">
        <v>178</v>
      </c>
      <c r="D73" s="80" t="s">
        <v>357</v>
      </c>
      <c r="E73" s="80" t="s">
        <v>53</v>
      </c>
      <c r="F73" s="80" t="s">
        <v>54</v>
      </c>
      <c r="G73" s="80" t="s">
        <v>179</v>
      </c>
      <c r="H73" s="80" t="s">
        <v>180</v>
      </c>
      <c r="I73" s="80" t="s">
        <v>181</v>
      </c>
      <c r="J73" s="80" t="s">
        <v>182</v>
      </c>
      <c r="K73" s="80" t="s">
        <v>358</v>
      </c>
      <c r="L73" s="81" t="s">
        <v>185</v>
      </c>
      <c r="M73" s="99" t="s">
        <v>187</v>
      </c>
      <c r="N73" s="80" t="s">
        <v>188</v>
      </c>
    </row>
    <row r="74" ht="31" customHeight="1" spans="1:14">
      <c r="A74" s="82" t="s">
        <v>38</v>
      </c>
      <c r="B74" s="82">
        <v>2</v>
      </c>
      <c r="C74" s="82" t="s">
        <v>172</v>
      </c>
      <c r="D74" s="82" t="s">
        <v>133</v>
      </c>
      <c r="E74" s="82" t="s">
        <v>66</v>
      </c>
      <c r="F74" s="82" t="s">
        <v>67</v>
      </c>
      <c r="G74" s="82" t="s">
        <v>291</v>
      </c>
      <c r="H74" s="82" t="s">
        <v>244</v>
      </c>
      <c r="I74" s="82" t="s">
        <v>195</v>
      </c>
      <c r="J74" s="82" t="s">
        <v>192</v>
      </c>
      <c r="K74" s="82" t="s">
        <v>360</v>
      </c>
      <c r="L74" s="83">
        <v>2400</v>
      </c>
      <c r="M74" s="98" t="s">
        <v>246</v>
      </c>
      <c r="N74" s="82"/>
    </row>
    <row r="75" ht="31" customHeight="1" spans="1:14">
      <c r="A75" s="82" t="s">
        <v>38</v>
      </c>
      <c r="B75" s="82">
        <v>3</v>
      </c>
      <c r="C75" s="82" t="s">
        <v>172</v>
      </c>
      <c r="D75" s="82" t="s">
        <v>133</v>
      </c>
      <c r="E75" s="82" t="s">
        <v>131</v>
      </c>
      <c r="F75" s="82" t="s">
        <v>134</v>
      </c>
      <c r="G75" s="82" t="s">
        <v>291</v>
      </c>
      <c r="H75" s="82" t="s">
        <v>292</v>
      </c>
      <c r="I75" s="82" t="s">
        <v>292</v>
      </c>
      <c r="J75" s="82" t="s">
        <v>203</v>
      </c>
      <c r="K75" s="82" t="s">
        <v>402</v>
      </c>
      <c r="L75" s="83">
        <v>25300</v>
      </c>
      <c r="M75" s="98" t="s">
        <v>404</v>
      </c>
      <c r="N75" s="82"/>
    </row>
    <row r="76" ht="31" customHeight="1" spans="1:14">
      <c r="A76" s="82" t="s">
        <v>38</v>
      </c>
      <c r="B76" s="82">
        <v>4</v>
      </c>
      <c r="C76" s="82" t="s">
        <v>172</v>
      </c>
      <c r="D76" s="82" t="s">
        <v>133</v>
      </c>
      <c r="E76" s="82" t="s">
        <v>66</v>
      </c>
      <c r="F76" s="82" t="s">
        <v>67</v>
      </c>
      <c r="G76" s="82" t="s">
        <v>291</v>
      </c>
      <c r="H76" s="82" t="s">
        <v>244</v>
      </c>
      <c r="I76" s="82" t="s">
        <v>208</v>
      </c>
      <c r="J76" s="82" t="s">
        <v>192</v>
      </c>
      <c r="K76" s="82" t="s">
        <v>360</v>
      </c>
      <c r="L76" s="83">
        <v>2400</v>
      </c>
      <c r="M76" s="98" t="s">
        <v>246</v>
      </c>
      <c r="N76" s="82"/>
    </row>
    <row r="77" spans="1:14">
      <c r="A77" s="78" t="s">
        <v>295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6"/>
    </row>
    <row r="78" spans="1:14">
      <c r="A78" s="80" t="s">
        <v>51</v>
      </c>
      <c r="B78" s="80" t="s">
        <v>52</v>
      </c>
      <c r="C78" s="80" t="s">
        <v>178</v>
      </c>
      <c r="D78" s="80" t="s">
        <v>357</v>
      </c>
      <c r="E78" s="80" t="s">
        <v>53</v>
      </c>
      <c r="F78" s="80" t="s">
        <v>54</v>
      </c>
      <c r="G78" s="80" t="s">
        <v>179</v>
      </c>
      <c r="H78" s="80" t="s">
        <v>180</v>
      </c>
      <c r="I78" s="80" t="s">
        <v>181</v>
      </c>
      <c r="J78" s="80" t="s">
        <v>182</v>
      </c>
      <c r="K78" s="80" t="s">
        <v>358</v>
      </c>
      <c r="L78" s="81" t="s">
        <v>185</v>
      </c>
      <c r="M78" s="99" t="s">
        <v>187</v>
      </c>
      <c r="N78" s="80" t="s">
        <v>188</v>
      </c>
    </row>
    <row r="79" ht="31" customHeight="1" spans="1:14">
      <c r="A79" s="82" t="s">
        <v>39</v>
      </c>
      <c r="B79" s="82">
        <v>2</v>
      </c>
      <c r="C79" s="82" t="s">
        <v>172</v>
      </c>
      <c r="D79" s="82" t="s">
        <v>405</v>
      </c>
      <c r="E79" s="82" t="s">
        <v>66</v>
      </c>
      <c r="F79" s="82" t="s">
        <v>67</v>
      </c>
      <c r="G79" s="82" t="s">
        <v>296</v>
      </c>
      <c r="H79" s="82" t="s">
        <v>244</v>
      </c>
      <c r="I79" s="82" t="s">
        <v>195</v>
      </c>
      <c r="J79" s="82" t="s">
        <v>192</v>
      </c>
      <c r="K79" s="82" t="s">
        <v>360</v>
      </c>
      <c r="L79" s="83">
        <v>2400</v>
      </c>
      <c r="M79" s="98" t="s">
        <v>246</v>
      </c>
      <c r="N79" s="82"/>
    </row>
    <row r="80" spans="1:14">
      <c r="A80" s="82" t="s">
        <v>39</v>
      </c>
      <c r="B80" s="82">
        <v>3</v>
      </c>
      <c r="C80" s="82" t="s">
        <v>172</v>
      </c>
      <c r="D80" s="82" t="s">
        <v>405</v>
      </c>
      <c r="E80" s="82" t="s">
        <v>137</v>
      </c>
      <c r="F80" s="82" t="s">
        <v>297</v>
      </c>
      <c r="G80" s="82" t="s">
        <v>296</v>
      </c>
      <c r="H80" s="82" t="s">
        <v>198</v>
      </c>
      <c r="I80" s="82" t="s">
        <v>198</v>
      </c>
      <c r="J80" s="82" t="s">
        <v>203</v>
      </c>
      <c r="K80" s="82" t="s">
        <v>406</v>
      </c>
      <c r="L80" s="83">
        <v>6600</v>
      </c>
      <c r="M80" s="98" t="s">
        <v>298</v>
      </c>
      <c r="N80" s="82"/>
    </row>
    <row r="81" ht="31" customHeight="1" spans="1:14">
      <c r="A81" s="82" t="s">
        <v>39</v>
      </c>
      <c r="B81" s="82">
        <v>4</v>
      </c>
      <c r="C81" s="82" t="s">
        <v>172</v>
      </c>
      <c r="D81" s="82" t="s">
        <v>405</v>
      </c>
      <c r="E81" s="82" t="s">
        <v>66</v>
      </c>
      <c r="F81" s="82" t="s">
        <v>67</v>
      </c>
      <c r="G81" s="82" t="s">
        <v>296</v>
      </c>
      <c r="H81" s="82" t="s">
        <v>244</v>
      </c>
      <c r="I81" s="82" t="s">
        <v>208</v>
      </c>
      <c r="J81" s="82" t="s">
        <v>192</v>
      </c>
      <c r="K81" s="82" t="s">
        <v>360</v>
      </c>
      <c r="L81" s="83">
        <v>2400</v>
      </c>
      <c r="M81" s="98" t="s">
        <v>246</v>
      </c>
      <c r="N81" s="82"/>
    </row>
    <row r="82" spans="1:14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4"/>
      <c r="M82" s="105"/>
      <c r="N82" s="103"/>
    </row>
    <row r="83" spans="1:14">
      <c r="A83" s="78" t="s">
        <v>313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6"/>
    </row>
    <row r="84" spans="1:14">
      <c r="A84" s="80" t="s">
        <v>51</v>
      </c>
      <c r="B84" s="80" t="s">
        <v>52</v>
      </c>
      <c r="C84" s="80" t="s">
        <v>178</v>
      </c>
      <c r="D84" s="80" t="s">
        <v>357</v>
      </c>
      <c r="E84" s="80" t="s">
        <v>53</v>
      </c>
      <c r="F84" s="80" t="s">
        <v>54</v>
      </c>
      <c r="G84" s="80" t="s">
        <v>179</v>
      </c>
      <c r="H84" s="80" t="s">
        <v>180</v>
      </c>
      <c r="I84" s="80" t="s">
        <v>181</v>
      </c>
      <c r="J84" s="80" t="s">
        <v>182</v>
      </c>
      <c r="K84" s="80" t="s">
        <v>358</v>
      </c>
      <c r="L84" s="81" t="s">
        <v>185</v>
      </c>
      <c r="M84" s="99" t="s">
        <v>187</v>
      </c>
      <c r="N84" s="80" t="s">
        <v>188</v>
      </c>
    </row>
    <row r="85" ht="31" customHeight="1" spans="1:14">
      <c r="A85" s="82" t="s">
        <v>407</v>
      </c>
      <c r="B85" s="89">
        <v>1</v>
      </c>
      <c r="C85" s="82" t="s">
        <v>172</v>
      </c>
      <c r="D85" s="82" t="s">
        <v>408</v>
      </c>
      <c r="E85" s="82" t="s">
        <v>221</v>
      </c>
      <c r="F85" s="82" t="s">
        <v>221</v>
      </c>
      <c r="G85" s="82"/>
      <c r="H85" s="82" t="s">
        <v>315</v>
      </c>
      <c r="I85" s="82"/>
      <c r="J85" s="82" t="s">
        <v>316</v>
      </c>
      <c r="K85" s="82" t="s">
        <v>409</v>
      </c>
      <c r="L85" s="83">
        <v>12000</v>
      </c>
      <c r="M85" s="98" t="s">
        <v>318</v>
      </c>
      <c r="N85" s="82" t="s">
        <v>319</v>
      </c>
    </row>
    <row r="86" ht="31" customHeight="1" spans="1:14">
      <c r="A86" s="82" t="s">
        <v>407</v>
      </c>
      <c r="B86" s="89">
        <v>2</v>
      </c>
      <c r="C86" s="82" t="s">
        <v>172</v>
      </c>
      <c r="D86" s="82" t="s">
        <v>408</v>
      </c>
      <c r="E86" s="82" t="s">
        <v>224</v>
      </c>
      <c r="F86" s="82" t="s">
        <v>224</v>
      </c>
      <c r="G86" s="82"/>
      <c r="H86" s="82" t="s">
        <v>320</v>
      </c>
      <c r="I86" s="82"/>
      <c r="J86" s="82" t="s">
        <v>321</v>
      </c>
      <c r="K86" s="82" t="s">
        <v>410</v>
      </c>
      <c r="L86" s="83">
        <v>0</v>
      </c>
      <c r="M86" s="98" t="s">
        <v>411</v>
      </c>
      <c r="N86" s="82" t="s">
        <v>412</v>
      </c>
    </row>
    <row r="87" ht="23" customHeight="1" spans="1:14">
      <c r="A87" s="76" t="s">
        <v>324</v>
      </c>
      <c r="B87" s="77" t="s">
        <v>413</v>
      </c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6"/>
    </row>
    <row r="88" spans="1:14">
      <c r="A88" s="78" t="s">
        <v>326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6"/>
    </row>
    <row r="89" spans="1:14">
      <c r="A89" s="80" t="s">
        <v>51</v>
      </c>
      <c r="B89" s="80" t="s">
        <v>52</v>
      </c>
      <c r="C89" s="80" t="s">
        <v>178</v>
      </c>
      <c r="D89" s="80" t="s">
        <v>357</v>
      </c>
      <c r="E89" s="80" t="s">
        <v>53</v>
      </c>
      <c r="F89" s="80" t="s">
        <v>54</v>
      </c>
      <c r="G89" s="80" t="s">
        <v>179</v>
      </c>
      <c r="H89" s="80" t="s">
        <v>180</v>
      </c>
      <c r="I89" s="80" t="s">
        <v>181</v>
      </c>
      <c r="J89" s="80" t="s">
        <v>182</v>
      </c>
      <c r="K89" s="80" t="s">
        <v>358</v>
      </c>
      <c r="L89" s="81" t="s">
        <v>185</v>
      </c>
      <c r="M89" s="99" t="s">
        <v>187</v>
      </c>
      <c r="N89" s="80" t="s">
        <v>188</v>
      </c>
    </row>
    <row r="90" ht="31" customHeight="1" spans="1:14">
      <c r="A90" s="82" t="s">
        <v>26</v>
      </c>
      <c r="B90" s="82">
        <v>2</v>
      </c>
      <c r="C90" s="82" t="s">
        <v>175</v>
      </c>
      <c r="D90" s="82" t="s">
        <v>48</v>
      </c>
      <c r="E90" s="82" t="s">
        <v>66</v>
      </c>
      <c r="F90" s="82" t="s">
        <v>67</v>
      </c>
      <c r="G90" s="82" t="s">
        <v>189</v>
      </c>
      <c r="H90" s="82" t="s">
        <v>190</v>
      </c>
      <c r="I90" s="82" t="s">
        <v>195</v>
      </c>
      <c r="J90" s="82" t="s">
        <v>192</v>
      </c>
      <c r="K90" s="82" t="s">
        <v>360</v>
      </c>
      <c r="L90" s="83">
        <v>5600</v>
      </c>
      <c r="M90" s="98" t="s">
        <v>196</v>
      </c>
      <c r="N90" s="82"/>
    </row>
    <row r="91" ht="31" customHeight="1" spans="1:14">
      <c r="A91" s="82" t="s">
        <v>26</v>
      </c>
      <c r="B91" s="82">
        <v>3</v>
      </c>
      <c r="C91" s="82" t="s">
        <v>175</v>
      </c>
      <c r="D91" s="82" t="s">
        <v>48</v>
      </c>
      <c r="E91" s="82" t="s">
        <v>68</v>
      </c>
      <c r="F91" s="82" t="s">
        <v>69</v>
      </c>
      <c r="G91" s="82" t="s">
        <v>197</v>
      </c>
      <c r="H91" s="82"/>
      <c r="I91" s="82" t="s">
        <v>198</v>
      </c>
      <c r="J91" s="82" t="s">
        <v>199</v>
      </c>
      <c r="K91" s="82" t="s">
        <v>414</v>
      </c>
      <c r="L91" s="83">
        <v>13000</v>
      </c>
      <c r="M91" s="98" t="s">
        <v>362</v>
      </c>
      <c r="N91" s="82" t="s">
        <v>363</v>
      </c>
    </row>
    <row r="92" spans="1:14">
      <c r="A92" s="82" t="s">
        <v>26</v>
      </c>
      <c r="B92" s="82">
        <v>4</v>
      </c>
      <c r="C92" s="82" t="s">
        <v>175</v>
      </c>
      <c r="D92" s="82" t="s">
        <v>48</v>
      </c>
      <c r="E92" s="82" t="s">
        <v>70</v>
      </c>
      <c r="F92" s="82" t="s">
        <v>71</v>
      </c>
      <c r="G92" s="82" t="s">
        <v>197</v>
      </c>
      <c r="H92" s="82" t="s">
        <v>202</v>
      </c>
      <c r="I92" s="82" t="s">
        <v>202</v>
      </c>
      <c r="J92" s="82" t="s">
        <v>203</v>
      </c>
      <c r="K92" s="82" t="s">
        <v>364</v>
      </c>
      <c r="L92" s="83">
        <v>720</v>
      </c>
      <c r="M92" s="98" t="s">
        <v>365</v>
      </c>
      <c r="N92" s="82"/>
    </row>
    <row r="93" spans="1:14">
      <c r="A93" s="82" t="s">
        <v>26</v>
      </c>
      <c r="B93" s="82">
        <v>5</v>
      </c>
      <c r="C93" s="82" t="s">
        <v>175</v>
      </c>
      <c r="D93" s="82" t="s">
        <v>48</v>
      </c>
      <c r="E93" s="82" t="s">
        <v>72</v>
      </c>
      <c r="F93" s="82" t="s">
        <v>73</v>
      </c>
      <c r="G93" s="82" t="s">
        <v>197</v>
      </c>
      <c r="H93" s="82" t="s">
        <v>202</v>
      </c>
      <c r="I93" s="82" t="s">
        <v>202</v>
      </c>
      <c r="J93" s="82" t="s">
        <v>203</v>
      </c>
      <c r="K93" s="82" t="s">
        <v>364</v>
      </c>
      <c r="L93" s="83">
        <v>720</v>
      </c>
      <c r="M93" s="98" t="s">
        <v>365</v>
      </c>
      <c r="N93" s="82"/>
    </row>
    <row r="94" spans="1:14">
      <c r="A94" s="82" t="s">
        <v>26</v>
      </c>
      <c r="B94" s="82">
        <v>6</v>
      </c>
      <c r="C94" s="82" t="s">
        <v>175</v>
      </c>
      <c r="D94" s="82" t="s">
        <v>48</v>
      </c>
      <c r="E94" s="82" t="s">
        <v>74</v>
      </c>
      <c r="F94" s="82" t="s">
        <v>75</v>
      </c>
      <c r="G94" s="82" t="s">
        <v>197</v>
      </c>
      <c r="H94" s="82" t="s">
        <v>202</v>
      </c>
      <c r="I94" s="82" t="s">
        <v>202</v>
      </c>
      <c r="J94" s="82" t="s">
        <v>203</v>
      </c>
      <c r="K94" s="82" t="s">
        <v>364</v>
      </c>
      <c r="L94" s="83">
        <v>720</v>
      </c>
      <c r="M94" s="98" t="s">
        <v>365</v>
      </c>
      <c r="N94" s="82"/>
    </row>
    <row r="95" spans="1:14">
      <c r="A95" s="82" t="s">
        <v>26</v>
      </c>
      <c r="B95" s="82">
        <v>7</v>
      </c>
      <c r="C95" s="82" t="s">
        <v>175</v>
      </c>
      <c r="D95" s="82" t="s">
        <v>48</v>
      </c>
      <c r="E95" s="82" t="s">
        <v>76</v>
      </c>
      <c r="F95" s="82" t="s">
        <v>77</v>
      </c>
      <c r="G95" s="82" t="s">
        <v>197</v>
      </c>
      <c r="H95" s="82" t="s">
        <v>205</v>
      </c>
      <c r="I95" s="82" t="s">
        <v>205</v>
      </c>
      <c r="J95" s="82" t="s">
        <v>203</v>
      </c>
      <c r="K95" s="82" t="s">
        <v>364</v>
      </c>
      <c r="L95" s="83">
        <v>2880</v>
      </c>
      <c r="M95" s="98" t="s">
        <v>366</v>
      </c>
      <c r="N95" s="82"/>
    </row>
    <row r="96" spans="1:14">
      <c r="A96" s="82" t="s">
        <v>26</v>
      </c>
      <c r="B96" s="82">
        <v>8</v>
      </c>
      <c r="C96" s="82" t="s">
        <v>175</v>
      </c>
      <c r="D96" s="82" t="s">
        <v>48</v>
      </c>
      <c r="E96" s="82" t="s">
        <v>78</v>
      </c>
      <c r="F96" s="82" t="s">
        <v>79</v>
      </c>
      <c r="G96" s="82" t="s">
        <v>197</v>
      </c>
      <c r="H96" s="82" t="s">
        <v>207</v>
      </c>
      <c r="I96" s="82" t="s">
        <v>208</v>
      </c>
      <c r="J96" s="82" t="s">
        <v>199</v>
      </c>
      <c r="K96" s="82" t="s">
        <v>367</v>
      </c>
      <c r="L96" s="83">
        <v>3360</v>
      </c>
      <c r="M96" s="98" t="s">
        <v>368</v>
      </c>
      <c r="N96" s="82"/>
    </row>
    <row r="97" spans="1:14">
      <c r="A97" s="82" t="s">
        <v>26</v>
      </c>
      <c r="B97" s="82">
        <v>9</v>
      </c>
      <c r="C97" s="82" t="s">
        <v>175</v>
      </c>
      <c r="D97" s="82" t="s">
        <v>48</v>
      </c>
      <c r="E97" s="82" t="s">
        <v>80</v>
      </c>
      <c r="F97" s="82" t="s">
        <v>81</v>
      </c>
      <c r="G97" s="82" t="s">
        <v>197</v>
      </c>
      <c r="H97" s="82" t="s">
        <v>210</v>
      </c>
      <c r="I97" s="82" t="s">
        <v>210</v>
      </c>
      <c r="J97" s="82" t="s">
        <v>203</v>
      </c>
      <c r="K97" s="82" t="s">
        <v>364</v>
      </c>
      <c r="L97" s="83">
        <v>7200</v>
      </c>
      <c r="M97" s="98" t="s">
        <v>369</v>
      </c>
      <c r="N97" s="82"/>
    </row>
    <row r="98" spans="1:14">
      <c r="A98" s="82" t="s">
        <v>26</v>
      </c>
      <c r="B98" s="82">
        <v>10</v>
      </c>
      <c r="C98" s="82" t="s">
        <v>175</v>
      </c>
      <c r="D98" s="82" t="s">
        <v>48</v>
      </c>
      <c r="E98" s="82" t="s">
        <v>82</v>
      </c>
      <c r="F98" s="82" t="s">
        <v>83</v>
      </c>
      <c r="G98" s="82" t="s">
        <v>197</v>
      </c>
      <c r="H98" s="82" t="s">
        <v>212</v>
      </c>
      <c r="I98" s="82" t="s">
        <v>212</v>
      </c>
      <c r="J98" s="82" t="s">
        <v>203</v>
      </c>
      <c r="K98" s="82" t="s">
        <v>370</v>
      </c>
      <c r="L98" s="83">
        <v>10500</v>
      </c>
      <c r="M98" s="98" t="s">
        <v>213</v>
      </c>
      <c r="N98" s="82"/>
    </row>
    <row r="99" spans="1:14">
      <c r="A99" s="82" t="s">
        <v>26</v>
      </c>
      <c r="B99" s="82">
        <v>11</v>
      </c>
      <c r="C99" s="82" t="s">
        <v>175</v>
      </c>
      <c r="D99" s="82" t="s">
        <v>48</v>
      </c>
      <c r="E99" s="82" t="s">
        <v>84</v>
      </c>
      <c r="F99" s="82" t="s">
        <v>85</v>
      </c>
      <c r="G99" s="82" t="s">
        <v>197</v>
      </c>
      <c r="H99" s="82" t="s">
        <v>208</v>
      </c>
      <c r="I99" s="82" t="s">
        <v>208</v>
      </c>
      <c r="J99" s="82" t="s">
        <v>203</v>
      </c>
      <c r="K99" s="82" t="s">
        <v>371</v>
      </c>
      <c r="L99" s="83">
        <v>24000</v>
      </c>
      <c r="M99" s="98" t="s">
        <v>215</v>
      </c>
      <c r="N99" s="82"/>
    </row>
    <row r="100" spans="1:14">
      <c r="A100" s="82" t="s">
        <v>26</v>
      </c>
      <c r="B100" s="82">
        <v>12</v>
      </c>
      <c r="C100" s="82" t="s">
        <v>175</v>
      </c>
      <c r="D100" s="82" t="s">
        <v>48</v>
      </c>
      <c r="E100" s="82" t="s">
        <v>86</v>
      </c>
      <c r="F100" s="82" t="s">
        <v>87</v>
      </c>
      <c r="G100" s="82" t="s">
        <v>189</v>
      </c>
      <c r="H100" s="82" t="s">
        <v>190</v>
      </c>
      <c r="I100" s="82" t="s">
        <v>208</v>
      </c>
      <c r="J100" s="82" t="s">
        <v>192</v>
      </c>
      <c r="K100" s="82" t="s">
        <v>372</v>
      </c>
      <c r="L100" s="83">
        <v>4200</v>
      </c>
      <c r="M100" s="98" t="s">
        <v>216</v>
      </c>
      <c r="N100" s="82"/>
    </row>
    <row r="101" spans="1:14">
      <c r="A101" s="82" t="s">
        <v>26</v>
      </c>
      <c r="B101" s="82">
        <v>13</v>
      </c>
      <c r="C101" s="82" t="s">
        <v>175</v>
      </c>
      <c r="D101" s="82" t="s">
        <v>48</v>
      </c>
      <c r="E101" s="82" t="s">
        <v>88</v>
      </c>
      <c r="F101" s="82" t="s">
        <v>89</v>
      </c>
      <c r="G101" s="82" t="s">
        <v>197</v>
      </c>
      <c r="H101" s="82" t="s">
        <v>217</v>
      </c>
      <c r="I101" s="82" t="s">
        <v>208</v>
      </c>
      <c r="J101" s="82" t="s">
        <v>192</v>
      </c>
      <c r="K101" s="82" t="s">
        <v>373</v>
      </c>
      <c r="L101" s="83">
        <v>3996</v>
      </c>
      <c r="M101" s="98" t="s">
        <v>374</v>
      </c>
      <c r="N101" s="82"/>
    </row>
    <row r="102" spans="1:14">
      <c r="A102" s="82" t="s">
        <v>26</v>
      </c>
      <c r="B102" s="82">
        <v>14</v>
      </c>
      <c r="C102" s="82" t="s">
        <v>175</v>
      </c>
      <c r="D102" s="82" t="s">
        <v>48</v>
      </c>
      <c r="E102" s="82" t="s">
        <v>90</v>
      </c>
      <c r="F102" s="82" t="s">
        <v>91</v>
      </c>
      <c r="G102" s="82" t="s">
        <v>197</v>
      </c>
      <c r="H102" s="82" t="s">
        <v>217</v>
      </c>
      <c r="I102" s="82" t="s">
        <v>210</v>
      </c>
      <c r="J102" s="82" t="s">
        <v>192</v>
      </c>
      <c r="K102" s="82" t="s">
        <v>375</v>
      </c>
      <c r="L102" s="83">
        <v>144000</v>
      </c>
      <c r="M102" s="98" t="s">
        <v>376</v>
      </c>
      <c r="N102" s="82" t="s">
        <v>220</v>
      </c>
    </row>
    <row r="103" spans="1:14">
      <c r="A103" s="82" t="s">
        <v>26</v>
      </c>
      <c r="B103" s="82">
        <v>15</v>
      </c>
      <c r="C103" s="82" t="s">
        <v>175</v>
      </c>
      <c r="D103" s="82" t="s">
        <v>48</v>
      </c>
      <c r="E103" s="82" t="s">
        <v>92</v>
      </c>
      <c r="F103" s="82" t="s">
        <v>93</v>
      </c>
      <c r="G103" s="82" t="s">
        <v>197</v>
      </c>
      <c r="H103" s="82" t="s">
        <v>222</v>
      </c>
      <c r="I103" s="82" t="s">
        <v>222</v>
      </c>
      <c r="J103" s="82" t="s">
        <v>203</v>
      </c>
      <c r="K103" s="82" t="s">
        <v>364</v>
      </c>
      <c r="L103" s="83">
        <v>7920</v>
      </c>
      <c r="M103" s="98" t="s">
        <v>377</v>
      </c>
      <c r="N103" s="82"/>
    </row>
    <row r="104" spans="1:14">
      <c r="A104" s="82" t="s">
        <v>26</v>
      </c>
      <c r="B104" s="82">
        <v>16</v>
      </c>
      <c r="C104" s="82" t="s">
        <v>175</v>
      </c>
      <c r="D104" s="82" t="s">
        <v>48</v>
      </c>
      <c r="E104" s="82" t="s">
        <v>94</v>
      </c>
      <c r="F104" s="82" t="s">
        <v>95</v>
      </c>
      <c r="G104" s="82" t="s">
        <v>197</v>
      </c>
      <c r="H104" s="82" t="s">
        <v>217</v>
      </c>
      <c r="I104" s="82" t="s">
        <v>195</v>
      </c>
      <c r="J104" s="82" t="s">
        <v>192</v>
      </c>
      <c r="K104" s="82" t="s">
        <v>378</v>
      </c>
      <c r="L104" s="83">
        <v>6000</v>
      </c>
      <c r="M104" s="98" t="s">
        <v>225</v>
      </c>
      <c r="N104" s="82"/>
    </row>
    <row r="105" spans="1:14">
      <c r="A105" s="82" t="s">
        <v>26</v>
      </c>
      <c r="B105" s="82">
        <v>17</v>
      </c>
      <c r="C105" s="82" t="s">
        <v>175</v>
      </c>
      <c r="D105" s="82" t="s">
        <v>48</v>
      </c>
      <c r="E105" s="82" t="s">
        <v>96</v>
      </c>
      <c r="F105" s="82" t="s">
        <v>97</v>
      </c>
      <c r="G105" s="82" t="s">
        <v>197</v>
      </c>
      <c r="H105" s="82" t="s">
        <v>227</v>
      </c>
      <c r="I105" s="82" t="s">
        <v>198</v>
      </c>
      <c r="J105" s="82" t="s">
        <v>199</v>
      </c>
      <c r="K105" s="82" t="s">
        <v>379</v>
      </c>
      <c r="L105" s="83">
        <v>6000</v>
      </c>
      <c r="M105" s="98" t="s">
        <v>380</v>
      </c>
      <c r="N105" s="82"/>
    </row>
    <row r="106" ht="31" customHeight="1" spans="1:14">
      <c r="A106" s="82" t="s">
        <v>26</v>
      </c>
      <c r="B106" s="82">
        <v>19</v>
      </c>
      <c r="C106" s="82" t="s">
        <v>175</v>
      </c>
      <c r="D106" s="82" t="s">
        <v>48</v>
      </c>
      <c r="E106" s="82" t="s">
        <v>66</v>
      </c>
      <c r="F106" s="82" t="s">
        <v>67</v>
      </c>
      <c r="G106" s="82" t="s">
        <v>189</v>
      </c>
      <c r="H106" s="82" t="s">
        <v>190</v>
      </c>
      <c r="I106" s="82" t="s">
        <v>195</v>
      </c>
      <c r="J106" s="82" t="s">
        <v>192</v>
      </c>
      <c r="K106" s="82" t="s">
        <v>360</v>
      </c>
      <c r="L106" s="83">
        <v>5600</v>
      </c>
      <c r="M106" s="98" t="s">
        <v>196</v>
      </c>
      <c r="N106" s="82"/>
    </row>
    <row r="107" spans="1:14">
      <c r="A107" s="78" t="s">
        <v>327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6"/>
    </row>
    <row r="108" spans="1:14">
      <c r="A108" s="80" t="s">
        <v>51</v>
      </c>
      <c r="B108" s="80" t="s">
        <v>52</v>
      </c>
      <c r="C108" s="80" t="s">
        <v>178</v>
      </c>
      <c r="D108" s="80" t="s">
        <v>357</v>
      </c>
      <c r="E108" s="80" t="s">
        <v>53</v>
      </c>
      <c r="F108" s="80" t="s">
        <v>54</v>
      </c>
      <c r="G108" s="80" t="s">
        <v>179</v>
      </c>
      <c r="H108" s="80" t="s">
        <v>180</v>
      </c>
      <c r="I108" s="80" t="s">
        <v>181</v>
      </c>
      <c r="J108" s="80" t="s">
        <v>182</v>
      </c>
      <c r="K108" s="80" t="s">
        <v>358</v>
      </c>
      <c r="L108" s="81" t="s">
        <v>185</v>
      </c>
      <c r="M108" s="99" t="s">
        <v>187</v>
      </c>
      <c r="N108" s="80" t="s">
        <v>188</v>
      </c>
    </row>
    <row r="109" ht="31" customHeight="1" spans="1:14">
      <c r="A109" s="82" t="s">
        <v>27</v>
      </c>
      <c r="B109" s="82">
        <v>2</v>
      </c>
      <c r="C109" s="82" t="s">
        <v>175</v>
      </c>
      <c r="D109" s="82" t="s">
        <v>102</v>
      </c>
      <c r="E109" s="82" t="s">
        <v>66</v>
      </c>
      <c r="F109" s="82" t="s">
        <v>67</v>
      </c>
      <c r="G109" s="82" t="s">
        <v>234</v>
      </c>
      <c r="H109" s="82" t="s">
        <v>217</v>
      </c>
      <c r="I109" s="82" t="s">
        <v>195</v>
      </c>
      <c r="J109" s="82" t="s">
        <v>192</v>
      </c>
      <c r="K109" s="82" t="s">
        <v>360</v>
      </c>
      <c r="L109" s="83">
        <v>4800</v>
      </c>
      <c r="M109" s="98" t="s">
        <v>236</v>
      </c>
      <c r="N109" s="82"/>
    </row>
    <row r="110" ht="31" customHeight="1" spans="1:14">
      <c r="A110" s="82" t="s">
        <v>27</v>
      </c>
      <c r="B110" s="82">
        <v>3</v>
      </c>
      <c r="C110" s="82" t="s">
        <v>175</v>
      </c>
      <c r="D110" s="82" t="s">
        <v>102</v>
      </c>
      <c r="E110" s="82" t="s">
        <v>103</v>
      </c>
      <c r="F110" s="82" t="s">
        <v>104</v>
      </c>
      <c r="G110" s="82" t="s">
        <v>234</v>
      </c>
      <c r="H110" s="82" t="s">
        <v>195</v>
      </c>
      <c r="I110" s="82" t="s">
        <v>195</v>
      </c>
      <c r="J110" s="82" t="s">
        <v>203</v>
      </c>
      <c r="K110" s="82" t="s">
        <v>381</v>
      </c>
      <c r="L110" s="83">
        <v>11190</v>
      </c>
      <c r="M110" s="98" t="s">
        <v>382</v>
      </c>
      <c r="N110" s="82" t="s">
        <v>238</v>
      </c>
    </row>
    <row r="111" spans="1:14">
      <c r="A111" s="82" t="s">
        <v>27</v>
      </c>
      <c r="B111" s="82">
        <v>4</v>
      </c>
      <c r="C111" s="82" t="s">
        <v>175</v>
      </c>
      <c r="D111" s="82" t="s">
        <v>102</v>
      </c>
      <c r="E111" s="82" t="s">
        <v>106</v>
      </c>
      <c r="F111" s="82" t="s">
        <v>107</v>
      </c>
      <c r="G111" s="82" t="s">
        <v>234</v>
      </c>
      <c r="H111" s="82" t="s">
        <v>217</v>
      </c>
      <c r="I111" s="82" t="s">
        <v>191</v>
      </c>
      <c r="J111" s="82" t="s">
        <v>192</v>
      </c>
      <c r="K111" s="82" t="s">
        <v>383</v>
      </c>
      <c r="L111" s="83">
        <v>19000</v>
      </c>
      <c r="M111" s="98" t="s">
        <v>384</v>
      </c>
      <c r="N111" s="82" t="s">
        <v>240</v>
      </c>
    </row>
    <row r="112" ht="31" customHeight="1" spans="1:14">
      <c r="A112" s="82" t="s">
        <v>27</v>
      </c>
      <c r="B112" s="82">
        <v>5</v>
      </c>
      <c r="C112" s="82" t="s">
        <v>175</v>
      </c>
      <c r="D112" s="82" t="s">
        <v>102</v>
      </c>
      <c r="E112" s="82" t="s">
        <v>66</v>
      </c>
      <c r="F112" s="82" t="s">
        <v>67</v>
      </c>
      <c r="G112" s="82" t="s">
        <v>234</v>
      </c>
      <c r="H112" s="82" t="s">
        <v>217</v>
      </c>
      <c r="I112" s="82" t="s">
        <v>195</v>
      </c>
      <c r="J112" s="82" t="s">
        <v>192</v>
      </c>
      <c r="K112" s="82" t="s">
        <v>360</v>
      </c>
      <c r="L112" s="83">
        <v>4800</v>
      </c>
      <c r="M112" s="98" t="s">
        <v>236</v>
      </c>
      <c r="N112" s="82"/>
    </row>
    <row r="113" spans="1:15">
      <c r="A113" s="78" t="s">
        <v>328</v>
      </c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6"/>
    </row>
    <row r="114" spans="1:15">
      <c r="A114" s="80" t="s">
        <v>51</v>
      </c>
      <c r="B114" s="80" t="s">
        <v>52</v>
      </c>
      <c r="C114" s="80" t="s">
        <v>178</v>
      </c>
      <c r="D114" s="80" t="s">
        <v>357</v>
      </c>
      <c r="E114" s="80" t="s">
        <v>53</v>
      </c>
      <c r="F114" s="80" t="s">
        <v>54</v>
      </c>
      <c r="G114" s="80" t="s">
        <v>179</v>
      </c>
      <c r="H114" s="80" t="s">
        <v>180</v>
      </c>
      <c r="I114" s="80" t="s">
        <v>181</v>
      </c>
      <c r="J114" s="80" t="s">
        <v>182</v>
      </c>
      <c r="K114" s="80" t="s">
        <v>358</v>
      </c>
      <c r="L114" s="81" t="s">
        <v>185</v>
      </c>
      <c r="M114" s="99" t="s">
        <v>187</v>
      </c>
      <c r="N114" s="80" t="s">
        <v>188</v>
      </c>
    </row>
    <row r="115" ht="31" customHeight="1" spans="1:15">
      <c r="A115" s="82" t="s">
        <v>29</v>
      </c>
      <c r="B115" s="82">
        <v>2</v>
      </c>
      <c r="C115" s="82" t="s">
        <v>175</v>
      </c>
      <c r="D115" s="82" t="s">
        <v>109</v>
      </c>
      <c r="E115" s="82" t="s">
        <v>66</v>
      </c>
      <c r="F115" s="82" t="s">
        <v>67</v>
      </c>
      <c r="G115" s="82" t="s">
        <v>243</v>
      </c>
      <c r="H115" s="82" t="s">
        <v>244</v>
      </c>
      <c r="I115" s="82" t="s">
        <v>195</v>
      </c>
      <c r="J115" s="82" t="s">
        <v>192</v>
      </c>
      <c r="K115" s="82" t="s">
        <v>360</v>
      </c>
      <c r="L115" s="83">
        <v>2400</v>
      </c>
      <c r="M115" s="98" t="s">
        <v>246</v>
      </c>
      <c r="N115" s="82"/>
    </row>
    <row r="116" spans="1:15">
      <c r="A116" s="82" t="s">
        <v>29</v>
      </c>
      <c r="B116" s="82">
        <v>3</v>
      </c>
      <c r="C116" s="82" t="s">
        <v>175</v>
      </c>
      <c r="D116" s="82" t="s">
        <v>109</v>
      </c>
      <c r="E116" s="82" t="s">
        <v>82</v>
      </c>
      <c r="F116" s="82" t="s">
        <v>83</v>
      </c>
      <c r="G116" s="82" t="s">
        <v>243</v>
      </c>
      <c r="H116" s="82" t="s">
        <v>212</v>
      </c>
      <c r="I116" s="82" t="s">
        <v>212</v>
      </c>
      <c r="J116" s="82" t="s">
        <v>203</v>
      </c>
      <c r="K116" s="82" t="s">
        <v>370</v>
      </c>
      <c r="L116" s="83">
        <v>10500</v>
      </c>
      <c r="M116" s="98" t="s">
        <v>213</v>
      </c>
      <c r="N116" s="82"/>
    </row>
    <row r="117" ht="31" customHeight="1" spans="1:15">
      <c r="A117" s="82" t="s">
        <v>29</v>
      </c>
      <c r="B117" s="82">
        <v>4</v>
      </c>
      <c r="C117" s="82" t="s">
        <v>175</v>
      </c>
      <c r="D117" s="82" t="s">
        <v>109</v>
      </c>
      <c r="E117" s="82" t="s">
        <v>68</v>
      </c>
      <c r="F117" s="82" t="s">
        <v>69</v>
      </c>
      <c r="G117" s="82" t="s">
        <v>243</v>
      </c>
      <c r="H117" s="82"/>
      <c r="I117" s="82" t="s">
        <v>208</v>
      </c>
      <c r="J117" s="82" t="s">
        <v>199</v>
      </c>
      <c r="K117" s="82" t="s">
        <v>385</v>
      </c>
      <c r="L117" s="83">
        <v>2500</v>
      </c>
      <c r="M117" s="98" t="s">
        <v>386</v>
      </c>
      <c r="N117" s="82" t="s">
        <v>387</v>
      </c>
    </row>
    <row r="118" spans="1:15">
      <c r="A118" s="82" t="s">
        <v>29</v>
      </c>
      <c r="B118" s="82">
        <v>5</v>
      </c>
      <c r="C118" s="82" t="s">
        <v>175</v>
      </c>
      <c r="D118" s="82" t="s">
        <v>109</v>
      </c>
      <c r="E118" s="82" t="s">
        <v>84</v>
      </c>
      <c r="F118" s="82" t="s">
        <v>110</v>
      </c>
      <c r="G118" s="82" t="s">
        <v>243</v>
      </c>
      <c r="H118" s="82" t="s">
        <v>202</v>
      </c>
      <c r="I118" s="82" t="s">
        <v>202</v>
      </c>
      <c r="J118" s="82" t="s">
        <v>203</v>
      </c>
      <c r="K118" s="82" t="s">
        <v>371</v>
      </c>
      <c r="L118" s="83">
        <v>12000</v>
      </c>
      <c r="M118" s="98" t="s">
        <v>249</v>
      </c>
      <c r="N118" s="82"/>
    </row>
    <row r="119" spans="1:15">
      <c r="A119" s="82" t="s">
        <v>29</v>
      </c>
      <c r="B119" s="82">
        <v>6</v>
      </c>
      <c r="C119" s="82" t="s">
        <v>175</v>
      </c>
      <c r="D119" s="82" t="s">
        <v>109</v>
      </c>
      <c r="E119" s="82" t="s">
        <v>96</v>
      </c>
      <c r="F119" s="82" t="s">
        <v>97</v>
      </c>
      <c r="G119" s="82" t="s">
        <v>243</v>
      </c>
      <c r="H119" s="82" t="s">
        <v>250</v>
      </c>
      <c r="I119" s="82" t="s">
        <v>208</v>
      </c>
      <c r="J119" s="82" t="s">
        <v>199</v>
      </c>
      <c r="K119" s="82" t="s">
        <v>379</v>
      </c>
      <c r="L119" s="83">
        <v>3000</v>
      </c>
      <c r="M119" s="98" t="s">
        <v>388</v>
      </c>
      <c r="N119" s="82"/>
    </row>
    <row r="120" ht="31" customHeight="1" spans="1:15">
      <c r="A120" s="82" t="s">
        <v>29</v>
      </c>
      <c r="B120" s="82">
        <v>8</v>
      </c>
      <c r="C120" s="82" t="s">
        <v>175</v>
      </c>
      <c r="D120" s="82" t="s">
        <v>109</v>
      </c>
      <c r="E120" s="82" t="s">
        <v>111</v>
      </c>
      <c r="F120" s="82" t="s">
        <v>112</v>
      </c>
      <c r="G120" s="82" t="s">
        <v>243</v>
      </c>
      <c r="H120" s="82" t="s">
        <v>253</v>
      </c>
      <c r="I120" s="82" t="s">
        <v>253</v>
      </c>
      <c r="J120" s="82" t="s">
        <v>203</v>
      </c>
      <c r="K120" s="82" t="s">
        <v>389</v>
      </c>
      <c r="L120" s="83">
        <v>7158</v>
      </c>
      <c r="M120" s="98" t="s">
        <v>390</v>
      </c>
      <c r="N120" s="82" t="s">
        <v>255</v>
      </c>
    </row>
    <row r="121" ht="31" customHeight="1" spans="1:15">
      <c r="A121" s="82" t="s">
        <v>29</v>
      </c>
      <c r="B121" s="82">
        <v>9</v>
      </c>
      <c r="C121" s="82" t="s">
        <v>175</v>
      </c>
      <c r="D121" s="82" t="s">
        <v>109</v>
      </c>
      <c r="E121" s="82" t="s">
        <v>66</v>
      </c>
      <c r="F121" s="82" t="s">
        <v>67</v>
      </c>
      <c r="G121" s="82" t="s">
        <v>243</v>
      </c>
      <c r="H121" s="82" t="s">
        <v>244</v>
      </c>
      <c r="I121" s="82" t="s">
        <v>208</v>
      </c>
      <c r="J121" s="82" t="s">
        <v>192</v>
      </c>
      <c r="K121" s="82" t="s">
        <v>360</v>
      </c>
      <c r="L121" s="83">
        <v>2400</v>
      </c>
      <c r="M121" s="98" t="s">
        <v>246</v>
      </c>
      <c r="N121" s="82"/>
    </row>
    <row r="122" spans="1:15">
      <c r="A122" s="78" t="s">
        <v>329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6"/>
    </row>
    <row r="123" spans="1:15">
      <c r="A123" s="80" t="s">
        <v>51</v>
      </c>
      <c r="B123" s="80" t="s">
        <v>52</v>
      </c>
      <c r="C123" s="80" t="s">
        <v>178</v>
      </c>
      <c r="D123" s="80" t="s">
        <v>357</v>
      </c>
      <c r="E123" s="80" t="s">
        <v>53</v>
      </c>
      <c r="F123" s="80" t="s">
        <v>54</v>
      </c>
      <c r="G123" s="80" t="s">
        <v>179</v>
      </c>
      <c r="H123" s="80" t="s">
        <v>180</v>
      </c>
      <c r="I123" s="80" t="s">
        <v>181</v>
      </c>
      <c r="J123" s="80" t="s">
        <v>182</v>
      </c>
      <c r="K123" s="80" t="s">
        <v>358</v>
      </c>
      <c r="L123" s="81" t="s">
        <v>185</v>
      </c>
      <c r="M123" s="99" t="s">
        <v>187</v>
      </c>
      <c r="N123" s="80" t="s">
        <v>188</v>
      </c>
    </row>
    <row r="124" ht="31" customHeight="1" spans="1:15">
      <c r="A124" s="82" t="s">
        <v>30</v>
      </c>
      <c r="B124" s="82">
        <v>2</v>
      </c>
      <c r="C124" s="82" t="s">
        <v>175</v>
      </c>
      <c r="D124" s="82" t="s">
        <v>113</v>
      </c>
      <c r="E124" s="82" t="s">
        <v>66</v>
      </c>
      <c r="F124" s="82" t="s">
        <v>67</v>
      </c>
      <c r="G124" s="82" t="s">
        <v>258</v>
      </c>
      <c r="H124" s="82" t="s">
        <v>244</v>
      </c>
      <c r="I124" s="82" t="s">
        <v>195</v>
      </c>
      <c r="J124" s="82" t="s">
        <v>192</v>
      </c>
      <c r="K124" s="82" t="s">
        <v>360</v>
      </c>
      <c r="L124" s="83">
        <v>2400</v>
      </c>
      <c r="M124" s="98" t="s">
        <v>246</v>
      </c>
      <c r="N124" s="82"/>
    </row>
    <row r="125" ht="31" customHeight="1" spans="1:15">
      <c r="A125" s="100" t="s">
        <v>30</v>
      </c>
      <c r="B125" s="100">
        <v>3</v>
      </c>
      <c r="C125" s="100" t="s">
        <v>175</v>
      </c>
      <c r="D125" s="100" t="s">
        <v>113</v>
      </c>
      <c r="E125" s="100" t="s">
        <v>114</v>
      </c>
      <c r="F125" s="100" t="s">
        <v>115</v>
      </c>
      <c r="G125" s="100" t="s">
        <v>258</v>
      </c>
      <c r="H125" s="100" t="s">
        <v>259</v>
      </c>
      <c r="I125" s="100" t="s">
        <v>259</v>
      </c>
      <c r="J125" s="100" t="s">
        <v>203</v>
      </c>
      <c r="K125" s="100" t="s">
        <v>391</v>
      </c>
      <c r="L125" s="101">
        <v>36960</v>
      </c>
      <c r="M125" s="102" t="s">
        <v>392</v>
      </c>
      <c r="N125" s="100"/>
      <c r="O125" s="106"/>
    </row>
    <row r="126" ht="31" customHeight="1" spans="1:15">
      <c r="A126" s="82" t="s">
        <v>30</v>
      </c>
      <c r="B126" s="82">
        <v>4</v>
      </c>
      <c r="C126" s="82" t="s">
        <v>175</v>
      </c>
      <c r="D126" s="82" t="s">
        <v>113</v>
      </c>
      <c r="E126" s="82" t="s">
        <v>66</v>
      </c>
      <c r="F126" s="82" t="s">
        <v>67</v>
      </c>
      <c r="G126" s="82" t="s">
        <v>258</v>
      </c>
      <c r="H126" s="82" t="s">
        <v>244</v>
      </c>
      <c r="I126" s="82" t="s">
        <v>208</v>
      </c>
      <c r="J126" s="82" t="s">
        <v>192</v>
      </c>
      <c r="K126" s="82" t="s">
        <v>360</v>
      </c>
      <c r="L126" s="83">
        <v>2400</v>
      </c>
      <c r="M126" s="98" t="s">
        <v>246</v>
      </c>
      <c r="N126" s="82"/>
    </row>
    <row r="127" spans="1:15">
      <c r="A127" s="78" t="s">
        <v>330</v>
      </c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6"/>
    </row>
    <row r="128" spans="1:15">
      <c r="A128" s="80" t="s">
        <v>51</v>
      </c>
      <c r="B128" s="80" t="s">
        <v>52</v>
      </c>
      <c r="C128" s="80" t="s">
        <v>178</v>
      </c>
      <c r="D128" s="80" t="s">
        <v>357</v>
      </c>
      <c r="E128" s="80" t="s">
        <v>53</v>
      </c>
      <c r="F128" s="80" t="s">
        <v>54</v>
      </c>
      <c r="G128" s="80" t="s">
        <v>179</v>
      </c>
      <c r="H128" s="80" t="s">
        <v>180</v>
      </c>
      <c r="I128" s="80" t="s">
        <v>181</v>
      </c>
      <c r="J128" s="80" t="s">
        <v>182</v>
      </c>
      <c r="K128" s="80" t="s">
        <v>358</v>
      </c>
      <c r="L128" s="81" t="s">
        <v>185</v>
      </c>
      <c r="M128" s="99" t="s">
        <v>187</v>
      </c>
      <c r="N128" s="80" t="s">
        <v>188</v>
      </c>
    </row>
    <row r="129" ht="31" customHeight="1" spans="1:14">
      <c r="A129" s="82" t="s">
        <v>31</v>
      </c>
      <c r="B129" s="82">
        <v>2</v>
      </c>
      <c r="C129" s="82" t="s">
        <v>175</v>
      </c>
      <c r="D129" s="82" t="s">
        <v>116</v>
      </c>
      <c r="E129" s="82" t="s">
        <v>66</v>
      </c>
      <c r="F129" s="82" t="s">
        <v>67</v>
      </c>
      <c r="G129" s="82" t="s">
        <v>263</v>
      </c>
      <c r="H129" s="82" t="s">
        <v>244</v>
      </c>
      <c r="I129" s="82" t="s">
        <v>195</v>
      </c>
      <c r="J129" s="82" t="s">
        <v>192</v>
      </c>
      <c r="K129" s="82" t="s">
        <v>360</v>
      </c>
      <c r="L129" s="83">
        <v>2400</v>
      </c>
      <c r="M129" s="98" t="s">
        <v>246</v>
      </c>
      <c r="N129" s="82"/>
    </row>
    <row r="130" ht="31" customHeight="1" spans="1:14">
      <c r="A130" s="82" t="s">
        <v>31</v>
      </c>
      <c r="B130" s="82">
        <v>3</v>
      </c>
      <c r="C130" s="82" t="s">
        <v>175</v>
      </c>
      <c r="D130" s="82" t="s">
        <v>116</v>
      </c>
      <c r="E130" s="82" t="s">
        <v>117</v>
      </c>
      <c r="F130" s="82" t="s">
        <v>118</v>
      </c>
      <c r="G130" s="82" t="s">
        <v>263</v>
      </c>
      <c r="H130" s="82" t="s">
        <v>264</v>
      </c>
      <c r="I130" s="82" t="s">
        <v>264</v>
      </c>
      <c r="J130" s="82" t="s">
        <v>203</v>
      </c>
      <c r="K130" s="82" t="s">
        <v>393</v>
      </c>
      <c r="L130" s="83">
        <v>104400</v>
      </c>
      <c r="M130" s="98" t="s">
        <v>265</v>
      </c>
      <c r="N130" s="82"/>
    </row>
    <row r="131" ht="31" customHeight="1" spans="1:14">
      <c r="A131" s="82" t="s">
        <v>31</v>
      </c>
      <c r="B131" s="82">
        <v>4</v>
      </c>
      <c r="C131" s="82" t="s">
        <v>175</v>
      </c>
      <c r="D131" s="82" t="s">
        <v>116</v>
      </c>
      <c r="E131" s="82" t="s">
        <v>66</v>
      </c>
      <c r="F131" s="82" t="s">
        <v>67</v>
      </c>
      <c r="G131" s="82" t="s">
        <v>263</v>
      </c>
      <c r="H131" s="82" t="s">
        <v>244</v>
      </c>
      <c r="I131" s="82" t="s">
        <v>208</v>
      </c>
      <c r="J131" s="82" t="s">
        <v>192</v>
      </c>
      <c r="K131" s="82" t="s">
        <v>360</v>
      </c>
      <c r="L131" s="83">
        <v>2400</v>
      </c>
      <c r="M131" s="98" t="s">
        <v>246</v>
      </c>
      <c r="N131" s="82"/>
    </row>
    <row r="132" spans="1:14">
      <c r="A132" s="78" t="s">
        <v>415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6"/>
    </row>
    <row r="133" spans="1:14">
      <c r="A133" s="80" t="s">
        <v>51</v>
      </c>
      <c r="B133" s="80" t="s">
        <v>52</v>
      </c>
      <c r="C133" s="80" t="s">
        <v>178</v>
      </c>
      <c r="D133" s="80" t="s">
        <v>357</v>
      </c>
      <c r="E133" s="80" t="s">
        <v>53</v>
      </c>
      <c r="F133" s="80" t="s">
        <v>54</v>
      </c>
      <c r="G133" s="80" t="s">
        <v>179</v>
      </c>
      <c r="H133" s="80" t="s">
        <v>180</v>
      </c>
      <c r="I133" s="80" t="s">
        <v>181</v>
      </c>
      <c r="J133" s="80" t="s">
        <v>182</v>
      </c>
      <c r="K133" s="80" t="s">
        <v>358</v>
      </c>
      <c r="L133" s="81" t="s">
        <v>185</v>
      </c>
      <c r="M133" s="99" t="s">
        <v>187</v>
      </c>
      <c r="N133" s="80" t="s">
        <v>188</v>
      </c>
    </row>
    <row r="134" ht="31" customHeight="1" spans="1:14">
      <c r="A134" s="82" t="s">
        <v>32</v>
      </c>
      <c r="B134" s="82">
        <v>2</v>
      </c>
      <c r="C134" s="82" t="s">
        <v>175</v>
      </c>
      <c r="D134" s="82" t="s">
        <v>394</v>
      </c>
      <c r="E134" s="82" t="s">
        <v>66</v>
      </c>
      <c r="F134" s="82" t="s">
        <v>67</v>
      </c>
      <c r="G134" s="82" t="s">
        <v>268</v>
      </c>
      <c r="H134" s="82" t="s">
        <v>244</v>
      </c>
      <c r="I134" s="82" t="s">
        <v>195</v>
      </c>
      <c r="J134" s="82" t="s">
        <v>192</v>
      </c>
      <c r="K134" s="82" t="s">
        <v>360</v>
      </c>
      <c r="L134" s="83">
        <v>2400</v>
      </c>
      <c r="M134" s="98" t="s">
        <v>246</v>
      </c>
      <c r="N134" s="82"/>
    </row>
    <row r="135" ht="31" customHeight="1" spans="1:14">
      <c r="A135" s="82" t="s">
        <v>32</v>
      </c>
      <c r="B135" s="82">
        <v>3</v>
      </c>
      <c r="C135" s="82" t="s">
        <v>175</v>
      </c>
      <c r="D135" s="82" t="s">
        <v>394</v>
      </c>
      <c r="E135" s="82" t="s">
        <v>120</v>
      </c>
      <c r="F135" s="82" t="s">
        <v>121</v>
      </c>
      <c r="G135" s="82" t="s">
        <v>268</v>
      </c>
      <c r="H135" s="82" t="s">
        <v>271</v>
      </c>
      <c r="I135" s="82" t="s">
        <v>271</v>
      </c>
      <c r="J135" s="82" t="s">
        <v>203</v>
      </c>
      <c r="K135" s="82" t="s">
        <v>395</v>
      </c>
      <c r="L135" s="83">
        <v>40680</v>
      </c>
      <c r="M135" s="98" t="s">
        <v>396</v>
      </c>
      <c r="N135" s="82"/>
    </row>
    <row r="136" ht="31" customHeight="1" spans="1:14">
      <c r="A136" s="82" t="s">
        <v>32</v>
      </c>
      <c r="B136" s="82">
        <v>4</v>
      </c>
      <c r="C136" s="82" t="s">
        <v>175</v>
      </c>
      <c r="D136" s="82" t="s">
        <v>394</v>
      </c>
      <c r="E136" s="82" t="s">
        <v>66</v>
      </c>
      <c r="F136" s="82" t="s">
        <v>67</v>
      </c>
      <c r="G136" s="82" t="s">
        <v>268</v>
      </c>
      <c r="H136" s="82" t="s">
        <v>244</v>
      </c>
      <c r="I136" s="82" t="s">
        <v>208</v>
      </c>
      <c r="J136" s="82" t="s">
        <v>192</v>
      </c>
      <c r="K136" s="82" t="s">
        <v>360</v>
      </c>
      <c r="L136" s="83">
        <v>2400</v>
      </c>
      <c r="M136" s="98" t="s">
        <v>246</v>
      </c>
      <c r="N136" s="82"/>
    </row>
    <row r="137" ht="46" customHeight="1" spans="1:14">
      <c r="A137" s="82" t="s">
        <v>32</v>
      </c>
      <c r="B137" s="82">
        <v>6</v>
      </c>
      <c r="C137" s="82" t="s">
        <v>175</v>
      </c>
      <c r="D137" s="82" t="s">
        <v>394</v>
      </c>
      <c r="E137" s="82" t="s">
        <v>123</v>
      </c>
      <c r="F137" s="82" t="s">
        <v>123</v>
      </c>
      <c r="G137" s="82" t="s">
        <v>268</v>
      </c>
      <c r="H137" s="82" t="s">
        <v>274</v>
      </c>
      <c r="I137" s="82" t="s">
        <v>275</v>
      </c>
      <c r="J137" s="82" t="s">
        <v>192</v>
      </c>
      <c r="K137" s="82" t="s">
        <v>397</v>
      </c>
      <c r="L137" s="83">
        <v>21450</v>
      </c>
      <c r="M137" s="98" t="s">
        <v>276</v>
      </c>
      <c r="N137" s="82" t="s">
        <v>277</v>
      </c>
    </row>
    <row r="138" spans="1:14">
      <c r="A138" s="78" t="s">
        <v>416</v>
      </c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6"/>
    </row>
    <row r="139" spans="1:14">
      <c r="A139" s="80" t="s">
        <v>51</v>
      </c>
      <c r="B139" s="80" t="s">
        <v>52</v>
      </c>
      <c r="C139" s="80" t="s">
        <v>178</v>
      </c>
      <c r="D139" s="80" t="s">
        <v>357</v>
      </c>
      <c r="E139" s="80" t="s">
        <v>53</v>
      </c>
      <c r="F139" s="80" t="s">
        <v>54</v>
      </c>
      <c r="G139" s="80" t="s">
        <v>179</v>
      </c>
      <c r="H139" s="80" t="s">
        <v>180</v>
      </c>
      <c r="I139" s="80" t="s">
        <v>181</v>
      </c>
      <c r="J139" s="80" t="s">
        <v>182</v>
      </c>
      <c r="K139" s="80" t="s">
        <v>358</v>
      </c>
      <c r="L139" s="81" t="s">
        <v>185</v>
      </c>
      <c r="M139" s="99" t="s">
        <v>187</v>
      </c>
      <c r="N139" s="80" t="s">
        <v>188</v>
      </c>
    </row>
    <row r="140" ht="31" customHeight="1" spans="1:14">
      <c r="A140" s="82" t="s">
        <v>34</v>
      </c>
      <c r="B140" s="82">
        <v>2</v>
      </c>
      <c r="C140" s="82" t="s">
        <v>175</v>
      </c>
      <c r="D140" s="82" t="s">
        <v>399</v>
      </c>
      <c r="E140" s="82" t="s">
        <v>66</v>
      </c>
      <c r="F140" s="82" t="s">
        <v>67</v>
      </c>
      <c r="G140" s="82" t="s">
        <v>280</v>
      </c>
      <c r="H140" s="82" t="s">
        <v>244</v>
      </c>
      <c r="I140" s="82" t="s">
        <v>195</v>
      </c>
      <c r="J140" s="82" t="s">
        <v>192</v>
      </c>
      <c r="K140" s="82" t="s">
        <v>360</v>
      </c>
      <c r="L140" s="83">
        <v>2400</v>
      </c>
      <c r="M140" s="98" t="s">
        <v>246</v>
      </c>
      <c r="N140" s="82"/>
    </row>
    <row r="141" ht="31" customHeight="1" spans="1:14">
      <c r="A141" s="82" t="s">
        <v>34</v>
      </c>
      <c r="B141" s="82">
        <v>3</v>
      </c>
      <c r="C141" s="82" t="s">
        <v>175</v>
      </c>
      <c r="D141" s="82" t="s">
        <v>399</v>
      </c>
      <c r="E141" s="82" t="s">
        <v>125</v>
      </c>
      <c r="F141" s="82" t="s">
        <v>126</v>
      </c>
      <c r="G141" s="82" t="s">
        <v>280</v>
      </c>
      <c r="H141" s="82" t="s">
        <v>207</v>
      </c>
      <c r="I141" s="82" t="s">
        <v>208</v>
      </c>
      <c r="J141" s="82" t="s">
        <v>199</v>
      </c>
      <c r="K141" s="82" t="s">
        <v>400</v>
      </c>
      <c r="L141" s="83">
        <v>4100</v>
      </c>
      <c r="M141" s="98" t="s">
        <v>401</v>
      </c>
      <c r="N141" s="82"/>
    </row>
    <row r="142" ht="31" customHeight="1" spans="1:14">
      <c r="A142" s="82" t="s">
        <v>34</v>
      </c>
      <c r="B142" s="82">
        <v>4</v>
      </c>
      <c r="C142" s="82" t="s">
        <v>175</v>
      </c>
      <c r="D142" s="82" t="s">
        <v>399</v>
      </c>
      <c r="E142" s="82" t="s">
        <v>66</v>
      </c>
      <c r="F142" s="82" t="s">
        <v>67</v>
      </c>
      <c r="G142" s="82" t="s">
        <v>280</v>
      </c>
      <c r="H142" s="82" t="s">
        <v>244</v>
      </c>
      <c r="I142" s="82" t="s">
        <v>208</v>
      </c>
      <c r="J142" s="82" t="s">
        <v>192</v>
      </c>
      <c r="K142" s="82" t="s">
        <v>360</v>
      </c>
      <c r="L142" s="83">
        <v>2400</v>
      </c>
      <c r="M142" s="98" t="s">
        <v>246</v>
      </c>
      <c r="N142" s="82"/>
    </row>
    <row r="143" spans="1:14">
      <c r="A143" s="78" t="s">
        <v>335</v>
      </c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6"/>
    </row>
    <row r="144" spans="1:14">
      <c r="A144" s="80" t="s">
        <v>51</v>
      </c>
      <c r="B144" s="80" t="s">
        <v>52</v>
      </c>
      <c r="C144" s="80" t="s">
        <v>178</v>
      </c>
      <c r="D144" s="80" t="s">
        <v>357</v>
      </c>
      <c r="E144" s="80" t="s">
        <v>53</v>
      </c>
      <c r="F144" s="80" t="s">
        <v>54</v>
      </c>
      <c r="G144" s="80" t="s">
        <v>179</v>
      </c>
      <c r="H144" s="80" t="s">
        <v>180</v>
      </c>
      <c r="I144" s="80" t="s">
        <v>181</v>
      </c>
      <c r="J144" s="80" t="s">
        <v>182</v>
      </c>
      <c r="K144" s="80" t="s">
        <v>358</v>
      </c>
      <c r="L144" s="81" t="s">
        <v>185</v>
      </c>
      <c r="M144" s="99" t="s">
        <v>187</v>
      </c>
      <c r="N144" s="80" t="s">
        <v>188</v>
      </c>
    </row>
    <row r="145" ht="31" customHeight="1" spans="1:14">
      <c r="A145" s="82" t="s">
        <v>36</v>
      </c>
      <c r="B145" s="82">
        <v>2</v>
      </c>
      <c r="C145" s="82" t="s">
        <v>175</v>
      </c>
      <c r="D145" s="82" t="s">
        <v>127</v>
      </c>
      <c r="E145" s="82" t="s">
        <v>66</v>
      </c>
      <c r="F145" s="82" t="s">
        <v>67</v>
      </c>
      <c r="G145" s="82" t="s">
        <v>283</v>
      </c>
      <c r="H145" s="82" t="s">
        <v>244</v>
      </c>
      <c r="I145" s="82" t="s">
        <v>195</v>
      </c>
      <c r="J145" s="82" t="s">
        <v>192</v>
      </c>
      <c r="K145" s="82" t="s">
        <v>360</v>
      </c>
      <c r="L145" s="83">
        <v>2400</v>
      </c>
      <c r="M145" s="98" t="s">
        <v>246</v>
      </c>
      <c r="N145" s="82"/>
    </row>
    <row r="146" ht="31" customHeight="1" spans="1:14">
      <c r="A146" s="82" t="s">
        <v>36</v>
      </c>
      <c r="B146" s="82">
        <v>3</v>
      </c>
      <c r="C146" s="82" t="s">
        <v>175</v>
      </c>
      <c r="D146" s="82" t="s">
        <v>127</v>
      </c>
      <c r="E146" s="82" t="s">
        <v>128</v>
      </c>
      <c r="F146" s="82" t="s">
        <v>129</v>
      </c>
      <c r="G146" s="82" t="s">
        <v>283</v>
      </c>
      <c r="H146" s="82" t="s">
        <v>284</v>
      </c>
      <c r="I146" s="82" t="s">
        <v>284</v>
      </c>
      <c r="J146" s="82" t="s">
        <v>203</v>
      </c>
      <c r="K146" s="82" t="s">
        <v>402</v>
      </c>
      <c r="L146" s="83">
        <v>23000</v>
      </c>
      <c r="M146" s="98" t="s">
        <v>403</v>
      </c>
      <c r="N146" s="82"/>
    </row>
    <row r="147" ht="31" customHeight="1" spans="1:14">
      <c r="A147" s="82" t="s">
        <v>36</v>
      </c>
      <c r="B147" s="82">
        <v>4</v>
      </c>
      <c r="C147" s="82" t="s">
        <v>175</v>
      </c>
      <c r="D147" s="82" t="s">
        <v>127</v>
      </c>
      <c r="E147" s="82" t="s">
        <v>66</v>
      </c>
      <c r="F147" s="82" t="s">
        <v>67</v>
      </c>
      <c r="G147" s="82" t="s">
        <v>283</v>
      </c>
      <c r="H147" s="82" t="s">
        <v>244</v>
      </c>
      <c r="I147" s="82" t="s">
        <v>208</v>
      </c>
      <c r="J147" s="82" t="s">
        <v>192</v>
      </c>
      <c r="K147" s="82" t="s">
        <v>360</v>
      </c>
      <c r="L147" s="83">
        <v>2400</v>
      </c>
      <c r="M147" s="98" t="s">
        <v>246</v>
      </c>
      <c r="N147" s="82"/>
    </row>
    <row r="148" spans="1:14">
      <c r="A148" s="78" t="s">
        <v>336</v>
      </c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6"/>
    </row>
    <row r="149" spans="1:14">
      <c r="A149" s="80" t="s">
        <v>51</v>
      </c>
      <c r="B149" s="80" t="s">
        <v>52</v>
      </c>
      <c r="C149" s="80" t="s">
        <v>178</v>
      </c>
      <c r="D149" s="80" t="s">
        <v>357</v>
      </c>
      <c r="E149" s="80" t="s">
        <v>53</v>
      </c>
      <c r="F149" s="80" t="s">
        <v>54</v>
      </c>
      <c r="G149" s="80" t="s">
        <v>179</v>
      </c>
      <c r="H149" s="80" t="s">
        <v>180</v>
      </c>
      <c r="I149" s="80" t="s">
        <v>181</v>
      </c>
      <c r="J149" s="80" t="s">
        <v>182</v>
      </c>
      <c r="K149" s="80" t="s">
        <v>358</v>
      </c>
      <c r="L149" s="81" t="s">
        <v>185</v>
      </c>
      <c r="M149" s="99" t="s">
        <v>187</v>
      </c>
      <c r="N149" s="80" t="s">
        <v>188</v>
      </c>
    </row>
    <row r="150" ht="31" customHeight="1" spans="1:14">
      <c r="A150" s="82" t="s">
        <v>37</v>
      </c>
      <c r="B150" s="82">
        <v>2</v>
      </c>
      <c r="C150" s="82" t="s">
        <v>175</v>
      </c>
      <c r="D150" s="82" t="s">
        <v>130</v>
      </c>
      <c r="E150" s="82" t="s">
        <v>66</v>
      </c>
      <c r="F150" s="82" t="s">
        <v>67</v>
      </c>
      <c r="G150" s="82" t="s">
        <v>288</v>
      </c>
      <c r="H150" s="82" t="s">
        <v>244</v>
      </c>
      <c r="I150" s="82" t="s">
        <v>195</v>
      </c>
      <c r="J150" s="82" t="s">
        <v>192</v>
      </c>
      <c r="K150" s="82" t="s">
        <v>360</v>
      </c>
      <c r="L150" s="83">
        <v>2400</v>
      </c>
      <c r="M150" s="98" t="s">
        <v>246</v>
      </c>
      <c r="N150" s="82"/>
    </row>
    <row r="151" ht="31" customHeight="1" spans="1:14">
      <c r="A151" s="82" t="s">
        <v>37</v>
      </c>
      <c r="B151" s="82">
        <v>3</v>
      </c>
      <c r="C151" s="82" t="s">
        <v>175</v>
      </c>
      <c r="D151" s="82" t="s">
        <v>130</v>
      </c>
      <c r="E151" s="82" t="s">
        <v>131</v>
      </c>
      <c r="F151" s="82" t="s">
        <v>132</v>
      </c>
      <c r="G151" s="82" t="s">
        <v>288</v>
      </c>
      <c r="H151" s="82" t="s">
        <v>284</v>
      </c>
      <c r="I151" s="82" t="s">
        <v>284</v>
      </c>
      <c r="J151" s="82" t="s">
        <v>203</v>
      </c>
      <c r="K151" s="82" t="s">
        <v>402</v>
      </c>
      <c r="L151" s="83">
        <v>23000</v>
      </c>
      <c r="M151" s="98" t="s">
        <v>403</v>
      </c>
      <c r="N151" s="82"/>
    </row>
    <row r="152" ht="31" customHeight="1" spans="1:14">
      <c r="A152" s="82" t="s">
        <v>37</v>
      </c>
      <c r="B152" s="82">
        <v>4</v>
      </c>
      <c r="C152" s="82" t="s">
        <v>175</v>
      </c>
      <c r="D152" s="82" t="s">
        <v>130</v>
      </c>
      <c r="E152" s="82" t="s">
        <v>66</v>
      </c>
      <c r="F152" s="82" t="s">
        <v>67</v>
      </c>
      <c r="G152" s="82" t="s">
        <v>288</v>
      </c>
      <c r="H152" s="82" t="s">
        <v>244</v>
      </c>
      <c r="I152" s="82" t="s">
        <v>208</v>
      </c>
      <c r="J152" s="82" t="s">
        <v>192</v>
      </c>
      <c r="K152" s="82" t="s">
        <v>360</v>
      </c>
      <c r="L152" s="83">
        <v>2400</v>
      </c>
      <c r="M152" s="98" t="s">
        <v>246</v>
      </c>
      <c r="N152" s="82"/>
    </row>
    <row r="153" spans="1:14">
      <c r="A153" s="78" t="s">
        <v>337</v>
      </c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6"/>
    </row>
    <row r="154" spans="1:14">
      <c r="A154" s="80" t="s">
        <v>51</v>
      </c>
      <c r="B154" s="80" t="s">
        <v>52</v>
      </c>
      <c r="C154" s="80" t="s">
        <v>178</v>
      </c>
      <c r="D154" s="80" t="s">
        <v>357</v>
      </c>
      <c r="E154" s="80" t="s">
        <v>53</v>
      </c>
      <c r="F154" s="80" t="s">
        <v>54</v>
      </c>
      <c r="G154" s="80" t="s">
        <v>179</v>
      </c>
      <c r="H154" s="80" t="s">
        <v>180</v>
      </c>
      <c r="I154" s="80" t="s">
        <v>181</v>
      </c>
      <c r="J154" s="80" t="s">
        <v>182</v>
      </c>
      <c r="K154" s="80" t="s">
        <v>358</v>
      </c>
      <c r="L154" s="81" t="s">
        <v>185</v>
      </c>
      <c r="M154" s="99" t="s">
        <v>187</v>
      </c>
      <c r="N154" s="80" t="s">
        <v>188</v>
      </c>
    </row>
    <row r="155" ht="31" customHeight="1" spans="1:14">
      <c r="A155" s="82" t="s">
        <v>38</v>
      </c>
      <c r="B155" s="82">
        <v>2</v>
      </c>
      <c r="C155" s="82" t="s">
        <v>175</v>
      </c>
      <c r="D155" s="82" t="s">
        <v>133</v>
      </c>
      <c r="E155" s="82" t="s">
        <v>66</v>
      </c>
      <c r="F155" s="82" t="s">
        <v>67</v>
      </c>
      <c r="G155" s="82" t="s">
        <v>291</v>
      </c>
      <c r="H155" s="82" t="s">
        <v>244</v>
      </c>
      <c r="I155" s="82" t="s">
        <v>195</v>
      </c>
      <c r="J155" s="82" t="s">
        <v>192</v>
      </c>
      <c r="K155" s="82" t="s">
        <v>360</v>
      </c>
      <c r="L155" s="83">
        <v>2400</v>
      </c>
      <c r="M155" s="98" t="s">
        <v>246</v>
      </c>
      <c r="N155" s="82"/>
    </row>
    <row r="156" ht="31" customHeight="1" spans="1:14">
      <c r="A156" s="82" t="s">
        <v>38</v>
      </c>
      <c r="B156" s="82">
        <v>3</v>
      </c>
      <c r="C156" s="82" t="s">
        <v>175</v>
      </c>
      <c r="D156" s="82" t="s">
        <v>133</v>
      </c>
      <c r="E156" s="82" t="s">
        <v>131</v>
      </c>
      <c r="F156" s="82" t="s">
        <v>134</v>
      </c>
      <c r="G156" s="82" t="s">
        <v>291</v>
      </c>
      <c r="H156" s="82" t="s">
        <v>292</v>
      </c>
      <c r="I156" s="82" t="s">
        <v>292</v>
      </c>
      <c r="J156" s="82" t="s">
        <v>203</v>
      </c>
      <c r="K156" s="82" t="s">
        <v>402</v>
      </c>
      <c r="L156" s="83">
        <v>25300</v>
      </c>
      <c r="M156" s="98" t="s">
        <v>404</v>
      </c>
      <c r="N156" s="82"/>
    </row>
    <row r="157" ht="31" customHeight="1" spans="1:14">
      <c r="A157" s="82" t="s">
        <v>38</v>
      </c>
      <c r="B157" s="82">
        <v>4</v>
      </c>
      <c r="C157" s="82" t="s">
        <v>175</v>
      </c>
      <c r="D157" s="82" t="s">
        <v>133</v>
      </c>
      <c r="E157" s="82" t="s">
        <v>66</v>
      </c>
      <c r="F157" s="82" t="s">
        <v>67</v>
      </c>
      <c r="G157" s="82" t="s">
        <v>291</v>
      </c>
      <c r="H157" s="82" t="s">
        <v>244</v>
      </c>
      <c r="I157" s="82" t="s">
        <v>208</v>
      </c>
      <c r="J157" s="82" t="s">
        <v>192</v>
      </c>
      <c r="K157" s="82" t="s">
        <v>360</v>
      </c>
      <c r="L157" s="83">
        <v>2400</v>
      </c>
      <c r="M157" s="98" t="s">
        <v>246</v>
      </c>
      <c r="N157" s="82"/>
    </row>
    <row r="158" spans="1:14">
      <c r="A158" s="78" t="s">
        <v>338</v>
      </c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6"/>
    </row>
    <row r="159" spans="1:14">
      <c r="A159" s="80" t="s">
        <v>51</v>
      </c>
      <c r="B159" s="80" t="s">
        <v>52</v>
      </c>
      <c r="C159" s="80" t="s">
        <v>178</v>
      </c>
      <c r="D159" s="80" t="s">
        <v>357</v>
      </c>
      <c r="E159" s="80" t="s">
        <v>53</v>
      </c>
      <c r="F159" s="80" t="s">
        <v>54</v>
      </c>
      <c r="G159" s="80" t="s">
        <v>179</v>
      </c>
      <c r="H159" s="80" t="s">
        <v>180</v>
      </c>
      <c r="I159" s="80" t="s">
        <v>181</v>
      </c>
      <c r="J159" s="80" t="s">
        <v>182</v>
      </c>
      <c r="K159" s="80" t="s">
        <v>358</v>
      </c>
      <c r="L159" s="81" t="s">
        <v>185</v>
      </c>
      <c r="M159" s="99" t="s">
        <v>187</v>
      </c>
      <c r="N159" s="80" t="s">
        <v>188</v>
      </c>
    </row>
    <row r="160" ht="31" customHeight="1" spans="1:14">
      <c r="A160" s="82" t="s">
        <v>40</v>
      </c>
      <c r="B160" s="82">
        <v>2</v>
      </c>
      <c r="C160" s="82" t="s">
        <v>175</v>
      </c>
      <c r="D160" s="82" t="s">
        <v>136</v>
      </c>
      <c r="E160" s="82" t="s">
        <v>66</v>
      </c>
      <c r="F160" s="82" t="s">
        <v>67</v>
      </c>
      <c r="G160" s="82" t="s">
        <v>339</v>
      </c>
      <c r="H160" s="82" t="s">
        <v>340</v>
      </c>
      <c r="I160" s="82" t="s">
        <v>195</v>
      </c>
      <c r="J160" s="82" t="s">
        <v>192</v>
      </c>
      <c r="K160" s="82" t="s">
        <v>360</v>
      </c>
      <c r="L160" s="83">
        <v>6000</v>
      </c>
      <c r="M160" s="98" t="s">
        <v>343</v>
      </c>
      <c r="N160" s="82"/>
    </row>
    <row r="161" spans="1:14">
      <c r="A161" s="100" t="s">
        <v>40</v>
      </c>
      <c r="B161" s="100">
        <v>3</v>
      </c>
      <c r="C161" s="100" t="s">
        <v>175</v>
      </c>
      <c r="D161" s="100" t="s">
        <v>136</v>
      </c>
      <c r="E161" s="100" t="s">
        <v>139</v>
      </c>
      <c r="F161" s="100" t="s">
        <v>140</v>
      </c>
      <c r="G161" s="100" t="s">
        <v>339</v>
      </c>
      <c r="H161" s="100" t="s">
        <v>344</v>
      </c>
      <c r="I161" s="100" t="s">
        <v>344</v>
      </c>
      <c r="J161" s="100" t="s">
        <v>203</v>
      </c>
      <c r="K161" s="100" t="s">
        <v>417</v>
      </c>
      <c r="L161" s="101">
        <v>6400</v>
      </c>
      <c r="M161" s="102" t="s">
        <v>345</v>
      </c>
      <c r="N161" s="82"/>
    </row>
    <row r="162" spans="1:14">
      <c r="A162" s="100" t="s">
        <v>40</v>
      </c>
      <c r="B162" s="100">
        <v>4</v>
      </c>
      <c r="C162" s="100" t="s">
        <v>175</v>
      </c>
      <c r="D162" s="100" t="s">
        <v>136</v>
      </c>
      <c r="E162" s="100" t="s">
        <v>139</v>
      </c>
      <c r="F162" s="100" t="s">
        <v>141</v>
      </c>
      <c r="G162" s="100" t="s">
        <v>339</v>
      </c>
      <c r="H162" s="100" t="s">
        <v>344</v>
      </c>
      <c r="I162" s="100" t="s">
        <v>344</v>
      </c>
      <c r="J162" s="100" t="s">
        <v>203</v>
      </c>
      <c r="K162" s="100" t="s">
        <v>417</v>
      </c>
      <c r="L162" s="101">
        <v>6400</v>
      </c>
      <c r="M162" s="102" t="s">
        <v>345</v>
      </c>
      <c r="N162" s="82"/>
    </row>
    <row r="163" spans="1:14">
      <c r="A163" s="100" t="s">
        <v>40</v>
      </c>
      <c r="B163" s="100">
        <v>5</v>
      </c>
      <c r="C163" s="100" t="s">
        <v>175</v>
      </c>
      <c r="D163" s="100" t="s">
        <v>136</v>
      </c>
      <c r="E163" s="100" t="s">
        <v>139</v>
      </c>
      <c r="F163" s="100" t="s">
        <v>142</v>
      </c>
      <c r="G163" s="100" t="s">
        <v>339</v>
      </c>
      <c r="H163" s="100" t="s">
        <v>344</v>
      </c>
      <c r="I163" s="100" t="s">
        <v>344</v>
      </c>
      <c r="J163" s="100" t="s">
        <v>203</v>
      </c>
      <c r="K163" s="100" t="s">
        <v>417</v>
      </c>
      <c r="L163" s="101">
        <v>6400</v>
      </c>
      <c r="M163" s="102" t="s">
        <v>345</v>
      </c>
      <c r="N163" s="82"/>
    </row>
    <row r="164" spans="1:14">
      <c r="A164" s="100" t="s">
        <v>40</v>
      </c>
      <c r="B164" s="100">
        <v>6</v>
      </c>
      <c r="C164" s="100" t="s">
        <v>175</v>
      </c>
      <c r="D164" s="100" t="s">
        <v>136</v>
      </c>
      <c r="E164" s="100" t="s">
        <v>139</v>
      </c>
      <c r="F164" s="100" t="s">
        <v>143</v>
      </c>
      <c r="G164" s="100" t="s">
        <v>339</v>
      </c>
      <c r="H164" s="100" t="s">
        <v>344</v>
      </c>
      <c r="I164" s="100" t="s">
        <v>344</v>
      </c>
      <c r="J164" s="100" t="s">
        <v>203</v>
      </c>
      <c r="K164" s="100" t="s">
        <v>417</v>
      </c>
      <c r="L164" s="101">
        <v>6400</v>
      </c>
      <c r="M164" s="102" t="s">
        <v>345</v>
      </c>
      <c r="N164" s="82"/>
    </row>
    <row r="165" spans="1:14">
      <c r="A165" s="100" t="s">
        <v>40</v>
      </c>
      <c r="B165" s="100">
        <v>7</v>
      </c>
      <c r="C165" s="100" t="s">
        <v>175</v>
      </c>
      <c r="D165" s="100" t="s">
        <v>136</v>
      </c>
      <c r="E165" s="100" t="s">
        <v>139</v>
      </c>
      <c r="F165" s="100" t="s">
        <v>144</v>
      </c>
      <c r="G165" s="100" t="s">
        <v>339</v>
      </c>
      <c r="H165" s="100" t="s">
        <v>344</v>
      </c>
      <c r="I165" s="100" t="s">
        <v>344</v>
      </c>
      <c r="J165" s="100" t="s">
        <v>203</v>
      </c>
      <c r="K165" s="100" t="s">
        <v>417</v>
      </c>
      <c r="L165" s="101">
        <v>6400</v>
      </c>
      <c r="M165" s="102" t="s">
        <v>345</v>
      </c>
      <c r="N165" s="82"/>
    </row>
    <row r="166" ht="31" customHeight="1" spans="1:14">
      <c r="A166" s="82" t="s">
        <v>40</v>
      </c>
      <c r="B166" s="82">
        <v>8</v>
      </c>
      <c r="C166" s="82" t="s">
        <v>175</v>
      </c>
      <c r="D166" s="82" t="s">
        <v>136</v>
      </c>
      <c r="E166" s="82" t="s">
        <v>66</v>
      </c>
      <c r="F166" s="82" t="s">
        <v>67</v>
      </c>
      <c r="G166" s="82" t="s">
        <v>339</v>
      </c>
      <c r="H166" s="82" t="s">
        <v>346</v>
      </c>
      <c r="I166" s="82" t="s">
        <v>195</v>
      </c>
      <c r="J166" s="82" t="s">
        <v>192</v>
      </c>
      <c r="K166" s="82" t="s">
        <v>360</v>
      </c>
      <c r="L166" s="83">
        <v>3600</v>
      </c>
      <c r="M166" s="98" t="s">
        <v>347</v>
      </c>
      <c r="N166" s="82"/>
    </row>
    <row r="167" spans="1:14">
      <c r="A167" s="78" t="s">
        <v>135</v>
      </c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6"/>
    </row>
    <row r="168" spans="1:14">
      <c r="A168" s="80" t="s">
        <v>51</v>
      </c>
      <c r="B168" s="80" t="s">
        <v>52</v>
      </c>
      <c r="C168" s="80" t="s">
        <v>178</v>
      </c>
      <c r="D168" s="80" t="s">
        <v>357</v>
      </c>
      <c r="E168" s="80" t="s">
        <v>53</v>
      </c>
      <c r="F168" s="80" t="s">
        <v>54</v>
      </c>
      <c r="G168" s="80" t="s">
        <v>179</v>
      </c>
      <c r="H168" s="80" t="s">
        <v>180</v>
      </c>
      <c r="I168" s="80" t="s">
        <v>181</v>
      </c>
      <c r="J168" s="80" t="s">
        <v>182</v>
      </c>
      <c r="K168" s="80" t="s">
        <v>358</v>
      </c>
      <c r="L168" s="81" t="s">
        <v>185</v>
      </c>
      <c r="M168" s="99" t="s">
        <v>187</v>
      </c>
      <c r="N168" s="80" t="s">
        <v>188</v>
      </c>
    </row>
    <row r="169" ht="31" customHeight="1" spans="1:14">
      <c r="A169" s="82" t="s">
        <v>39</v>
      </c>
      <c r="B169" s="82">
        <v>2</v>
      </c>
      <c r="C169" s="82" t="s">
        <v>175</v>
      </c>
      <c r="D169" s="82" t="s">
        <v>405</v>
      </c>
      <c r="E169" s="82" t="s">
        <v>66</v>
      </c>
      <c r="F169" s="82" t="s">
        <v>67</v>
      </c>
      <c r="G169" s="82" t="s">
        <v>350</v>
      </c>
      <c r="H169" s="82" t="s">
        <v>244</v>
      </c>
      <c r="I169" s="82" t="s">
        <v>195</v>
      </c>
      <c r="J169" s="82" t="s">
        <v>192</v>
      </c>
      <c r="K169" s="82" t="s">
        <v>360</v>
      </c>
      <c r="L169" s="83">
        <v>2400</v>
      </c>
      <c r="M169" s="98" t="s">
        <v>246</v>
      </c>
      <c r="N169" s="82"/>
    </row>
    <row r="170" spans="1:14">
      <c r="A170" s="82" t="s">
        <v>39</v>
      </c>
      <c r="B170" s="82">
        <v>3</v>
      </c>
      <c r="C170" s="82" t="s">
        <v>175</v>
      </c>
      <c r="D170" s="82" t="s">
        <v>405</v>
      </c>
      <c r="E170" s="82" t="s">
        <v>137</v>
      </c>
      <c r="F170" s="82" t="s">
        <v>297</v>
      </c>
      <c r="G170" s="82" t="s">
        <v>350</v>
      </c>
      <c r="H170" s="82" t="s">
        <v>198</v>
      </c>
      <c r="I170" s="82" t="s">
        <v>198</v>
      </c>
      <c r="J170" s="82" t="s">
        <v>203</v>
      </c>
      <c r="K170" s="82" t="s">
        <v>406</v>
      </c>
      <c r="L170" s="83">
        <v>6600</v>
      </c>
      <c r="M170" s="98" t="s">
        <v>298</v>
      </c>
      <c r="N170" s="82"/>
    </row>
    <row r="171" ht="31" customHeight="1" spans="1:14">
      <c r="A171" s="82" t="s">
        <v>39</v>
      </c>
      <c r="B171" s="82">
        <v>4</v>
      </c>
      <c r="C171" s="82" t="s">
        <v>175</v>
      </c>
      <c r="D171" s="82" t="s">
        <v>405</v>
      </c>
      <c r="E171" s="82" t="s">
        <v>66</v>
      </c>
      <c r="F171" s="82" t="s">
        <v>67</v>
      </c>
      <c r="G171" s="82" t="s">
        <v>350</v>
      </c>
      <c r="H171" s="82" t="s">
        <v>244</v>
      </c>
      <c r="I171" s="82" t="s">
        <v>208</v>
      </c>
      <c r="J171" s="82" t="s">
        <v>192</v>
      </c>
      <c r="K171" s="82" t="s">
        <v>360</v>
      </c>
      <c r="L171" s="83">
        <v>2400</v>
      </c>
      <c r="M171" s="98" t="s">
        <v>246</v>
      </c>
      <c r="N171" s="82"/>
    </row>
    <row r="172" spans="1:14">
      <c r="A172" s="78" t="s">
        <v>352</v>
      </c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6"/>
    </row>
    <row r="173" spans="1:14">
      <c r="A173" s="80" t="s">
        <v>51</v>
      </c>
      <c r="B173" s="80" t="s">
        <v>52</v>
      </c>
      <c r="C173" s="80" t="s">
        <v>178</v>
      </c>
      <c r="D173" s="80" t="s">
        <v>357</v>
      </c>
      <c r="E173" s="80" t="s">
        <v>53</v>
      </c>
      <c r="F173" s="80" t="s">
        <v>54</v>
      </c>
      <c r="G173" s="80" t="s">
        <v>179</v>
      </c>
      <c r="H173" s="80" t="s">
        <v>180</v>
      </c>
      <c r="I173" s="80" t="s">
        <v>181</v>
      </c>
      <c r="J173" s="80" t="s">
        <v>182</v>
      </c>
      <c r="K173" s="80" t="s">
        <v>358</v>
      </c>
      <c r="L173" s="81" t="s">
        <v>185</v>
      </c>
      <c r="M173" s="99" t="s">
        <v>187</v>
      </c>
      <c r="N173" s="80" t="s">
        <v>188</v>
      </c>
    </row>
    <row r="174" ht="31" customHeight="1" spans="1:14">
      <c r="A174" s="82" t="s">
        <v>407</v>
      </c>
      <c r="B174" s="89">
        <v>1</v>
      </c>
      <c r="C174" s="82" t="s">
        <v>175</v>
      </c>
      <c r="D174" s="82" t="s">
        <v>408</v>
      </c>
      <c r="E174" s="82" t="s">
        <v>221</v>
      </c>
      <c r="F174" s="82" t="s">
        <v>221</v>
      </c>
      <c r="G174" s="82"/>
      <c r="H174" s="82" t="s">
        <v>315</v>
      </c>
      <c r="I174" s="82"/>
      <c r="J174" s="82" t="s">
        <v>316</v>
      </c>
      <c r="K174" s="82" t="s">
        <v>409</v>
      </c>
      <c r="L174" s="83">
        <v>12000</v>
      </c>
      <c r="M174" s="98" t="s">
        <v>318</v>
      </c>
      <c r="N174" s="82" t="s">
        <v>319</v>
      </c>
    </row>
    <row r="175" ht="31" customHeight="1" spans="1:14">
      <c r="A175" s="82" t="s">
        <v>407</v>
      </c>
      <c r="B175" s="89">
        <v>2</v>
      </c>
      <c r="C175" s="82" t="s">
        <v>175</v>
      </c>
      <c r="D175" s="82" t="s">
        <v>408</v>
      </c>
      <c r="E175" s="82" t="s">
        <v>224</v>
      </c>
      <c r="F175" s="82" t="s">
        <v>224</v>
      </c>
      <c r="G175" s="82"/>
      <c r="H175" s="82" t="s">
        <v>353</v>
      </c>
      <c r="I175" s="82"/>
      <c r="J175" s="82" t="s">
        <v>321</v>
      </c>
      <c r="K175" s="82" t="s">
        <v>410</v>
      </c>
      <c r="L175" s="83">
        <v>0</v>
      </c>
      <c r="M175" s="98" t="s">
        <v>418</v>
      </c>
      <c r="N175" s="82" t="s">
        <v>412</v>
      </c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3:N83"/>
    <mergeCell ref="B87:N87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  <mergeCell ref="A172:N172"/>
  </mergeCells>
  <conditionalFormatting sqref="L9:L82 L84:L167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{d3e1b42e-2cee-4913-a9cd-9dbfab723ca0}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e1b42e-2cee-4913-a9cd-9dbfab723ca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L9:L82 L84:L167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4"/>
  <sheetViews>
    <sheetView showGridLines="0" workbookViewId="0">
      <selection activeCell="P19" sqref="P19"/>
    </sheetView>
  </sheetViews>
  <sheetFormatPr defaultColWidth="9.64285714285714" defaultRowHeight="17.6"/>
  <cols>
    <col min="1" max="1" width="14" style="61" customWidth="1"/>
    <col min="2" max="2" width="10" style="61" customWidth="1"/>
    <col min="3" max="3" width="8" style="61" customWidth="1"/>
    <col min="4" max="4" width="25" style="61" customWidth="1"/>
    <col min="5" max="5" width="13" style="61" customWidth="1"/>
    <col min="6" max="6" width="38" style="61" customWidth="1"/>
    <col min="7" max="7" width="12" style="61" customWidth="1"/>
    <col min="8" max="8" width="14" style="61" customWidth="1"/>
    <col min="9" max="10" width="12" style="61" customWidth="1"/>
    <col min="11" max="11" width="22" style="61" customWidth="1"/>
    <col min="12" max="12" width="14" style="61" customWidth="1"/>
    <col min="13" max="13" width="52" style="61" customWidth="1"/>
    <col min="14" max="14" width="36" style="61" customWidth="1"/>
    <col min="15" max="15" width="9.64285714285714" style="62"/>
    <col min="16" max="16" width="11.8928571428571" style="62" customWidth="1"/>
    <col min="17" max="17" width="12.4910714285714" style="7" customWidth="1"/>
    <col min="18" max="18" width="13.2857142857143" style="7" customWidth="1"/>
    <col min="19" max="19" width="11.9017857142857" style="7" customWidth="1"/>
    <col min="20" max="20" width="9.64285714285714" style="62"/>
    <col min="21" max="22" width="13.2857142857143" style="62"/>
    <col min="23" max="16384" width="9.64285714285714" style="62"/>
  </cols>
  <sheetData>
    <row r="1" ht="23.2" spans="1:18">
      <c r="A1" s="64" t="s">
        <v>419</v>
      </c>
      <c r="P1" s="65" t="s">
        <v>170</v>
      </c>
    </row>
    <row r="2" spans="1:18">
      <c r="A2" s="66" t="s">
        <v>152</v>
      </c>
      <c r="B2" s="67" t="s">
        <v>153</v>
      </c>
      <c r="C2" s="66" t="s">
        <v>154</v>
      </c>
      <c r="D2" s="67" t="s">
        <v>155</v>
      </c>
      <c r="E2" s="68"/>
      <c r="F2" s="68"/>
      <c r="G2" s="68"/>
      <c r="H2" s="68"/>
      <c r="I2" s="68"/>
      <c r="J2" s="68"/>
      <c r="K2" s="68"/>
      <c r="L2" s="69"/>
      <c r="M2" s="68"/>
      <c r="N2" s="68"/>
      <c r="P2" s="70" t="s">
        <v>3</v>
      </c>
      <c r="Q2" s="71" t="s">
        <v>172</v>
      </c>
      <c r="R2" s="72" t="s">
        <v>175</v>
      </c>
    </row>
    <row r="3" spans="1:18">
      <c r="A3" s="66" t="s">
        <v>158</v>
      </c>
      <c r="B3" s="67" t="s">
        <v>159</v>
      </c>
      <c r="C3" s="66" t="s">
        <v>166</v>
      </c>
      <c r="D3" s="67" t="s">
        <v>167</v>
      </c>
      <c r="E3" s="68"/>
      <c r="F3" s="68"/>
      <c r="G3" s="68"/>
      <c r="H3" s="68"/>
      <c r="I3" s="68"/>
      <c r="J3" s="68"/>
      <c r="K3" s="68"/>
      <c r="L3" s="69"/>
      <c r="M3" s="68"/>
      <c r="N3" s="68"/>
      <c r="P3" s="73" t="s">
        <v>26</v>
      </c>
      <c r="Q3" s="74">
        <f t="shared" ref="Q3:Q12" si="0">SUMIFS($L$1:$L$174,$C$1:$C$174,"DV",$A$1:$A$174,$P3)</f>
        <v>227634</v>
      </c>
      <c r="R3" s="75">
        <f t="shared" ref="R3:R16" si="1">SUMIFS($L$1:$L$174,$C$1:$C$174,"PV",$A$1:$A$174,$P3)</f>
        <v>227634</v>
      </c>
    </row>
    <row r="4" spans="1:18">
      <c r="A4" s="66" t="s">
        <v>156</v>
      </c>
      <c r="B4" s="67" t="s">
        <v>157</v>
      </c>
      <c r="C4" s="66" t="s">
        <v>160</v>
      </c>
      <c r="D4" s="67" t="s">
        <v>161</v>
      </c>
      <c r="E4" s="68"/>
      <c r="F4" s="68"/>
      <c r="G4" s="68"/>
      <c r="H4" s="68"/>
      <c r="I4" s="68"/>
      <c r="J4" s="68"/>
      <c r="K4" s="68"/>
      <c r="L4" s="69"/>
      <c r="M4" s="68"/>
      <c r="N4" s="68"/>
      <c r="P4" s="73" t="s">
        <v>27</v>
      </c>
      <c r="Q4" s="74">
        <f t="shared" si="0"/>
        <v>56600</v>
      </c>
      <c r="R4" s="75">
        <f t="shared" si="1"/>
        <v>56600</v>
      </c>
    </row>
    <row r="5" spans="1:18">
      <c r="A5" s="66" t="s">
        <v>162</v>
      </c>
      <c r="B5" s="67" t="s">
        <v>163</v>
      </c>
      <c r="C5" s="66" t="s">
        <v>164</v>
      </c>
      <c r="D5" s="67" t="s">
        <v>165</v>
      </c>
      <c r="E5" s="68"/>
      <c r="F5" s="68"/>
      <c r="G5" s="68"/>
      <c r="H5" s="68"/>
      <c r="I5" s="68"/>
      <c r="J5" s="68"/>
      <c r="K5" s="68"/>
      <c r="L5" s="69"/>
      <c r="M5" s="68"/>
      <c r="N5" s="68"/>
      <c r="P5" s="73" t="s">
        <v>29</v>
      </c>
      <c r="Q5" s="74">
        <f t="shared" si="0"/>
        <v>37838</v>
      </c>
      <c r="R5" s="75">
        <f t="shared" si="1"/>
        <v>37838</v>
      </c>
    </row>
    <row r="6" spans="1:18">
      <c r="A6" s="76" t="s">
        <v>168</v>
      </c>
      <c r="B6" s="77" t="s">
        <v>356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P6" s="73" t="s">
        <v>30</v>
      </c>
      <c r="Q6" s="74">
        <f t="shared" si="0"/>
        <v>48720</v>
      </c>
      <c r="R6" s="75">
        <f t="shared" si="1"/>
        <v>48720</v>
      </c>
    </row>
    <row r="7" spans="1:18">
      <c r="A7" s="78" t="s">
        <v>171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P7" s="73" t="s">
        <v>31</v>
      </c>
      <c r="Q7" s="74">
        <f t="shared" si="0"/>
        <v>296400</v>
      </c>
      <c r="R7" s="75">
        <f t="shared" si="1"/>
        <v>296400</v>
      </c>
    </row>
    <row r="8" spans="1:18">
      <c r="A8" s="80" t="s">
        <v>51</v>
      </c>
      <c r="B8" s="80" t="s">
        <v>52</v>
      </c>
      <c r="C8" s="80" t="s">
        <v>178</v>
      </c>
      <c r="D8" s="80" t="s">
        <v>357</v>
      </c>
      <c r="E8" s="80" t="s">
        <v>53</v>
      </c>
      <c r="F8" s="80" t="s">
        <v>54</v>
      </c>
      <c r="G8" s="80" t="s">
        <v>179</v>
      </c>
      <c r="H8" s="80" t="s">
        <v>180</v>
      </c>
      <c r="I8" s="80" t="s">
        <v>181</v>
      </c>
      <c r="J8" s="80" t="s">
        <v>182</v>
      </c>
      <c r="K8" s="80" t="s">
        <v>358</v>
      </c>
      <c r="L8" s="81" t="s">
        <v>185</v>
      </c>
      <c r="M8" s="80" t="s">
        <v>187</v>
      </c>
      <c r="N8" s="80" t="s">
        <v>188</v>
      </c>
      <c r="P8" s="73" t="s">
        <v>32</v>
      </c>
      <c r="Q8" s="74">
        <f t="shared" si="0"/>
        <v>75750</v>
      </c>
      <c r="R8" s="75">
        <f t="shared" si="1"/>
        <v>75750</v>
      </c>
    </row>
    <row r="9" ht="31" spans="1:18">
      <c r="A9" s="82" t="s">
        <v>26</v>
      </c>
      <c r="B9" s="82">
        <v>2</v>
      </c>
      <c r="C9" s="82" t="s">
        <v>172</v>
      </c>
      <c r="D9" s="82" t="s">
        <v>48</v>
      </c>
      <c r="E9" s="82" t="s">
        <v>66</v>
      </c>
      <c r="F9" s="82" t="s">
        <v>67</v>
      </c>
      <c r="G9" s="82" t="s">
        <v>189</v>
      </c>
      <c r="H9" s="82" t="s">
        <v>190</v>
      </c>
      <c r="I9" s="82" t="s">
        <v>195</v>
      </c>
      <c r="J9" s="82" t="s">
        <v>192</v>
      </c>
      <c r="K9" s="82" t="s">
        <v>420</v>
      </c>
      <c r="L9" s="83">
        <v>9800</v>
      </c>
      <c r="M9" s="82" t="s">
        <v>421</v>
      </c>
      <c r="N9" s="82"/>
      <c r="P9" s="73" t="s">
        <v>34</v>
      </c>
      <c r="Q9" s="74">
        <f t="shared" si="0"/>
        <v>13400</v>
      </c>
      <c r="R9" s="75">
        <f t="shared" si="1"/>
        <v>13400</v>
      </c>
    </row>
    <row r="10" ht="31" spans="1:18">
      <c r="A10" s="82" t="s">
        <v>26</v>
      </c>
      <c r="B10" s="82">
        <v>3</v>
      </c>
      <c r="C10" s="82" t="s">
        <v>172</v>
      </c>
      <c r="D10" s="82" t="s">
        <v>48</v>
      </c>
      <c r="E10" s="82" t="s">
        <v>68</v>
      </c>
      <c r="F10" s="82" t="s">
        <v>69</v>
      </c>
      <c r="G10" s="82" t="s">
        <v>197</v>
      </c>
      <c r="H10" s="82"/>
      <c r="I10" s="82" t="s">
        <v>198</v>
      </c>
      <c r="J10" s="82" t="s">
        <v>199</v>
      </c>
      <c r="K10" s="82" t="s">
        <v>422</v>
      </c>
      <c r="L10" s="83">
        <v>24000</v>
      </c>
      <c r="M10" s="82" t="s">
        <v>423</v>
      </c>
      <c r="N10" s="82" t="s">
        <v>363</v>
      </c>
      <c r="P10" s="73" t="s">
        <v>36</v>
      </c>
      <c r="Q10" s="74">
        <f t="shared" si="0"/>
        <v>23400</v>
      </c>
      <c r="R10" s="75">
        <f t="shared" si="1"/>
        <v>23400</v>
      </c>
    </row>
    <row r="11" ht="16" customHeight="1" spans="1:18">
      <c r="A11" s="82" t="s">
        <v>26</v>
      </c>
      <c r="B11" s="82">
        <v>4</v>
      </c>
      <c r="C11" s="82" t="s">
        <v>172</v>
      </c>
      <c r="D11" s="82" t="s">
        <v>48</v>
      </c>
      <c r="E11" s="82" t="s">
        <v>70</v>
      </c>
      <c r="F11" s="82" t="s">
        <v>71</v>
      </c>
      <c r="G11" s="82" t="s">
        <v>197</v>
      </c>
      <c r="H11" s="82" t="s">
        <v>202</v>
      </c>
      <c r="I11" s="82" t="s">
        <v>202</v>
      </c>
      <c r="J11" s="82" t="s">
        <v>203</v>
      </c>
      <c r="K11" s="82" t="s">
        <v>424</v>
      </c>
      <c r="L11" s="83">
        <v>600</v>
      </c>
      <c r="M11" s="82" t="s">
        <v>425</v>
      </c>
      <c r="N11" s="82"/>
      <c r="P11" s="73" t="s">
        <v>37</v>
      </c>
      <c r="Q11" s="74">
        <f t="shared" si="0"/>
        <v>28400</v>
      </c>
      <c r="R11" s="75">
        <f t="shared" si="1"/>
        <v>28400</v>
      </c>
    </row>
    <row r="12" s="60" customFormat="1" ht="16" spans="1:18">
      <c r="A12" s="82" t="s">
        <v>26</v>
      </c>
      <c r="B12" s="82">
        <v>5</v>
      </c>
      <c r="C12" s="82" t="s">
        <v>172</v>
      </c>
      <c r="D12" s="82" t="s">
        <v>48</v>
      </c>
      <c r="E12" s="82" t="s">
        <v>72</v>
      </c>
      <c r="F12" s="82" t="s">
        <v>73</v>
      </c>
      <c r="G12" s="82" t="s">
        <v>197</v>
      </c>
      <c r="H12" s="82" t="s">
        <v>202</v>
      </c>
      <c r="I12" s="82" t="s">
        <v>202</v>
      </c>
      <c r="J12" s="82" t="s">
        <v>203</v>
      </c>
      <c r="K12" s="82" t="s">
        <v>424</v>
      </c>
      <c r="L12" s="83">
        <v>600</v>
      </c>
      <c r="M12" s="82" t="s">
        <v>425</v>
      </c>
      <c r="N12" s="82"/>
      <c r="P12" s="73" t="s">
        <v>38</v>
      </c>
      <c r="Q12" s="74">
        <f t="shared" si="0"/>
        <v>30400</v>
      </c>
      <c r="R12" s="75">
        <f t="shared" si="1"/>
        <v>30400</v>
      </c>
    </row>
    <row r="13" ht="31" customHeight="1" spans="1:18">
      <c r="A13" s="82" t="s">
        <v>26</v>
      </c>
      <c r="B13" s="82">
        <v>6</v>
      </c>
      <c r="C13" s="82" t="s">
        <v>172</v>
      </c>
      <c r="D13" s="82" t="s">
        <v>48</v>
      </c>
      <c r="E13" s="82" t="s">
        <v>74</v>
      </c>
      <c r="F13" s="82" t="s">
        <v>75</v>
      </c>
      <c r="G13" s="82" t="s">
        <v>197</v>
      </c>
      <c r="H13" s="82" t="s">
        <v>202</v>
      </c>
      <c r="I13" s="82" t="s">
        <v>202</v>
      </c>
      <c r="J13" s="82" t="s">
        <v>203</v>
      </c>
      <c r="K13" s="82" t="s">
        <v>424</v>
      </c>
      <c r="L13" s="83">
        <v>600</v>
      </c>
      <c r="M13" s="82" t="s">
        <v>425</v>
      </c>
      <c r="N13" s="82"/>
      <c r="P13" s="73" t="s">
        <v>40</v>
      </c>
      <c r="Q13" s="74" t="s">
        <v>214</v>
      </c>
      <c r="R13" s="75">
        <f t="shared" si="1"/>
        <v>40800</v>
      </c>
    </row>
    <row r="14" ht="31" customHeight="1" spans="1:18">
      <c r="A14" s="82" t="s">
        <v>26</v>
      </c>
      <c r="B14" s="82">
        <v>7</v>
      </c>
      <c r="C14" s="82" t="s">
        <v>172</v>
      </c>
      <c r="D14" s="82" t="s">
        <v>48</v>
      </c>
      <c r="E14" s="82" t="s">
        <v>76</v>
      </c>
      <c r="F14" s="82" t="s">
        <v>77</v>
      </c>
      <c r="G14" s="82" t="s">
        <v>197</v>
      </c>
      <c r="H14" s="82" t="s">
        <v>205</v>
      </c>
      <c r="I14" s="82" t="s">
        <v>205</v>
      </c>
      <c r="J14" s="82" t="s">
        <v>203</v>
      </c>
      <c r="K14" s="82" t="s">
        <v>424</v>
      </c>
      <c r="L14" s="83">
        <v>2400</v>
      </c>
      <c r="M14" s="82" t="s">
        <v>426</v>
      </c>
      <c r="N14" s="82"/>
      <c r="P14" s="73" t="s">
        <v>39</v>
      </c>
      <c r="Q14" s="74">
        <f>SUMIFS($L$1:$L$174,$C$1:$C$174,"DV",$A$1:$A$174,$P14)</f>
        <v>15600</v>
      </c>
      <c r="R14" s="75">
        <f t="shared" si="1"/>
        <v>15600</v>
      </c>
    </row>
    <row r="15" ht="31" customHeight="1" spans="1:18">
      <c r="A15" s="82" t="s">
        <v>26</v>
      </c>
      <c r="B15" s="82">
        <v>8</v>
      </c>
      <c r="C15" s="82" t="s">
        <v>172</v>
      </c>
      <c r="D15" s="82" t="s">
        <v>48</v>
      </c>
      <c r="E15" s="82" t="s">
        <v>78</v>
      </c>
      <c r="F15" s="82" t="s">
        <v>79</v>
      </c>
      <c r="G15" s="82" t="s">
        <v>197</v>
      </c>
      <c r="H15" s="82" t="s">
        <v>207</v>
      </c>
      <c r="I15" s="82" t="s">
        <v>208</v>
      </c>
      <c r="J15" s="82" t="s">
        <v>199</v>
      </c>
      <c r="K15" s="82" t="s">
        <v>427</v>
      </c>
      <c r="L15" s="83">
        <v>5000</v>
      </c>
      <c r="M15" s="82" t="s">
        <v>428</v>
      </c>
      <c r="N15" s="82"/>
      <c r="P15" s="73" t="s">
        <v>41</v>
      </c>
      <c r="Q15" s="74">
        <f>SUMIFS($L$1:$L$174,$C$1:$C$174,"DV",$A$1:$A$174,$P15)</f>
        <v>0</v>
      </c>
      <c r="R15" s="75">
        <f t="shared" si="1"/>
        <v>0</v>
      </c>
    </row>
    <row r="16" ht="16" customHeight="1" spans="1:18">
      <c r="A16" s="82" t="s">
        <v>26</v>
      </c>
      <c r="B16" s="82">
        <v>9</v>
      </c>
      <c r="C16" s="82" t="s">
        <v>172</v>
      </c>
      <c r="D16" s="82" t="s">
        <v>48</v>
      </c>
      <c r="E16" s="82" t="s">
        <v>80</v>
      </c>
      <c r="F16" s="82" t="s">
        <v>81</v>
      </c>
      <c r="G16" s="82" t="s">
        <v>197</v>
      </c>
      <c r="H16" s="82" t="s">
        <v>210</v>
      </c>
      <c r="I16" s="82" t="s">
        <v>210</v>
      </c>
      <c r="J16" s="82" t="s">
        <v>203</v>
      </c>
      <c r="K16" s="82" t="s">
        <v>424</v>
      </c>
      <c r="L16" s="83">
        <v>6000</v>
      </c>
      <c r="M16" s="82" t="s">
        <v>429</v>
      </c>
      <c r="N16" s="82"/>
      <c r="P16" s="73" t="s">
        <v>43</v>
      </c>
      <c r="Q16" s="74">
        <f>SUMIFS($L$1:$L$174,$C$1:$C$174,"DV",$A$1:$A$174,$P16)</f>
        <v>0</v>
      </c>
      <c r="R16" s="75">
        <f t="shared" si="1"/>
        <v>0</v>
      </c>
    </row>
    <row r="17" ht="16" customHeight="1" spans="1:18">
      <c r="A17" s="82" t="s">
        <v>26</v>
      </c>
      <c r="B17" s="82">
        <v>10</v>
      </c>
      <c r="C17" s="82" t="s">
        <v>172</v>
      </c>
      <c r="D17" s="82" t="s">
        <v>48</v>
      </c>
      <c r="E17" s="82" t="s">
        <v>82</v>
      </c>
      <c r="F17" s="82" t="s">
        <v>83</v>
      </c>
      <c r="G17" s="82" t="s">
        <v>197</v>
      </c>
      <c r="H17" s="82" t="s">
        <v>212</v>
      </c>
      <c r="I17" s="82" t="s">
        <v>212</v>
      </c>
      <c r="J17" s="82" t="s">
        <v>203</v>
      </c>
      <c r="K17" s="82" t="s">
        <v>430</v>
      </c>
      <c r="L17" s="83">
        <v>7350</v>
      </c>
      <c r="M17" s="82" t="s">
        <v>431</v>
      </c>
      <c r="N17" s="82"/>
      <c r="P17" s="84" t="s">
        <v>221</v>
      </c>
      <c r="Q17" s="74">
        <v>21600</v>
      </c>
      <c r="R17" s="75">
        <v>21600</v>
      </c>
    </row>
    <row r="18" ht="16" customHeight="1" spans="1:18">
      <c r="A18" s="82" t="s">
        <v>26</v>
      </c>
      <c r="B18" s="82">
        <v>11</v>
      </c>
      <c r="C18" s="82" t="s">
        <v>172</v>
      </c>
      <c r="D18" s="82" t="s">
        <v>48</v>
      </c>
      <c r="E18" s="82" t="s">
        <v>84</v>
      </c>
      <c r="F18" s="82" t="s">
        <v>85</v>
      </c>
      <c r="G18" s="82" t="s">
        <v>197</v>
      </c>
      <c r="H18" s="82" t="s">
        <v>208</v>
      </c>
      <c r="I18" s="82" t="s">
        <v>208</v>
      </c>
      <c r="J18" s="82" t="s">
        <v>203</v>
      </c>
      <c r="K18" s="82" t="s">
        <v>432</v>
      </c>
      <c r="L18" s="83">
        <v>19200</v>
      </c>
      <c r="M18" s="82" t="s">
        <v>433</v>
      </c>
      <c r="N18" s="82"/>
      <c r="P18" s="85" t="s">
        <v>224</v>
      </c>
      <c r="Q18" s="74">
        <v>0</v>
      </c>
      <c r="R18" s="75">
        <v>0</v>
      </c>
    </row>
    <row r="19" ht="16" customHeight="1" spans="1:18">
      <c r="A19" s="82" t="s">
        <v>26</v>
      </c>
      <c r="B19" s="82">
        <v>12</v>
      </c>
      <c r="C19" s="82" t="s">
        <v>172</v>
      </c>
      <c r="D19" s="82" t="s">
        <v>48</v>
      </c>
      <c r="E19" s="82" t="s">
        <v>86</v>
      </c>
      <c r="F19" s="82" t="s">
        <v>87</v>
      </c>
      <c r="G19" s="82" t="s">
        <v>189</v>
      </c>
      <c r="H19" s="82" t="s">
        <v>190</v>
      </c>
      <c r="I19" s="82" t="s">
        <v>208</v>
      </c>
      <c r="J19" s="82" t="s">
        <v>192</v>
      </c>
      <c r="K19" s="82" t="s">
        <v>434</v>
      </c>
      <c r="L19" s="83">
        <v>1680</v>
      </c>
      <c r="M19" s="82" t="s">
        <v>435</v>
      </c>
      <c r="N19" s="82"/>
      <c r="P19" s="86" t="s">
        <v>226</v>
      </c>
      <c r="Q19" s="74">
        <f>SUM(Q3:Q18)</f>
        <v>875742</v>
      </c>
      <c r="R19" s="75">
        <f>SUM(R3:R18)</f>
        <v>916542</v>
      </c>
    </row>
    <row r="20" ht="16" customHeight="1" spans="1:18">
      <c r="A20" s="82" t="s">
        <v>26</v>
      </c>
      <c r="B20" s="82">
        <v>13</v>
      </c>
      <c r="C20" s="82" t="s">
        <v>172</v>
      </c>
      <c r="D20" s="82" t="s">
        <v>48</v>
      </c>
      <c r="E20" s="82" t="s">
        <v>88</v>
      </c>
      <c r="F20" s="82" t="s">
        <v>89</v>
      </c>
      <c r="G20" s="82" t="s">
        <v>197</v>
      </c>
      <c r="H20" s="82" t="s">
        <v>217</v>
      </c>
      <c r="I20" s="82" t="s">
        <v>208</v>
      </c>
      <c r="J20" s="82" t="s">
        <v>192</v>
      </c>
      <c r="K20" s="82" t="s">
        <v>436</v>
      </c>
      <c r="L20" s="83">
        <v>2004</v>
      </c>
      <c r="M20" s="82" t="s">
        <v>437</v>
      </c>
      <c r="N20" s="82"/>
    </row>
    <row r="21" ht="31" spans="1:18">
      <c r="A21" s="82" t="s">
        <v>26</v>
      </c>
      <c r="B21" s="82">
        <v>14</v>
      </c>
      <c r="C21" s="82" t="s">
        <v>172</v>
      </c>
      <c r="D21" s="82" t="s">
        <v>48</v>
      </c>
      <c r="E21" s="82" t="s">
        <v>90</v>
      </c>
      <c r="F21" s="82" t="s">
        <v>91</v>
      </c>
      <c r="G21" s="82" t="s">
        <v>197</v>
      </c>
      <c r="H21" s="82" t="s">
        <v>217</v>
      </c>
      <c r="I21" s="82" t="s">
        <v>210</v>
      </c>
      <c r="J21" s="82" t="s">
        <v>192</v>
      </c>
      <c r="K21" s="82" t="s">
        <v>438</v>
      </c>
      <c r="L21" s="83">
        <v>120000</v>
      </c>
      <c r="M21" s="82" t="s">
        <v>439</v>
      </c>
      <c r="N21" s="82" t="s">
        <v>220</v>
      </c>
    </row>
    <row r="22" ht="16" customHeight="1" spans="1:18">
      <c r="A22" s="82" t="s">
        <v>26</v>
      </c>
      <c r="B22" s="82">
        <v>15</v>
      </c>
      <c r="C22" s="82" t="s">
        <v>172</v>
      </c>
      <c r="D22" s="82" t="s">
        <v>48</v>
      </c>
      <c r="E22" s="82" t="s">
        <v>92</v>
      </c>
      <c r="F22" s="82" t="s">
        <v>93</v>
      </c>
      <c r="G22" s="82" t="s">
        <v>197</v>
      </c>
      <c r="H22" s="82" t="s">
        <v>222</v>
      </c>
      <c r="I22" s="82" t="s">
        <v>222</v>
      </c>
      <c r="J22" s="82" t="s">
        <v>203</v>
      </c>
      <c r="K22" s="82" t="s">
        <v>424</v>
      </c>
      <c r="L22" s="83">
        <v>6600</v>
      </c>
      <c r="M22" s="82" t="s">
        <v>440</v>
      </c>
      <c r="N22" s="82"/>
    </row>
    <row r="23" ht="16" customHeight="1" spans="1:18">
      <c r="A23" s="82" t="s">
        <v>26</v>
      </c>
      <c r="B23" s="82">
        <v>16</v>
      </c>
      <c r="C23" s="82" t="s">
        <v>172</v>
      </c>
      <c r="D23" s="82" t="s">
        <v>48</v>
      </c>
      <c r="E23" s="82" t="s">
        <v>94</v>
      </c>
      <c r="F23" s="82" t="s">
        <v>95</v>
      </c>
      <c r="G23" s="82" t="s">
        <v>197</v>
      </c>
      <c r="H23" s="82" t="s">
        <v>217</v>
      </c>
      <c r="I23" s="82" t="s">
        <v>195</v>
      </c>
      <c r="J23" s="82" t="s">
        <v>192</v>
      </c>
      <c r="K23" s="82" t="s">
        <v>378</v>
      </c>
      <c r="L23" s="83">
        <v>6000</v>
      </c>
      <c r="M23" s="82" t="s">
        <v>225</v>
      </c>
      <c r="N23" s="82"/>
    </row>
    <row r="24" ht="16" customHeight="1" spans="1:18">
      <c r="A24" s="82" t="s">
        <v>26</v>
      </c>
      <c r="B24" s="82">
        <v>17</v>
      </c>
      <c r="C24" s="82" t="s">
        <v>172</v>
      </c>
      <c r="D24" s="82" t="s">
        <v>48</v>
      </c>
      <c r="E24" s="82" t="s">
        <v>96</v>
      </c>
      <c r="F24" s="82" t="s">
        <v>97</v>
      </c>
      <c r="G24" s="82" t="s">
        <v>197</v>
      </c>
      <c r="H24" s="82" t="s">
        <v>227</v>
      </c>
      <c r="I24" s="82" t="s">
        <v>198</v>
      </c>
      <c r="J24" s="82" t="s">
        <v>199</v>
      </c>
      <c r="K24" s="82" t="s">
        <v>379</v>
      </c>
      <c r="L24" s="83">
        <v>6000</v>
      </c>
      <c r="M24" s="82" t="s">
        <v>380</v>
      </c>
      <c r="N24" s="82"/>
    </row>
    <row r="25" ht="31" spans="1:18">
      <c r="A25" s="82" t="s">
        <v>26</v>
      </c>
      <c r="B25" s="82">
        <v>19</v>
      </c>
      <c r="C25" s="82" t="s">
        <v>172</v>
      </c>
      <c r="D25" s="82" t="s">
        <v>48</v>
      </c>
      <c r="E25" s="82" t="s">
        <v>66</v>
      </c>
      <c r="F25" s="82" t="s">
        <v>67</v>
      </c>
      <c r="G25" s="82" t="s">
        <v>189</v>
      </c>
      <c r="H25" s="82" t="s">
        <v>190</v>
      </c>
      <c r="I25" s="82" t="s">
        <v>195</v>
      </c>
      <c r="J25" s="82" t="s">
        <v>192</v>
      </c>
      <c r="K25" s="82" t="s">
        <v>420</v>
      </c>
      <c r="L25" s="83">
        <v>9800</v>
      </c>
      <c r="M25" s="82" t="s">
        <v>421</v>
      </c>
      <c r="N25" s="82"/>
    </row>
    <row r="26" spans="1:18">
      <c r="A26" s="78" t="s">
        <v>233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</row>
    <row r="27" ht="31" customHeight="1" spans="1:18">
      <c r="A27" s="80" t="s">
        <v>51</v>
      </c>
      <c r="B27" s="80" t="s">
        <v>52</v>
      </c>
      <c r="C27" s="80" t="s">
        <v>178</v>
      </c>
      <c r="D27" s="80" t="s">
        <v>357</v>
      </c>
      <c r="E27" s="80" t="s">
        <v>53</v>
      </c>
      <c r="F27" s="80" t="s">
        <v>54</v>
      </c>
      <c r="G27" s="80" t="s">
        <v>179</v>
      </c>
      <c r="H27" s="80" t="s">
        <v>180</v>
      </c>
      <c r="I27" s="80" t="s">
        <v>181</v>
      </c>
      <c r="J27" s="80" t="s">
        <v>182</v>
      </c>
      <c r="K27" s="80" t="s">
        <v>358</v>
      </c>
      <c r="L27" s="81" t="s">
        <v>185</v>
      </c>
      <c r="M27" s="80" t="s">
        <v>187</v>
      </c>
      <c r="N27" s="80" t="s">
        <v>188</v>
      </c>
    </row>
    <row r="28" ht="31" spans="1:18">
      <c r="A28" s="82" t="s">
        <v>27</v>
      </c>
      <c r="B28" s="82">
        <v>2</v>
      </c>
      <c r="C28" s="82" t="s">
        <v>172</v>
      </c>
      <c r="D28" s="82" t="s">
        <v>102</v>
      </c>
      <c r="E28" s="82" t="s">
        <v>66</v>
      </c>
      <c r="F28" s="82" t="s">
        <v>67</v>
      </c>
      <c r="G28" s="82" t="s">
        <v>234</v>
      </c>
      <c r="H28" s="82" t="s">
        <v>217</v>
      </c>
      <c r="I28" s="82" t="s">
        <v>195</v>
      </c>
      <c r="J28" s="82" t="s">
        <v>192</v>
      </c>
      <c r="K28" s="82" t="s">
        <v>420</v>
      </c>
      <c r="L28" s="83">
        <v>8400</v>
      </c>
      <c r="M28" s="82" t="s">
        <v>441</v>
      </c>
      <c r="N28" s="82"/>
    </row>
    <row r="29" ht="46" spans="1:18">
      <c r="A29" s="82" t="s">
        <v>27</v>
      </c>
      <c r="B29" s="82">
        <v>3</v>
      </c>
      <c r="C29" s="82" t="s">
        <v>172</v>
      </c>
      <c r="D29" s="82" t="s">
        <v>102</v>
      </c>
      <c r="E29" s="82" t="s">
        <v>103</v>
      </c>
      <c r="F29" s="82" t="s">
        <v>104</v>
      </c>
      <c r="G29" s="82" t="s">
        <v>234</v>
      </c>
      <c r="H29" s="82" t="s">
        <v>195</v>
      </c>
      <c r="I29" s="82" t="s">
        <v>195</v>
      </c>
      <c r="J29" s="82" t="s">
        <v>203</v>
      </c>
      <c r="K29" s="82" t="s">
        <v>442</v>
      </c>
      <c r="L29" s="83">
        <v>12300</v>
      </c>
      <c r="M29" s="82" t="s">
        <v>443</v>
      </c>
      <c r="N29" s="82" t="s">
        <v>238</v>
      </c>
    </row>
    <row r="30" ht="31" spans="1:18">
      <c r="A30" s="82" t="s">
        <v>27</v>
      </c>
      <c r="B30" s="82">
        <v>4</v>
      </c>
      <c r="C30" s="82" t="s">
        <v>172</v>
      </c>
      <c r="D30" s="82" t="s">
        <v>102</v>
      </c>
      <c r="E30" s="82" t="s">
        <v>106</v>
      </c>
      <c r="F30" s="82" t="s">
        <v>107</v>
      </c>
      <c r="G30" s="82" t="s">
        <v>234</v>
      </c>
      <c r="H30" s="82" t="s">
        <v>217</v>
      </c>
      <c r="I30" s="82" t="s">
        <v>191</v>
      </c>
      <c r="J30" s="82" t="s">
        <v>192</v>
      </c>
      <c r="K30" s="82" t="s">
        <v>442</v>
      </c>
      <c r="L30" s="83">
        <v>27500</v>
      </c>
      <c r="M30" s="82" t="s">
        <v>444</v>
      </c>
      <c r="N30" s="82" t="s">
        <v>240</v>
      </c>
    </row>
    <row r="31" ht="31" spans="1:18">
      <c r="A31" s="82" t="s">
        <v>27</v>
      </c>
      <c r="B31" s="82">
        <v>5</v>
      </c>
      <c r="C31" s="82" t="s">
        <v>172</v>
      </c>
      <c r="D31" s="82" t="s">
        <v>102</v>
      </c>
      <c r="E31" s="82" t="s">
        <v>66</v>
      </c>
      <c r="F31" s="82" t="s">
        <v>67</v>
      </c>
      <c r="G31" s="82" t="s">
        <v>234</v>
      </c>
      <c r="H31" s="82" t="s">
        <v>217</v>
      </c>
      <c r="I31" s="82" t="s">
        <v>195</v>
      </c>
      <c r="J31" s="82" t="s">
        <v>192</v>
      </c>
      <c r="K31" s="82" t="s">
        <v>420</v>
      </c>
      <c r="L31" s="83">
        <v>8400</v>
      </c>
      <c r="M31" s="82" t="s">
        <v>441</v>
      </c>
      <c r="N31" s="82"/>
    </row>
    <row r="32" spans="1:18">
      <c r="A32" s="78" t="s">
        <v>242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4">
      <c r="A33" s="80" t="s">
        <v>51</v>
      </c>
      <c r="B33" s="80" t="s">
        <v>52</v>
      </c>
      <c r="C33" s="80" t="s">
        <v>178</v>
      </c>
      <c r="D33" s="80" t="s">
        <v>357</v>
      </c>
      <c r="E33" s="80" t="s">
        <v>53</v>
      </c>
      <c r="F33" s="80" t="s">
        <v>54</v>
      </c>
      <c r="G33" s="80" t="s">
        <v>179</v>
      </c>
      <c r="H33" s="80" t="s">
        <v>180</v>
      </c>
      <c r="I33" s="80" t="s">
        <v>181</v>
      </c>
      <c r="J33" s="80" t="s">
        <v>182</v>
      </c>
      <c r="K33" s="80" t="s">
        <v>358</v>
      </c>
      <c r="L33" s="81" t="s">
        <v>185</v>
      </c>
      <c r="M33" s="80" t="s">
        <v>187</v>
      </c>
      <c r="N33" s="80" t="s">
        <v>188</v>
      </c>
    </row>
    <row r="34" ht="31" spans="1:14">
      <c r="A34" s="82" t="s">
        <v>29</v>
      </c>
      <c r="B34" s="82">
        <v>2</v>
      </c>
      <c r="C34" s="82" t="s">
        <v>172</v>
      </c>
      <c r="D34" s="82" t="s">
        <v>109</v>
      </c>
      <c r="E34" s="82" t="s">
        <v>66</v>
      </c>
      <c r="F34" s="82" t="s">
        <v>67</v>
      </c>
      <c r="G34" s="82" t="s">
        <v>243</v>
      </c>
      <c r="H34" s="82" t="s">
        <v>244</v>
      </c>
      <c r="I34" s="82" t="s">
        <v>195</v>
      </c>
      <c r="J34" s="82" t="s">
        <v>192</v>
      </c>
      <c r="K34" s="82" t="s">
        <v>420</v>
      </c>
      <c r="L34" s="83">
        <v>4200</v>
      </c>
      <c r="M34" s="82" t="s">
        <v>445</v>
      </c>
      <c r="N34" s="82"/>
    </row>
    <row r="35" spans="1:14">
      <c r="A35" s="82" t="s">
        <v>29</v>
      </c>
      <c r="B35" s="82">
        <v>3</v>
      </c>
      <c r="C35" s="82" t="s">
        <v>172</v>
      </c>
      <c r="D35" s="82" t="s">
        <v>109</v>
      </c>
      <c r="E35" s="82" t="s">
        <v>82</v>
      </c>
      <c r="F35" s="82" t="s">
        <v>83</v>
      </c>
      <c r="G35" s="82" t="s">
        <v>243</v>
      </c>
      <c r="H35" s="82" t="s">
        <v>212</v>
      </c>
      <c r="I35" s="82" t="s">
        <v>212</v>
      </c>
      <c r="J35" s="82" t="s">
        <v>203</v>
      </c>
      <c r="K35" s="82" t="s">
        <v>430</v>
      </c>
      <c r="L35" s="83">
        <v>7350</v>
      </c>
      <c r="M35" s="82" t="s">
        <v>431</v>
      </c>
      <c r="N35" s="82"/>
    </row>
    <row r="36" ht="31" spans="1:14">
      <c r="A36" s="82" t="s">
        <v>29</v>
      </c>
      <c r="B36" s="82">
        <v>4</v>
      </c>
      <c r="C36" s="82" t="s">
        <v>172</v>
      </c>
      <c r="D36" s="82" t="s">
        <v>109</v>
      </c>
      <c r="E36" s="82" t="s">
        <v>68</v>
      </c>
      <c r="F36" s="82" t="s">
        <v>69</v>
      </c>
      <c r="G36" s="82" t="s">
        <v>243</v>
      </c>
      <c r="H36" s="82"/>
      <c r="I36" s="82" t="s">
        <v>208</v>
      </c>
      <c r="J36" s="82" t="s">
        <v>199</v>
      </c>
      <c r="K36" s="82" t="s">
        <v>379</v>
      </c>
      <c r="L36" s="83">
        <v>3000</v>
      </c>
      <c r="M36" s="82" t="s">
        <v>247</v>
      </c>
      <c r="N36" s="82" t="s">
        <v>387</v>
      </c>
    </row>
    <row r="37" spans="1:14">
      <c r="A37" s="82" t="s">
        <v>29</v>
      </c>
      <c r="B37" s="82">
        <v>5</v>
      </c>
      <c r="C37" s="82" t="s">
        <v>172</v>
      </c>
      <c r="D37" s="82" t="s">
        <v>109</v>
      </c>
      <c r="E37" s="82" t="s">
        <v>84</v>
      </c>
      <c r="F37" s="82" t="s">
        <v>110</v>
      </c>
      <c r="G37" s="82" t="s">
        <v>243</v>
      </c>
      <c r="H37" s="82" t="s">
        <v>202</v>
      </c>
      <c r="I37" s="82" t="s">
        <v>202</v>
      </c>
      <c r="J37" s="82" t="s">
        <v>203</v>
      </c>
      <c r="K37" s="82" t="s">
        <v>432</v>
      </c>
      <c r="L37" s="83">
        <v>9600</v>
      </c>
      <c r="M37" s="82" t="s">
        <v>446</v>
      </c>
      <c r="N37" s="82"/>
    </row>
    <row r="38" spans="1:14">
      <c r="A38" s="82" t="s">
        <v>29</v>
      </c>
      <c r="B38" s="82">
        <v>6</v>
      </c>
      <c r="C38" s="82" t="s">
        <v>172</v>
      </c>
      <c r="D38" s="82" t="s">
        <v>109</v>
      </c>
      <c r="E38" s="82" t="s">
        <v>96</v>
      </c>
      <c r="F38" s="82" t="s">
        <v>97</v>
      </c>
      <c r="G38" s="82" t="s">
        <v>243</v>
      </c>
      <c r="H38" s="82" t="s">
        <v>250</v>
      </c>
      <c r="I38" s="82" t="s">
        <v>208</v>
      </c>
      <c r="J38" s="82" t="s">
        <v>199</v>
      </c>
      <c r="K38" s="82" t="s">
        <v>379</v>
      </c>
      <c r="L38" s="83">
        <v>3000</v>
      </c>
      <c r="M38" s="82" t="s">
        <v>388</v>
      </c>
      <c r="N38" s="82"/>
    </row>
    <row r="39" ht="46" spans="1:14">
      <c r="A39" s="82" t="s">
        <v>29</v>
      </c>
      <c r="B39" s="82">
        <v>8</v>
      </c>
      <c r="C39" s="82" t="s">
        <v>172</v>
      </c>
      <c r="D39" s="82" t="s">
        <v>109</v>
      </c>
      <c r="E39" s="82" t="s">
        <v>111</v>
      </c>
      <c r="F39" s="82" t="s">
        <v>112</v>
      </c>
      <c r="G39" s="82" t="s">
        <v>243</v>
      </c>
      <c r="H39" s="82" t="s">
        <v>253</v>
      </c>
      <c r="I39" s="82" t="s">
        <v>253</v>
      </c>
      <c r="J39" s="82" t="s">
        <v>203</v>
      </c>
      <c r="K39" s="82" t="s">
        <v>442</v>
      </c>
      <c r="L39" s="83">
        <v>6488</v>
      </c>
      <c r="M39" s="82" t="s">
        <v>447</v>
      </c>
      <c r="N39" s="82" t="s">
        <v>255</v>
      </c>
    </row>
    <row r="40" ht="31" spans="1:14">
      <c r="A40" s="82" t="s">
        <v>29</v>
      </c>
      <c r="B40" s="82">
        <v>9</v>
      </c>
      <c r="C40" s="82" t="s">
        <v>172</v>
      </c>
      <c r="D40" s="82" t="s">
        <v>109</v>
      </c>
      <c r="E40" s="82" t="s">
        <v>66</v>
      </c>
      <c r="F40" s="82" t="s">
        <v>67</v>
      </c>
      <c r="G40" s="82" t="s">
        <v>243</v>
      </c>
      <c r="H40" s="82" t="s">
        <v>244</v>
      </c>
      <c r="I40" s="82" t="s">
        <v>208</v>
      </c>
      <c r="J40" s="82" t="s">
        <v>192</v>
      </c>
      <c r="K40" s="82" t="s">
        <v>420</v>
      </c>
      <c r="L40" s="83">
        <v>4200</v>
      </c>
      <c r="M40" s="82" t="s">
        <v>445</v>
      </c>
      <c r="N40" s="82"/>
    </row>
    <row r="41" spans="1:14">
      <c r="A41" s="78" t="s">
        <v>257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</row>
    <row r="42" spans="1:14">
      <c r="A42" s="80" t="s">
        <v>51</v>
      </c>
      <c r="B42" s="80" t="s">
        <v>52</v>
      </c>
      <c r="C42" s="80" t="s">
        <v>178</v>
      </c>
      <c r="D42" s="80" t="s">
        <v>357</v>
      </c>
      <c r="E42" s="80" t="s">
        <v>53</v>
      </c>
      <c r="F42" s="80" t="s">
        <v>54</v>
      </c>
      <c r="G42" s="80" t="s">
        <v>179</v>
      </c>
      <c r="H42" s="80" t="s">
        <v>180</v>
      </c>
      <c r="I42" s="80" t="s">
        <v>181</v>
      </c>
      <c r="J42" s="80" t="s">
        <v>182</v>
      </c>
      <c r="K42" s="80" t="s">
        <v>358</v>
      </c>
      <c r="L42" s="81" t="s">
        <v>185</v>
      </c>
      <c r="M42" s="80" t="s">
        <v>187</v>
      </c>
      <c r="N42" s="80" t="s">
        <v>188</v>
      </c>
    </row>
    <row r="43" ht="31" spans="1:14">
      <c r="A43" s="82" t="s">
        <v>30</v>
      </c>
      <c r="B43" s="82">
        <v>2</v>
      </c>
      <c r="C43" s="82" t="s">
        <v>172</v>
      </c>
      <c r="D43" s="82" t="s">
        <v>113</v>
      </c>
      <c r="E43" s="82" t="s">
        <v>66</v>
      </c>
      <c r="F43" s="82" t="s">
        <v>67</v>
      </c>
      <c r="G43" s="82" t="s">
        <v>258</v>
      </c>
      <c r="H43" s="82" t="s">
        <v>244</v>
      </c>
      <c r="I43" s="82" t="s">
        <v>195</v>
      </c>
      <c r="J43" s="82" t="s">
        <v>192</v>
      </c>
      <c r="K43" s="82" t="s">
        <v>420</v>
      </c>
      <c r="L43" s="83">
        <v>4200</v>
      </c>
      <c r="M43" s="82" t="s">
        <v>445</v>
      </c>
      <c r="N43" s="82"/>
    </row>
    <row r="44" ht="31" spans="1:14">
      <c r="A44" s="82" t="s">
        <v>30</v>
      </c>
      <c r="B44" s="82">
        <v>3</v>
      </c>
      <c r="C44" s="82" t="s">
        <v>172</v>
      </c>
      <c r="D44" s="82" t="s">
        <v>113</v>
      </c>
      <c r="E44" s="82" t="s">
        <v>114</v>
      </c>
      <c r="F44" s="82" t="s">
        <v>115</v>
      </c>
      <c r="G44" s="82" t="s">
        <v>258</v>
      </c>
      <c r="H44" s="82" t="s">
        <v>259</v>
      </c>
      <c r="I44" s="82" t="s">
        <v>259</v>
      </c>
      <c r="J44" s="82" t="s">
        <v>203</v>
      </c>
      <c r="K44" s="82" t="s">
        <v>448</v>
      </c>
      <c r="L44" s="83">
        <v>40320</v>
      </c>
      <c r="M44" s="82" t="s">
        <v>260</v>
      </c>
      <c r="N44" s="82"/>
    </row>
    <row r="45" ht="31" spans="1:14">
      <c r="A45" s="82" t="s">
        <v>30</v>
      </c>
      <c r="B45" s="82">
        <v>4</v>
      </c>
      <c r="C45" s="82" t="s">
        <v>172</v>
      </c>
      <c r="D45" s="82" t="s">
        <v>113</v>
      </c>
      <c r="E45" s="82" t="s">
        <v>66</v>
      </c>
      <c r="F45" s="82" t="s">
        <v>67</v>
      </c>
      <c r="G45" s="82" t="s">
        <v>258</v>
      </c>
      <c r="H45" s="82" t="s">
        <v>244</v>
      </c>
      <c r="I45" s="82" t="s">
        <v>208</v>
      </c>
      <c r="J45" s="82" t="s">
        <v>192</v>
      </c>
      <c r="K45" s="82" t="s">
        <v>420</v>
      </c>
      <c r="L45" s="83">
        <v>4200</v>
      </c>
      <c r="M45" s="82" t="s">
        <v>445</v>
      </c>
      <c r="N45" s="82"/>
    </row>
    <row r="46" spans="1:14">
      <c r="A46" s="78" t="s">
        <v>262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</row>
    <row r="47" spans="1:14">
      <c r="A47" s="80" t="s">
        <v>51</v>
      </c>
      <c r="B47" s="80" t="s">
        <v>52</v>
      </c>
      <c r="C47" s="80" t="s">
        <v>178</v>
      </c>
      <c r="D47" s="80" t="s">
        <v>357</v>
      </c>
      <c r="E47" s="80" t="s">
        <v>53</v>
      </c>
      <c r="F47" s="80" t="s">
        <v>54</v>
      </c>
      <c r="G47" s="80" t="s">
        <v>179</v>
      </c>
      <c r="H47" s="80" t="s">
        <v>180</v>
      </c>
      <c r="I47" s="80" t="s">
        <v>181</v>
      </c>
      <c r="J47" s="80" t="s">
        <v>182</v>
      </c>
      <c r="K47" s="80" t="s">
        <v>358</v>
      </c>
      <c r="L47" s="81" t="s">
        <v>185</v>
      </c>
      <c r="M47" s="80" t="s">
        <v>187</v>
      </c>
      <c r="N47" s="80" t="s">
        <v>188</v>
      </c>
    </row>
    <row r="48" ht="31" spans="1:14">
      <c r="A48" s="82" t="s">
        <v>31</v>
      </c>
      <c r="B48" s="82">
        <v>2</v>
      </c>
      <c r="C48" s="82" t="s">
        <v>172</v>
      </c>
      <c r="D48" s="82" t="s">
        <v>116</v>
      </c>
      <c r="E48" s="82" t="s">
        <v>66</v>
      </c>
      <c r="F48" s="82" t="s">
        <v>67</v>
      </c>
      <c r="G48" s="82" t="s">
        <v>263</v>
      </c>
      <c r="H48" s="82" t="s">
        <v>244</v>
      </c>
      <c r="I48" s="82" t="s">
        <v>195</v>
      </c>
      <c r="J48" s="82" t="s">
        <v>192</v>
      </c>
      <c r="K48" s="82" t="s">
        <v>420</v>
      </c>
      <c r="L48" s="83">
        <v>4200</v>
      </c>
      <c r="M48" s="82" t="s">
        <v>445</v>
      </c>
      <c r="N48" s="82"/>
    </row>
    <row r="49" ht="31" spans="1:14">
      <c r="A49" s="82" t="s">
        <v>31</v>
      </c>
      <c r="B49" s="82">
        <v>3</v>
      </c>
      <c r="C49" s="82" t="s">
        <v>172</v>
      </c>
      <c r="D49" s="82" t="s">
        <v>116</v>
      </c>
      <c r="E49" s="82" t="s">
        <v>117</v>
      </c>
      <c r="F49" s="82" t="s">
        <v>118</v>
      </c>
      <c r="G49" s="82" t="s">
        <v>263</v>
      </c>
      <c r="H49" s="82" t="s">
        <v>264</v>
      </c>
      <c r="I49" s="82" t="s">
        <v>264</v>
      </c>
      <c r="J49" s="82" t="s">
        <v>203</v>
      </c>
      <c r="K49" s="82" t="s">
        <v>432</v>
      </c>
      <c r="L49" s="83">
        <v>288000</v>
      </c>
      <c r="M49" s="82" t="s">
        <v>449</v>
      </c>
      <c r="N49" s="82"/>
    </row>
    <row r="50" ht="31" spans="1:14">
      <c r="A50" s="82" t="s">
        <v>31</v>
      </c>
      <c r="B50" s="82">
        <v>4</v>
      </c>
      <c r="C50" s="82" t="s">
        <v>172</v>
      </c>
      <c r="D50" s="82" t="s">
        <v>116</v>
      </c>
      <c r="E50" s="82" t="s">
        <v>66</v>
      </c>
      <c r="F50" s="82" t="s">
        <v>67</v>
      </c>
      <c r="G50" s="82" t="s">
        <v>263</v>
      </c>
      <c r="H50" s="82" t="s">
        <v>244</v>
      </c>
      <c r="I50" s="82" t="s">
        <v>208</v>
      </c>
      <c r="J50" s="82" t="s">
        <v>192</v>
      </c>
      <c r="K50" s="82" t="s">
        <v>420</v>
      </c>
      <c r="L50" s="83">
        <v>4200</v>
      </c>
      <c r="M50" s="82" t="s">
        <v>445</v>
      </c>
      <c r="N50" s="82"/>
    </row>
    <row r="51" spans="1:14">
      <c r="A51" s="78" t="s">
        <v>267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</row>
    <row r="52" spans="1:14">
      <c r="A52" s="80" t="s">
        <v>51</v>
      </c>
      <c r="B52" s="80" t="s">
        <v>52</v>
      </c>
      <c r="C52" s="80" t="s">
        <v>178</v>
      </c>
      <c r="D52" s="80" t="s">
        <v>357</v>
      </c>
      <c r="E52" s="80" t="s">
        <v>53</v>
      </c>
      <c r="F52" s="80" t="s">
        <v>54</v>
      </c>
      <c r="G52" s="80" t="s">
        <v>179</v>
      </c>
      <c r="H52" s="80" t="s">
        <v>180</v>
      </c>
      <c r="I52" s="80" t="s">
        <v>181</v>
      </c>
      <c r="J52" s="80" t="s">
        <v>182</v>
      </c>
      <c r="K52" s="80" t="s">
        <v>358</v>
      </c>
      <c r="L52" s="81" t="s">
        <v>185</v>
      </c>
      <c r="M52" s="80" t="s">
        <v>187</v>
      </c>
      <c r="N52" s="80" t="s">
        <v>188</v>
      </c>
    </row>
    <row r="53" ht="31" spans="1:14">
      <c r="A53" s="82" t="s">
        <v>32</v>
      </c>
      <c r="B53" s="82">
        <v>2</v>
      </c>
      <c r="C53" s="82" t="s">
        <v>172</v>
      </c>
      <c r="D53" s="82" t="s">
        <v>394</v>
      </c>
      <c r="E53" s="82" t="s">
        <v>66</v>
      </c>
      <c r="F53" s="82" t="s">
        <v>67</v>
      </c>
      <c r="G53" s="82" t="s">
        <v>268</v>
      </c>
      <c r="H53" s="82" t="s">
        <v>244</v>
      </c>
      <c r="I53" s="82" t="s">
        <v>195</v>
      </c>
      <c r="J53" s="82" t="s">
        <v>192</v>
      </c>
      <c r="K53" s="82" t="s">
        <v>420</v>
      </c>
      <c r="L53" s="83">
        <v>4200</v>
      </c>
      <c r="M53" s="82" t="s">
        <v>445</v>
      </c>
      <c r="N53" s="82"/>
    </row>
    <row r="54" ht="31" spans="1:14">
      <c r="A54" s="82" t="s">
        <v>32</v>
      </c>
      <c r="B54" s="82">
        <v>3</v>
      </c>
      <c r="C54" s="82" t="s">
        <v>172</v>
      </c>
      <c r="D54" s="82" t="s">
        <v>394</v>
      </c>
      <c r="E54" s="82" t="s">
        <v>120</v>
      </c>
      <c r="F54" s="82" t="s">
        <v>121</v>
      </c>
      <c r="G54" s="82" t="s">
        <v>268</v>
      </c>
      <c r="H54" s="82" t="s">
        <v>271</v>
      </c>
      <c r="I54" s="82" t="s">
        <v>271</v>
      </c>
      <c r="J54" s="82" t="s">
        <v>203</v>
      </c>
      <c r="K54" s="82" t="s">
        <v>450</v>
      </c>
      <c r="L54" s="83">
        <v>50850</v>
      </c>
      <c r="M54" s="82" t="s">
        <v>451</v>
      </c>
      <c r="N54" s="82"/>
    </row>
    <row r="55" ht="31" spans="1:14">
      <c r="A55" s="82" t="s">
        <v>32</v>
      </c>
      <c r="B55" s="82">
        <v>4</v>
      </c>
      <c r="C55" s="82" t="s">
        <v>172</v>
      </c>
      <c r="D55" s="82" t="s">
        <v>394</v>
      </c>
      <c r="E55" s="82" t="s">
        <v>66</v>
      </c>
      <c r="F55" s="82" t="s">
        <v>67</v>
      </c>
      <c r="G55" s="82" t="s">
        <v>268</v>
      </c>
      <c r="H55" s="82" t="s">
        <v>244</v>
      </c>
      <c r="I55" s="82" t="s">
        <v>208</v>
      </c>
      <c r="J55" s="82" t="s">
        <v>192</v>
      </c>
      <c r="K55" s="82" t="s">
        <v>420</v>
      </c>
      <c r="L55" s="83">
        <v>4200</v>
      </c>
      <c r="M55" s="82" t="s">
        <v>445</v>
      </c>
      <c r="N55" s="82"/>
    </row>
    <row r="56" ht="46" spans="1:14">
      <c r="A56" s="82" t="s">
        <v>32</v>
      </c>
      <c r="B56" s="82">
        <v>6</v>
      </c>
      <c r="C56" s="82" t="s">
        <v>172</v>
      </c>
      <c r="D56" s="82" t="s">
        <v>394</v>
      </c>
      <c r="E56" s="82" t="s">
        <v>123</v>
      </c>
      <c r="F56" s="82" t="s">
        <v>123</v>
      </c>
      <c r="G56" s="82" t="s">
        <v>268</v>
      </c>
      <c r="H56" s="82" t="s">
        <v>333</v>
      </c>
      <c r="I56" s="82" t="s">
        <v>275</v>
      </c>
      <c r="J56" s="82" t="s">
        <v>192</v>
      </c>
      <c r="K56" s="82" t="s">
        <v>378</v>
      </c>
      <c r="L56" s="83">
        <v>16500</v>
      </c>
      <c r="M56" s="82" t="s">
        <v>452</v>
      </c>
      <c r="N56" s="82" t="s">
        <v>277</v>
      </c>
    </row>
    <row r="57" spans="1:14">
      <c r="A57" s="78" t="s">
        <v>453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</row>
    <row r="58" spans="1:14">
      <c r="A58" s="80" t="s">
        <v>51</v>
      </c>
      <c r="B58" s="80" t="s">
        <v>52</v>
      </c>
      <c r="C58" s="80" t="s">
        <v>178</v>
      </c>
      <c r="D58" s="80" t="s">
        <v>357</v>
      </c>
      <c r="E58" s="80" t="s">
        <v>53</v>
      </c>
      <c r="F58" s="80" t="s">
        <v>54</v>
      </c>
      <c r="G58" s="80" t="s">
        <v>179</v>
      </c>
      <c r="H58" s="80" t="s">
        <v>180</v>
      </c>
      <c r="I58" s="80" t="s">
        <v>181</v>
      </c>
      <c r="J58" s="80" t="s">
        <v>182</v>
      </c>
      <c r="K58" s="80" t="s">
        <v>358</v>
      </c>
      <c r="L58" s="81" t="s">
        <v>185</v>
      </c>
      <c r="M58" s="80" t="s">
        <v>187</v>
      </c>
      <c r="N58" s="80" t="s">
        <v>188</v>
      </c>
    </row>
    <row r="59" ht="31" spans="1:14">
      <c r="A59" s="82" t="s">
        <v>34</v>
      </c>
      <c r="B59" s="82">
        <v>2</v>
      </c>
      <c r="C59" s="82" t="s">
        <v>172</v>
      </c>
      <c r="D59" s="82" t="s">
        <v>399</v>
      </c>
      <c r="E59" s="82" t="s">
        <v>66</v>
      </c>
      <c r="F59" s="82" t="s">
        <v>67</v>
      </c>
      <c r="G59" s="82" t="s">
        <v>280</v>
      </c>
      <c r="H59" s="82" t="s">
        <v>244</v>
      </c>
      <c r="I59" s="82" t="s">
        <v>195</v>
      </c>
      <c r="J59" s="82" t="s">
        <v>192</v>
      </c>
      <c r="K59" s="82" t="s">
        <v>420</v>
      </c>
      <c r="L59" s="83">
        <v>4200</v>
      </c>
      <c r="M59" s="82" t="s">
        <v>445</v>
      </c>
      <c r="N59" s="82"/>
    </row>
    <row r="60" ht="31" spans="1:14">
      <c r="A60" s="82" t="s">
        <v>34</v>
      </c>
      <c r="B60" s="82">
        <v>3</v>
      </c>
      <c r="C60" s="82" t="s">
        <v>172</v>
      </c>
      <c r="D60" s="82" t="s">
        <v>399</v>
      </c>
      <c r="E60" s="82" t="s">
        <v>125</v>
      </c>
      <c r="F60" s="82" t="s">
        <v>126</v>
      </c>
      <c r="G60" s="82" t="s">
        <v>280</v>
      </c>
      <c r="H60" s="82" t="s">
        <v>207</v>
      </c>
      <c r="I60" s="82" t="s">
        <v>208</v>
      </c>
      <c r="J60" s="82" t="s">
        <v>199</v>
      </c>
      <c r="K60" s="82" t="s">
        <v>427</v>
      </c>
      <c r="L60" s="83">
        <v>5000</v>
      </c>
      <c r="M60" s="82" t="s">
        <v>428</v>
      </c>
      <c r="N60" s="82"/>
    </row>
    <row r="61" ht="31" spans="1:14">
      <c r="A61" s="82" t="s">
        <v>34</v>
      </c>
      <c r="B61" s="82">
        <v>4</v>
      </c>
      <c r="C61" s="82" t="s">
        <v>172</v>
      </c>
      <c r="D61" s="82" t="s">
        <v>399</v>
      </c>
      <c r="E61" s="82" t="s">
        <v>66</v>
      </c>
      <c r="F61" s="82" t="s">
        <v>67</v>
      </c>
      <c r="G61" s="82" t="s">
        <v>280</v>
      </c>
      <c r="H61" s="82" t="s">
        <v>244</v>
      </c>
      <c r="I61" s="82" t="s">
        <v>208</v>
      </c>
      <c r="J61" s="82" t="s">
        <v>192</v>
      </c>
      <c r="K61" s="82" t="s">
        <v>420</v>
      </c>
      <c r="L61" s="83">
        <v>4200</v>
      </c>
      <c r="M61" s="82" t="s">
        <v>445</v>
      </c>
      <c r="N61" s="82"/>
    </row>
    <row r="62" spans="1:14">
      <c r="A62" s="78" t="s">
        <v>282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</row>
    <row r="63" spans="1:14">
      <c r="A63" s="80" t="s">
        <v>51</v>
      </c>
      <c r="B63" s="80" t="s">
        <v>52</v>
      </c>
      <c r="C63" s="80" t="s">
        <v>178</v>
      </c>
      <c r="D63" s="80" t="s">
        <v>357</v>
      </c>
      <c r="E63" s="80" t="s">
        <v>53</v>
      </c>
      <c r="F63" s="80" t="s">
        <v>54</v>
      </c>
      <c r="G63" s="80" t="s">
        <v>179</v>
      </c>
      <c r="H63" s="80" t="s">
        <v>180</v>
      </c>
      <c r="I63" s="80" t="s">
        <v>181</v>
      </c>
      <c r="J63" s="80" t="s">
        <v>182</v>
      </c>
      <c r="K63" s="80" t="s">
        <v>358</v>
      </c>
      <c r="L63" s="81" t="s">
        <v>185</v>
      </c>
      <c r="M63" s="80" t="s">
        <v>187</v>
      </c>
      <c r="N63" s="80" t="s">
        <v>188</v>
      </c>
    </row>
    <row r="64" ht="31" spans="1:14">
      <c r="A64" s="82" t="s">
        <v>36</v>
      </c>
      <c r="B64" s="82">
        <v>2</v>
      </c>
      <c r="C64" s="82" t="s">
        <v>172</v>
      </c>
      <c r="D64" s="82" t="s">
        <v>127</v>
      </c>
      <c r="E64" s="82" t="s">
        <v>66</v>
      </c>
      <c r="F64" s="82" t="s">
        <v>67</v>
      </c>
      <c r="G64" s="82" t="s">
        <v>283</v>
      </c>
      <c r="H64" s="82" t="s">
        <v>244</v>
      </c>
      <c r="I64" s="82" t="s">
        <v>195</v>
      </c>
      <c r="J64" s="82" t="s">
        <v>192</v>
      </c>
      <c r="K64" s="82" t="s">
        <v>420</v>
      </c>
      <c r="L64" s="83">
        <v>4200</v>
      </c>
      <c r="M64" s="82" t="s">
        <v>445</v>
      </c>
      <c r="N64" s="82"/>
    </row>
    <row r="65" ht="31" spans="1:14">
      <c r="A65" s="82" t="s">
        <v>36</v>
      </c>
      <c r="B65" s="82">
        <v>3</v>
      </c>
      <c r="C65" s="82" t="s">
        <v>172</v>
      </c>
      <c r="D65" s="82" t="s">
        <v>127</v>
      </c>
      <c r="E65" s="82" t="s">
        <v>128</v>
      </c>
      <c r="F65" s="82" t="s">
        <v>129</v>
      </c>
      <c r="G65" s="82" t="s">
        <v>283</v>
      </c>
      <c r="H65" s="82" t="s">
        <v>284</v>
      </c>
      <c r="I65" s="82" t="s">
        <v>284</v>
      </c>
      <c r="J65" s="82" t="s">
        <v>203</v>
      </c>
      <c r="K65" s="82" t="s">
        <v>454</v>
      </c>
      <c r="L65" s="83">
        <v>15000</v>
      </c>
      <c r="M65" s="82" t="s">
        <v>455</v>
      </c>
      <c r="N65" s="82"/>
    </row>
    <row r="66" ht="31" spans="1:14">
      <c r="A66" s="82" t="s">
        <v>36</v>
      </c>
      <c r="B66" s="82">
        <v>4</v>
      </c>
      <c r="C66" s="82" t="s">
        <v>172</v>
      </c>
      <c r="D66" s="82" t="s">
        <v>127</v>
      </c>
      <c r="E66" s="82" t="s">
        <v>66</v>
      </c>
      <c r="F66" s="82" t="s">
        <v>67</v>
      </c>
      <c r="G66" s="82" t="s">
        <v>283</v>
      </c>
      <c r="H66" s="82" t="s">
        <v>244</v>
      </c>
      <c r="I66" s="82" t="s">
        <v>208</v>
      </c>
      <c r="J66" s="82" t="s">
        <v>192</v>
      </c>
      <c r="K66" s="82" t="s">
        <v>420</v>
      </c>
      <c r="L66" s="83">
        <v>4200</v>
      </c>
      <c r="M66" s="82" t="s">
        <v>445</v>
      </c>
      <c r="N66" s="82"/>
    </row>
    <row r="67" spans="1:14">
      <c r="A67" s="78" t="s">
        <v>287</v>
      </c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</row>
    <row r="68" spans="1:14">
      <c r="A68" s="80" t="s">
        <v>51</v>
      </c>
      <c r="B68" s="80" t="s">
        <v>52</v>
      </c>
      <c r="C68" s="80" t="s">
        <v>178</v>
      </c>
      <c r="D68" s="80" t="s">
        <v>357</v>
      </c>
      <c r="E68" s="80" t="s">
        <v>53</v>
      </c>
      <c r="F68" s="80" t="s">
        <v>54</v>
      </c>
      <c r="G68" s="80" t="s">
        <v>179</v>
      </c>
      <c r="H68" s="80" t="s">
        <v>180</v>
      </c>
      <c r="I68" s="80" t="s">
        <v>181</v>
      </c>
      <c r="J68" s="80" t="s">
        <v>182</v>
      </c>
      <c r="K68" s="80" t="s">
        <v>358</v>
      </c>
      <c r="L68" s="81" t="s">
        <v>185</v>
      </c>
      <c r="M68" s="80" t="s">
        <v>187</v>
      </c>
      <c r="N68" s="80" t="s">
        <v>188</v>
      </c>
    </row>
    <row r="69" ht="31" spans="1:14">
      <c r="A69" s="82" t="s">
        <v>37</v>
      </c>
      <c r="B69" s="82">
        <v>2</v>
      </c>
      <c r="C69" s="82" t="s">
        <v>172</v>
      </c>
      <c r="D69" s="82" t="s">
        <v>130</v>
      </c>
      <c r="E69" s="82" t="s">
        <v>66</v>
      </c>
      <c r="F69" s="82" t="s">
        <v>67</v>
      </c>
      <c r="G69" s="82" t="s">
        <v>288</v>
      </c>
      <c r="H69" s="82" t="s">
        <v>244</v>
      </c>
      <c r="I69" s="82" t="s">
        <v>195</v>
      </c>
      <c r="J69" s="82" t="s">
        <v>192</v>
      </c>
      <c r="K69" s="82" t="s">
        <v>420</v>
      </c>
      <c r="L69" s="83">
        <v>4200</v>
      </c>
      <c r="M69" s="82" t="s">
        <v>445</v>
      </c>
      <c r="N69" s="82"/>
    </row>
    <row r="70" ht="31" spans="1:14">
      <c r="A70" s="82" t="s">
        <v>37</v>
      </c>
      <c r="B70" s="82">
        <v>3</v>
      </c>
      <c r="C70" s="82" t="s">
        <v>172</v>
      </c>
      <c r="D70" s="82" t="s">
        <v>130</v>
      </c>
      <c r="E70" s="82" t="s">
        <v>131</v>
      </c>
      <c r="F70" s="82" t="s">
        <v>132</v>
      </c>
      <c r="G70" s="82" t="s">
        <v>288</v>
      </c>
      <c r="H70" s="82" t="s">
        <v>284</v>
      </c>
      <c r="I70" s="82" t="s">
        <v>284</v>
      </c>
      <c r="J70" s="82" t="s">
        <v>203</v>
      </c>
      <c r="K70" s="82" t="s">
        <v>456</v>
      </c>
      <c r="L70" s="83">
        <v>20000</v>
      </c>
      <c r="M70" s="82" t="s">
        <v>457</v>
      </c>
      <c r="N70" s="82"/>
    </row>
    <row r="71" ht="31" spans="1:14">
      <c r="A71" s="82" t="s">
        <v>37</v>
      </c>
      <c r="B71" s="82">
        <v>4</v>
      </c>
      <c r="C71" s="82" t="s">
        <v>172</v>
      </c>
      <c r="D71" s="82" t="s">
        <v>130</v>
      </c>
      <c r="E71" s="82" t="s">
        <v>66</v>
      </c>
      <c r="F71" s="82" t="s">
        <v>67</v>
      </c>
      <c r="G71" s="82" t="s">
        <v>288</v>
      </c>
      <c r="H71" s="82" t="s">
        <v>244</v>
      </c>
      <c r="I71" s="82" t="s">
        <v>208</v>
      </c>
      <c r="J71" s="82" t="s">
        <v>192</v>
      </c>
      <c r="K71" s="82" t="s">
        <v>420</v>
      </c>
      <c r="L71" s="83">
        <v>4200</v>
      </c>
      <c r="M71" s="82" t="s">
        <v>445</v>
      </c>
      <c r="N71" s="82"/>
    </row>
    <row r="72" spans="1:14">
      <c r="A72" s="78" t="s">
        <v>290</v>
      </c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</row>
    <row r="73" spans="1:14">
      <c r="A73" s="80" t="s">
        <v>51</v>
      </c>
      <c r="B73" s="80" t="s">
        <v>52</v>
      </c>
      <c r="C73" s="80" t="s">
        <v>178</v>
      </c>
      <c r="D73" s="80" t="s">
        <v>357</v>
      </c>
      <c r="E73" s="80" t="s">
        <v>53</v>
      </c>
      <c r="F73" s="80" t="s">
        <v>54</v>
      </c>
      <c r="G73" s="80" t="s">
        <v>179</v>
      </c>
      <c r="H73" s="80" t="s">
        <v>180</v>
      </c>
      <c r="I73" s="80" t="s">
        <v>181</v>
      </c>
      <c r="J73" s="80" t="s">
        <v>182</v>
      </c>
      <c r="K73" s="80" t="s">
        <v>358</v>
      </c>
      <c r="L73" s="81" t="s">
        <v>185</v>
      </c>
      <c r="M73" s="80" t="s">
        <v>187</v>
      </c>
      <c r="N73" s="80" t="s">
        <v>188</v>
      </c>
    </row>
    <row r="74" ht="31" spans="1:14">
      <c r="A74" s="82" t="s">
        <v>38</v>
      </c>
      <c r="B74" s="82">
        <v>2</v>
      </c>
      <c r="C74" s="82" t="s">
        <v>172</v>
      </c>
      <c r="D74" s="82" t="s">
        <v>133</v>
      </c>
      <c r="E74" s="82" t="s">
        <v>66</v>
      </c>
      <c r="F74" s="82" t="s">
        <v>67</v>
      </c>
      <c r="G74" s="82" t="s">
        <v>291</v>
      </c>
      <c r="H74" s="82" t="s">
        <v>244</v>
      </c>
      <c r="I74" s="82" t="s">
        <v>195</v>
      </c>
      <c r="J74" s="82" t="s">
        <v>192</v>
      </c>
      <c r="K74" s="82" t="s">
        <v>420</v>
      </c>
      <c r="L74" s="83">
        <v>4200</v>
      </c>
      <c r="M74" s="82" t="s">
        <v>445</v>
      </c>
      <c r="N74" s="82"/>
    </row>
    <row r="75" ht="31" spans="1:14">
      <c r="A75" s="82" t="s">
        <v>38</v>
      </c>
      <c r="B75" s="82">
        <v>3</v>
      </c>
      <c r="C75" s="82" t="s">
        <v>172</v>
      </c>
      <c r="D75" s="82" t="s">
        <v>133</v>
      </c>
      <c r="E75" s="82" t="s">
        <v>131</v>
      </c>
      <c r="F75" s="82" t="s">
        <v>134</v>
      </c>
      <c r="G75" s="82" t="s">
        <v>291</v>
      </c>
      <c r="H75" s="82" t="s">
        <v>292</v>
      </c>
      <c r="I75" s="82" t="s">
        <v>292</v>
      </c>
      <c r="J75" s="82" t="s">
        <v>203</v>
      </c>
      <c r="K75" s="82" t="s">
        <v>456</v>
      </c>
      <c r="L75" s="83">
        <v>22000</v>
      </c>
      <c r="M75" s="82" t="s">
        <v>458</v>
      </c>
      <c r="N75" s="82"/>
    </row>
    <row r="76" ht="31" spans="1:14">
      <c r="A76" s="82" t="s">
        <v>38</v>
      </c>
      <c r="B76" s="82">
        <v>4</v>
      </c>
      <c r="C76" s="82" t="s">
        <v>172</v>
      </c>
      <c r="D76" s="82" t="s">
        <v>133</v>
      </c>
      <c r="E76" s="82" t="s">
        <v>66</v>
      </c>
      <c r="F76" s="82" t="s">
        <v>67</v>
      </c>
      <c r="G76" s="82" t="s">
        <v>291</v>
      </c>
      <c r="H76" s="82" t="s">
        <v>244</v>
      </c>
      <c r="I76" s="82" t="s">
        <v>208</v>
      </c>
      <c r="J76" s="82" t="s">
        <v>192</v>
      </c>
      <c r="K76" s="82" t="s">
        <v>420</v>
      </c>
      <c r="L76" s="83">
        <v>4200</v>
      </c>
      <c r="M76" s="82" t="s">
        <v>445</v>
      </c>
      <c r="N76" s="82"/>
    </row>
    <row r="77" spans="1:14">
      <c r="A77" s="78" t="s">
        <v>295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</row>
    <row r="78" spans="1:14">
      <c r="A78" s="80" t="s">
        <v>51</v>
      </c>
      <c r="B78" s="80" t="s">
        <v>52</v>
      </c>
      <c r="C78" s="80" t="s">
        <v>178</v>
      </c>
      <c r="D78" s="80" t="s">
        <v>357</v>
      </c>
      <c r="E78" s="80" t="s">
        <v>53</v>
      </c>
      <c r="F78" s="80" t="s">
        <v>54</v>
      </c>
      <c r="G78" s="80" t="s">
        <v>179</v>
      </c>
      <c r="H78" s="80" t="s">
        <v>180</v>
      </c>
      <c r="I78" s="80" t="s">
        <v>181</v>
      </c>
      <c r="J78" s="80" t="s">
        <v>182</v>
      </c>
      <c r="K78" s="80" t="s">
        <v>358</v>
      </c>
      <c r="L78" s="81" t="s">
        <v>185</v>
      </c>
      <c r="M78" s="80" t="s">
        <v>187</v>
      </c>
      <c r="N78" s="80" t="s">
        <v>188</v>
      </c>
    </row>
    <row r="79" ht="31" spans="1:14">
      <c r="A79" s="82" t="s">
        <v>39</v>
      </c>
      <c r="B79" s="82">
        <v>2</v>
      </c>
      <c r="C79" s="82" t="s">
        <v>172</v>
      </c>
      <c r="D79" s="82" t="s">
        <v>405</v>
      </c>
      <c r="E79" s="82" t="s">
        <v>66</v>
      </c>
      <c r="F79" s="82" t="s">
        <v>67</v>
      </c>
      <c r="G79" s="82" t="s">
        <v>296</v>
      </c>
      <c r="H79" s="82" t="s">
        <v>244</v>
      </c>
      <c r="I79" s="82" t="s">
        <v>195</v>
      </c>
      <c r="J79" s="82" t="s">
        <v>192</v>
      </c>
      <c r="K79" s="82" t="s">
        <v>420</v>
      </c>
      <c r="L79" s="83">
        <v>4200</v>
      </c>
      <c r="M79" s="82" t="s">
        <v>445</v>
      </c>
      <c r="N79" s="82"/>
    </row>
    <row r="80" spans="1:14">
      <c r="A80" s="82" t="s">
        <v>39</v>
      </c>
      <c r="B80" s="82">
        <v>3</v>
      </c>
      <c r="C80" s="82" t="s">
        <v>172</v>
      </c>
      <c r="D80" s="82" t="s">
        <v>405</v>
      </c>
      <c r="E80" s="82" t="s">
        <v>137</v>
      </c>
      <c r="F80" s="82" t="s">
        <v>297</v>
      </c>
      <c r="G80" s="82" t="s">
        <v>296</v>
      </c>
      <c r="H80" s="82" t="s">
        <v>198</v>
      </c>
      <c r="I80" s="82" t="s">
        <v>198</v>
      </c>
      <c r="J80" s="82" t="s">
        <v>203</v>
      </c>
      <c r="K80" s="82" t="s">
        <v>459</v>
      </c>
      <c r="L80" s="83">
        <v>7200</v>
      </c>
      <c r="M80" s="82" t="s">
        <v>460</v>
      </c>
      <c r="N80" s="82"/>
    </row>
    <row r="81" ht="31" spans="1:14">
      <c r="A81" s="82" t="s">
        <v>39</v>
      </c>
      <c r="B81" s="82">
        <v>4</v>
      </c>
      <c r="C81" s="82" t="s">
        <v>172</v>
      </c>
      <c r="D81" s="82" t="s">
        <v>405</v>
      </c>
      <c r="E81" s="82" t="s">
        <v>66</v>
      </c>
      <c r="F81" s="82" t="s">
        <v>67</v>
      </c>
      <c r="G81" s="82" t="s">
        <v>296</v>
      </c>
      <c r="H81" s="82" t="s">
        <v>244</v>
      </c>
      <c r="I81" s="82" t="s">
        <v>208</v>
      </c>
      <c r="J81" s="82" t="s">
        <v>192</v>
      </c>
      <c r="K81" s="82" t="s">
        <v>420</v>
      </c>
      <c r="L81" s="83">
        <v>4200</v>
      </c>
      <c r="M81" s="82" t="s">
        <v>445</v>
      </c>
      <c r="N81" s="82"/>
    </row>
    <row r="82" spans="1:14">
      <c r="A82" s="78" t="s">
        <v>313</v>
      </c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</row>
    <row r="83" spans="1:14">
      <c r="A83" s="80" t="s">
        <v>51</v>
      </c>
      <c r="B83" s="80" t="s">
        <v>52</v>
      </c>
      <c r="C83" s="80" t="s">
        <v>178</v>
      </c>
      <c r="D83" s="80" t="s">
        <v>357</v>
      </c>
      <c r="E83" s="80" t="s">
        <v>53</v>
      </c>
      <c r="F83" s="80" t="s">
        <v>54</v>
      </c>
      <c r="G83" s="80" t="s">
        <v>179</v>
      </c>
      <c r="H83" s="80" t="s">
        <v>180</v>
      </c>
      <c r="I83" s="80" t="s">
        <v>181</v>
      </c>
      <c r="J83" s="80" t="s">
        <v>182</v>
      </c>
      <c r="K83" s="80" t="s">
        <v>358</v>
      </c>
      <c r="L83" s="81" t="s">
        <v>185</v>
      </c>
      <c r="M83" s="80" t="s">
        <v>187</v>
      </c>
      <c r="N83" s="80" t="s">
        <v>188</v>
      </c>
    </row>
    <row r="84" spans="1:14">
      <c r="A84" s="82" t="s">
        <v>407</v>
      </c>
      <c r="B84" s="89">
        <v>1</v>
      </c>
      <c r="C84" s="82" t="s">
        <v>172</v>
      </c>
      <c r="D84" s="82" t="s">
        <v>408</v>
      </c>
      <c r="E84" s="82" t="s">
        <v>221</v>
      </c>
      <c r="F84" s="82" t="s">
        <v>221</v>
      </c>
      <c r="G84" s="82"/>
      <c r="H84" s="82" t="s">
        <v>315</v>
      </c>
      <c r="I84" s="82"/>
      <c r="J84" s="82" t="s">
        <v>316</v>
      </c>
      <c r="K84" s="82" t="s">
        <v>461</v>
      </c>
      <c r="L84" s="83">
        <v>21600</v>
      </c>
      <c r="M84" s="82" t="s">
        <v>462</v>
      </c>
      <c r="N84" s="82" t="s">
        <v>463</v>
      </c>
    </row>
    <row r="85" spans="1:14">
      <c r="A85" s="82" t="s">
        <v>407</v>
      </c>
      <c r="B85" s="89">
        <v>2</v>
      </c>
      <c r="C85" s="82" t="s">
        <v>172</v>
      </c>
      <c r="D85" s="82" t="s">
        <v>408</v>
      </c>
      <c r="E85" s="82" t="s">
        <v>224</v>
      </c>
      <c r="F85" s="82" t="s">
        <v>224</v>
      </c>
      <c r="G85" s="82"/>
      <c r="H85" s="82" t="s">
        <v>320</v>
      </c>
      <c r="I85" s="82"/>
      <c r="J85" s="82" t="s">
        <v>321</v>
      </c>
      <c r="K85" s="82" t="s">
        <v>410</v>
      </c>
      <c r="L85" s="83">
        <v>0</v>
      </c>
      <c r="M85" s="82" t="s">
        <v>464</v>
      </c>
      <c r="N85" s="82" t="s">
        <v>465</v>
      </c>
    </row>
    <row r="86" spans="1:14">
      <c r="A86" s="76" t="s">
        <v>324</v>
      </c>
      <c r="B86" s="77" t="s">
        <v>413</v>
      </c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</row>
    <row r="87" spans="1:14">
      <c r="A87" s="78" t="s">
        <v>326</v>
      </c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</row>
    <row r="88" spans="1:14">
      <c r="A88" s="80" t="s">
        <v>51</v>
      </c>
      <c r="B88" s="80" t="s">
        <v>52</v>
      </c>
      <c r="C88" s="80" t="s">
        <v>178</v>
      </c>
      <c r="D88" s="80" t="s">
        <v>357</v>
      </c>
      <c r="E88" s="80" t="s">
        <v>53</v>
      </c>
      <c r="F88" s="80" t="s">
        <v>54</v>
      </c>
      <c r="G88" s="80" t="s">
        <v>179</v>
      </c>
      <c r="H88" s="80" t="s">
        <v>180</v>
      </c>
      <c r="I88" s="80" t="s">
        <v>181</v>
      </c>
      <c r="J88" s="80" t="s">
        <v>182</v>
      </c>
      <c r="K88" s="80" t="s">
        <v>358</v>
      </c>
      <c r="L88" s="81" t="s">
        <v>185</v>
      </c>
      <c r="M88" s="80" t="s">
        <v>187</v>
      </c>
      <c r="N88" s="80" t="s">
        <v>188</v>
      </c>
    </row>
    <row r="89" ht="31" spans="1:14">
      <c r="A89" s="82" t="s">
        <v>26</v>
      </c>
      <c r="B89" s="82">
        <v>2</v>
      </c>
      <c r="C89" s="82" t="s">
        <v>175</v>
      </c>
      <c r="D89" s="82" t="s">
        <v>48</v>
      </c>
      <c r="E89" s="82" t="s">
        <v>66</v>
      </c>
      <c r="F89" s="82" t="s">
        <v>67</v>
      </c>
      <c r="G89" s="82" t="s">
        <v>189</v>
      </c>
      <c r="H89" s="82" t="s">
        <v>190</v>
      </c>
      <c r="I89" s="82" t="s">
        <v>195</v>
      </c>
      <c r="J89" s="82" t="s">
        <v>192</v>
      </c>
      <c r="K89" s="82" t="s">
        <v>420</v>
      </c>
      <c r="L89" s="83">
        <v>9800</v>
      </c>
      <c r="M89" s="82" t="s">
        <v>421</v>
      </c>
      <c r="N89" s="82"/>
    </row>
    <row r="90" ht="31" spans="1:14">
      <c r="A90" s="82" t="s">
        <v>26</v>
      </c>
      <c r="B90" s="82">
        <v>3</v>
      </c>
      <c r="C90" s="82" t="s">
        <v>175</v>
      </c>
      <c r="D90" s="82" t="s">
        <v>48</v>
      </c>
      <c r="E90" s="82" t="s">
        <v>68</v>
      </c>
      <c r="F90" s="82" t="s">
        <v>69</v>
      </c>
      <c r="G90" s="82" t="s">
        <v>197</v>
      </c>
      <c r="H90" s="82"/>
      <c r="I90" s="82" t="s">
        <v>198</v>
      </c>
      <c r="J90" s="82" t="s">
        <v>199</v>
      </c>
      <c r="K90" s="82" t="s">
        <v>422</v>
      </c>
      <c r="L90" s="83">
        <v>24000</v>
      </c>
      <c r="M90" s="82" t="s">
        <v>423</v>
      </c>
      <c r="N90" s="82" t="s">
        <v>363</v>
      </c>
    </row>
    <row r="91" spans="1:14">
      <c r="A91" s="82" t="s">
        <v>26</v>
      </c>
      <c r="B91" s="82">
        <v>4</v>
      </c>
      <c r="C91" s="82" t="s">
        <v>175</v>
      </c>
      <c r="D91" s="82" t="s">
        <v>48</v>
      </c>
      <c r="E91" s="82" t="s">
        <v>70</v>
      </c>
      <c r="F91" s="82" t="s">
        <v>71</v>
      </c>
      <c r="G91" s="82" t="s">
        <v>197</v>
      </c>
      <c r="H91" s="82" t="s">
        <v>202</v>
      </c>
      <c r="I91" s="82" t="s">
        <v>202</v>
      </c>
      <c r="J91" s="82" t="s">
        <v>203</v>
      </c>
      <c r="K91" s="82" t="s">
        <v>424</v>
      </c>
      <c r="L91" s="83">
        <v>600</v>
      </c>
      <c r="M91" s="82" t="s">
        <v>425</v>
      </c>
      <c r="N91" s="82"/>
    </row>
    <row r="92" spans="1:14">
      <c r="A92" s="82" t="s">
        <v>26</v>
      </c>
      <c r="B92" s="82">
        <v>5</v>
      </c>
      <c r="C92" s="82" t="s">
        <v>175</v>
      </c>
      <c r="D92" s="82" t="s">
        <v>48</v>
      </c>
      <c r="E92" s="82" t="s">
        <v>72</v>
      </c>
      <c r="F92" s="82" t="s">
        <v>73</v>
      </c>
      <c r="G92" s="82" t="s">
        <v>197</v>
      </c>
      <c r="H92" s="82" t="s">
        <v>202</v>
      </c>
      <c r="I92" s="82" t="s">
        <v>202</v>
      </c>
      <c r="J92" s="82" t="s">
        <v>203</v>
      </c>
      <c r="K92" s="82" t="s">
        <v>424</v>
      </c>
      <c r="L92" s="83">
        <v>600</v>
      </c>
      <c r="M92" s="82" t="s">
        <v>425</v>
      </c>
      <c r="N92" s="82"/>
    </row>
    <row r="93" spans="1:14">
      <c r="A93" s="82" t="s">
        <v>26</v>
      </c>
      <c r="B93" s="82">
        <v>6</v>
      </c>
      <c r="C93" s="82" t="s">
        <v>175</v>
      </c>
      <c r="D93" s="82" t="s">
        <v>48</v>
      </c>
      <c r="E93" s="82" t="s">
        <v>74</v>
      </c>
      <c r="F93" s="82" t="s">
        <v>75</v>
      </c>
      <c r="G93" s="82" t="s">
        <v>197</v>
      </c>
      <c r="H93" s="82" t="s">
        <v>202</v>
      </c>
      <c r="I93" s="82" t="s">
        <v>202</v>
      </c>
      <c r="J93" s="82" t="s">
        <v>203</v>
      </c>
      <c r="K93" s="82" t="s">
        <v>424</v>
      </c>
      <c r="L93" s="83">
        <v>600</v>
      </c>
      <c r="M93" s="82" t="s">
        <v>425</v>
      </c>
      <c r="N93" s="82"/>
    </row>
    <row r="94" spans="1:14">
      <c r="A94" s="82" t="s">
        <v>26</v>
      </c>
      <c r="B94" s="82">
        <v>7</v>
      </c>
      <c r="C94" s="82" t="s">
        <v>175</v>
      </c>
      <c r="D94" s="82" t="s">
        <v>48</v>
      </c>
      <c r="E94" s="82" t="s">
        <v>76</v>
      </c>
      <c r="F94" s="82" t="s">
        <v>77</v>
      </c>
      <c r="G94" s="82" t="s">
        <v>197</v>
      </c>
      <c r="H94" s="82" t="s">
        <v>205</v>
      </c>
      <c r="I94" s="82" t="s">
        <v>205</v>
      </c>
      <c r="J94" s="82" t="s">
        <v>203</v>
      </c>
      <c r="K94" s="82" t="s">
        <v>424</v>
      </c>
      <c r="L94" s="83">
        <v>2400</v>
      </c>
      <c r="M94" s="82" t="s">
        <v>426</v>
      </c>
      <c r="N94" s="82"/>
    </row>
    <row r="95" spans="1:14">
      <c r="A95" s="82" t="s">
        <v>26</v>
      </c>
      <c r="B95" s="82">
        <v>8</v>
      </c>
      <c r="C95" s="82" t="s">
        <v>175</v>
      </c>
      <c r="D95" s="82" t="s">
        <v>48</v>
      </c>
      <c r="E95" s="82" t="s">
        <v>78</v>
      </c>
      <c r="F95" s="82" t="s">
        <v>79</v>
      </c>
      <c r="G95" s="82" t="s">
        <v>197</v>
      </c>
      <c r="H95" s="82" t="s">
        <v>207</v>
      </c>
      <c r="I95" s="82" t="s">
        <v>208</v>
      </c>
      <c r="J95" s="82" t="s">
        <v>199</v>
      </c>
      <c r="K95" s="82" t="s">
        <v>427</v>
      </c>
      <c r="L95" s="83">
        <v>5000</v>
      </c>
      <c r="M95" s="82" t="s">
        <v>428</v>
      </c>
      <c r="N95" s="82"/>
    </row>
    <row r="96" spans="1:14">
      <c r="A96" s="82" t="s">
        <v>26</v>
      </c>
      <c r="B96" s="82">
        <v>9</v>
      </c>
      <c r="C96" s="82" t="s">
        <v>175</v>
      </c>
      <c r="D96" s="82" t="s">
        <v>48</v>
      </c>
      <c r="E96" s="82" t="s">
        <v>80</v>
      </c>
      <c r="F96" s="82" t="s">
        <v>81</v>
      </c>
      <c r="G96" s="82" t="s">
        <v>197</v>
      </c>
      <c r="H96" s="82" t="s">
        <v>210</v>
      </c>
      <c r="I96" s="82" t="s">
        <v>210</v>
      </c>
      <c r="J96" s="82" t="s">
        <v>203</v>
      </c>
      <c r="K96" s="82" t="s">
        <v>424</v>
      </c>
      <c r="L96" s="83">
        <v>6000</v>
      </c>
      <c r="M96" s="82" t="s">
        <v>429</v>
      </c>
      <c r="N96" s="82"/>
    </row>
    <row r="97" spans="1:14">
      <c r="A97" s="82" t="s">
        <v>26</v>
      </c>
      <c r="B97" s="82">
        <v>10</v>
      </c>
      <c r="C97" s="82" t="s">
        <v>175</v>
      </c>
      <c r="D97" s="82" t="s">
        <v>48</v>
      </c>
      <c r="E97" s="82" t="s">
        <v>82</v>
      </c>
      <c r="F97" s="82" t="s">
        <v>83</v>
      </c>
      <c r="G97" s="82" t="s">
        <v>197</v>
      </c>
      <c r="H97" s="82" t="s">
        <v>212</v>
      </c>
      <c r="I97" s="82" t="s">
        <v>212</v>
      </c>
      <c r="J97" s="82" t="s">
        <v>203</v>
      </c>
      <c r="K97" s="82" t="s">
        <v>430</v>
      </c>
      <c r="L97" s="83">
        <v>7350</v>
      </c>
      <c r="M97" s="82" t="s">
        <v>431</v>
      </c>
      <c r="N97" s="82"/>
    </row>
    <row r="98" spans="1:14">
      <c r="A98" s="82" t="s">
        <v>26</v>
      </c>
      <c r="B98" s="82">
        <v>11</v>
      </c>
      <c r="C98" s="82" t="s">
        <v>175</v>
      </c>
      <c r="D98" s="82" t="s">
        <v>48</v>
      </c>
      <c r="E98" s="82" t="s">
        <v>84</v>
      </c>
      <c r="F98" s="82" t="s">
        <v>85</v>
      </c>
      <c r="G98" s="82" t="s">
        <v>197</v>
      </c>
      <c r="H98" s="82" t="s">
        <v>208</v>
      </c>
      <c r="I98" s="82" t="s">
        <v>208</v>
      </c>
      <c r="J98" s="82" t="s">
        <v>203</v>
      </c>
      <c r="K98" s="82" t="s">
        <v>432</v>
      </c>
      <c r="L98" s="83">
        <v>19200</v>
      </c>
      <c r="M98" s="82" t="s">
        <v>433</v>
      </c>
      <c r="N98" s="82"/>
    </row>
    <row r="99" spans="1:14">
      <c r="A99" s="82" t="s">
        <v>26</v>
      </c>
      <c r="B99" s="82">
        <v>12</v>
      </c>
      <c r="C99" s="82" t="s">
        <v>175</v>
      </c>
      <c r="D99" s="82" t="s">
        <v>48</v>
      </c>
      <c r="E99" s="82" t="s">
        <v>86</v>
      </c>
      <c r="F99" s="82" t="s">
        <v>87</v>
      </c>
      <c r="G99" s="82" t="s">
        <v>189</v>
      </c>
      <c r="H99" s="82" t="s">
        <v>190</v>
      </c>
      <c r="I99" s="82" t="s">
        <v>208</v>
      </c>
      <c r="J99" s="82" t="s">
        <v>192</v>
      </c>
      <c r="K99" s="82" t="s">
        <v>434</v>
      </c>
      <c r="L99" s="83">
        <v>1680</v>
      </c>
      <c r="M99" s="82" t="s">
        <v>435</v>
      </c>
      <c r="N99" s="82"/>
    </row>
    <row r="100" spans="1:14">
      <c r="A100" s="82" t="s">
        <v>26</v>
      </c>
      <c r="B100" s="82">
        <v>13</v>
      </c>
      <c r="C100" s="82" t="s">
        <v>175</v>
      </c>
      <c r="D100" s="82" t="s">
        <v>48</v>
      </c>
      <c r="E100" s="82" t="s">
        <v>88</v>
      </c>
      <c r="F100" s="82" t="s">
        <v>89</v>
      </c>
      <c r="G100" s="82" t="s">
        <v>197</v>
      </c>
      <c r="H100" s="82" t="s">
        <v>217</v>
      </c>
      <c r="I100" s="82" t="s">
        <v>208</v>
      </c>
      <c r="J100" s="82" t="s">
        <v>192</v>
      </c>
      <c r="K100" s="82" t="s">
        <v>436</v>
      </c>
      <c r="L100" s="83">
        <v>2004</v>
      </c>
      <c r="M100" s="82" t="s">
        <v>437</v>
      </c>
      <c r="N100" s="82"/>
    </row>
    <row r="101" ht="31" spans="1:14">
      <c r="A101" s="82" t="s">
        <v>26</v>
      </c>
      <c r="B101" s="82">
        <v>14</v>
      </c>
      <c r="C101" s="82" t="s">
        <v>175</v>
      </c>
      <c r="D101" s="82" t="s">
        <v>48</v>
      </c>
      <c r="E101" s="82" t="s">
        <v>90</v>
      </c>
      <c r="F101" s="82" t="s">
        <v>91</v>
      </c>
      <c r="G101" s="82" t="s">
        <v>197</v>
      </c>
      <c r="H101" s="82" t="s">
        <v>217</v>
      </c>
      <c r="I101" s="82" t="s">
        <v>210</v>
      </c>
      <c r="J101" s="82" t="s">
        <v>192</v>
      </c>
      <c r="K101" s="82" t="s">
        <v>438</v>
      </c>
      <c r="L101" s="83">
        <v>120000</v>
      </c>
      <c r="M101" s="82" t="s">
        <v>439</v>
      </c>
      <c r="N101" s="82" t="s">
        <v>220</v>
      </c>
    </row>
    <row r="102" spans="1:14">
      <c r="A102" s="82" t="s">
        <v>26</v>
      </c>
      <c r="B102" s="82">
        <v>15</v>
      </c>
      <c r="C102" s="82" t="s">
        <v>175</v>
      </c>
      <c r="D102" s="82" t="s">
        <v>48</v>
      </c>
      <c r="E102" s="82" t="s">
        <v>92</v>
      </c>
      <c r="F102" s="82" t="s">
        <v>93</v>
      </c>
      <c r="G102" s="82" t="s">
        <v>197</v>
      </c>
      <c r="H102" s="82" t="s">
        <v>222</v>
      </c>
      <c r="I102" s="82" t="s">
        <v>222</v>
      </c>
      <c r="J102" s="82" t="s">
        <v>203</v>
      </c>
      <c r="K102" s="82" t="s">
        <v>424</v>
      </c>
      <c r="L102" s="83">
        <v>6600</v>
      </c>
      <c r="M102" s="82" t="s">
        <v>440</v>
      </c>
      <c r="N102" s="82"/>
    </row>
    <row r="103" spans="1:14">
      <c r="A103" s="82" t="s">
        <v>26</v>
      </c>
      <c r="B103" s="82">
        <v>16</v>
      </c>
      <c r="C103" s="82" t="s">
        <v>175</v>
      </c>
      <c r="D103" s="82" t="s">
        <v>48</v>
      </c>
      <c r="E103" s="82" t="s">
        <v>94</v>
      </c>
      <c r="F103" s="82" t="s">
        <v>95</v>
      </c>
      <c r="G103" s="82" t="s">
        <v>197</v>
      </c>
      <c r="H103" s="82" t="s">
        <v>217</v>
      </c>
      <c r="I103" s="82" t="s">
        <v>195</v>
      </c>
      <c r="J103" s="82" t="s">
        <v>192</v>
      </c>
      <c r="K103" s="82" t="s">
        <v>378</v>
      </c>
      <c r="L103" s="83">
        <v>6000</v>
      </c>
      <c r="M103" s="82" t="s">
        <v>225</v>
      </c>
      <c r="N103" s="82"/>
    </row>
    <row r="104" spans="1:14">
      <c r="A104" s="82" t="s">
        <v>26</v>
      </c>
      <c r="B104" s="82">
        <v>17</v>
      </c>
      <c r="C104" s="82" t="s">
        <v>175</v>
      </c>
      <c r="D104" s="82" t="s">
        <v>48</v>
      </c>
      <c r="E104" s="82" t="s">
        <v>96</v>
      </c>
      <c r="F104" s="82" t="s">
        <v>97</v>
      </c>
      <c r="G104" s="82" t="s">
        <v>197</v>
      </c>
      <c r="H104" s="82" t="s">
        <v>227</v>
      </c>
      <c r="I104" s="82" t="s">
        <v>198</v>
      </c>
      <c r="J104" s="82" t="s">
        <v>199</v>
      </c>
      <c r="K104" s="82" t="s">
        <v>379</v>
      </c>
      <c r="L104" s="83">
        <v>6000</v>
      </c>
      <c r="M104" s="82" t="s">
        <v>380</v>
      </c>
      <c r="N104" s="82"/>
    </row>
    <row r="105" ht="31" spans="1:14">
      <c r="A105" s="82" t="s">
        <v>26</v>
      </c>
      <c r="B105" s="82">
        <v>19</v>
      </c>
      <c r="C105" s="82" t="s">
        <v>175</v>
      </c>
      <c r="D105" s="82" t="s">
        <v>48</v>
      </c>
      <c r="E105" s="82" t="s">
        <v>66</v>
      </c>
      <c r="F105" s="82" t="s">
        <v>67</v>
      </c>
      <c r="G105" s="82" t="s">
        <v>189</v>
      </c>
      <c r="H105" s="82" t="s">
        <v>190</v>
      </c>
      <c r="I105" s="82" t="s">
        <v>195</v>
      </c>
      <c r="J105" s="82" t="s">
        <v>192</v>
      </c>
      <c r="K105" s="82" t="s">
        <v>420</v>
      </c>
      <c r="L105" s="83">
        <v>9800</v>
      </c>
      <c r="M105" s="82" t="s">
        <v>421</v>
      </c>
      <c r="N105" s="82"/>
    </row>
    <row r="106" spans="1:14">
      <c r="A106" s="78" t="s">
        <v>327</v>
      </c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</row>
    <row r="107" spans="1:14">
      <c r="A107" s="80" t="s">
        <v>51</v>
      </c>
      <c r="B107" s="80" t="s">
        <v>52</v>
      </c>
      <c r="C107" s="80" t="s">
        <v>178</v>
      </c>
      <c r="D107" s="80" t="s">
        <v>357</v>
      </c>
      <c r="E107" s="80" t="s">
        <v>53</v>
      </c>
      <c r="F107" s="80" t="s">
        <v>54</v>
      </c>
      <c r="G107" s="80" t="s">
        <v>179</v>
      </c>
      <c r="H107" s="80" t="s">
        <v>180</v>
      </c>
      <c r="I107" s="80" t="s">
        <v>181</v>
      </c>
      <c r="J107" s="80" t="s">
        <v>182</v>
      </c>
      <c r="K107" s="80" t="s">
        <v>358</v>
      </c>
      <c r="L107" s="81" t="s">
        <v>185</v>
      </c>
      <c r="M107" s="80" t="s">
        <v>187</v>
      </c>
      <c r="N107" s="80" t="s">
        <v>188</v>
      </c>
    </row>
    <row r="108" ht="31" spans="1:14">
      <c r="A108" s="82" t="s">
        <v>27</v>
      </c>
      <c r="B108" s="82">
        <v>2</v>
      </c>
      <c r="C108" s="82" t="s">
        <v>175</v>
      </c>
      <c r="D108" s="82" t="s">
        <v>102</v>
      </c>
      <c r="E108" s="82" t="s">
        <v>66</v>
      </c>
      <c r="F108" s="82" t="s">
        <v>67</v>
      </c>
      <c r="G108" s="82" t="s">
        <v>234</v>
      </c>
      <c r="H108" s="82" t="s">
        <v>217</v>
      </c>
      <c r="I108" s="82" t="s">
        <v>195</v>
      </c>
      <c r="J108" s="82" t="s">
        <v>192</v>
      </c>
      <c r="K108" s="82" t="s">
        <v>420</v>
      </c>
      <c r="L108" s="83">
        <v>8400</v>
      </c>
      <c r="M108" s="82" t="s">
        <v>441</v>
      </c>
      <c r="N108" s="82"/>
    </row>
    <row r="109" ht="46" spans="1:14">
      <c r="A109" s="82" t="s">
        <v>27</v>
      </c>
      <c r="B109" s="82">
        <v>3</v>
      </c>
      <c r="C109" s="82" t="s">
        <v>175</v>
      </c>
      <c r="D109" s="82" t="s">
        <v>102</v>
      </c>
      <c r="E109" s="82" t="s">
        <v>103</v>
      </c>
      <c r="F109" s="82" t="s">
        <v>104</v>
      </c>
      <c r="G109" s="82" t="s">
        <v>234</v>
      </c>
      <c r="H109" s="82" t="s">
        <v>195</v>
      </c>
      <c r="I109" s="82" t="s">
        <v>195</v>
      </c>
      <c r="J109" s="82" t="s">
        <v>203</v>
      </c>
      <c r="K109" s="82" t="s">
        <v>442</v>
      </c>
      <c r="L109" s="83">
        <v>12300</v>
      </c>
      <c r="M109" s="82" t="s">
        <v>443</v>
      </c>
      <c r="N109" s="82" t="s">
        <v>238</v>
      </c>
    </row>
    <row r="110" ht="31" spans="1:14">
      <c r="A110" s="82" t="s">
        <v>27</v>
      </c>
      <c r="B110" s="82">
        <v>4</v>
      </c>
      <c r="C110" s="82" t="s">
        <v>175</v>
      </c>
      <c r="D110" s="82" t="s">
        <v>102</v>
      </c>
      <c r="E110" s="82" t="s">
        <v>106</v>
      </c>
      <c r="F110" s="82" t="s">
        <v>107</v>
      </c>
      <c r="G110" s="82" t="s">
        <v>234</v>
      </c>
      <c r="H110" s="82" t="s">
        <v>217</v>
      </c>
      <c r="I110" s="82" t="s">
        <v>191</v>
      </c>
      <c r="J110" s="82" t="s">
        <v>192</v>
      </c>
      <c r="K110" s="82" t="s">
        <v>442</v>
      </c>
      <c r="L110" s="83">
        <v>27500</v>
      </c>
      <c r="M110" s="82" t="s">
        <v>444</v>
      </c>
      <c r="N110" s="82" t="s">
        <v>240</v>
      </c>
    </row>
    <row r="111" ht="31" spans="1:14">
      <c r="A111" s="82" t="s">
        <v>27</v>
      </c>
      <c r="B111" s="82">
        <v>5</v>
      </c>
      <c r="C111" s="82" t="s">
        <v>175</v>
      </c>
      <c r="D111" s="82" t="s">
        <v>102</v>
      </c>
      <c r="E111" s="82" t="s">
        <v>66</v>
      </c>
      <c r="F111" s="82" t="s">
        <v>67</v>
      </c>
      <c r="G111" s="82" t="s">
        <v>234</v>
      </c>
      <c r="H111" s="82" t="s">
        <v>217</v>
      </c>
      <c r="I111" s="82" t="s">
        <v>195</v>
      </c>
      <c r="J111" s="82" t="s">
        <v>192</v>
      </c>
      <c r="K111" s="82" t="s">
        <v>420</v>
      </c>
      <c r="L111" s="83">
        <v>8400</v>
      </c>
      <c r="M111" s="82" t="s">
        <v>441</v>
      </c>
      <c r="N111" s="82"/>
    </row>
    <row r="112" spans="1:14">
      <c r="A112" s="78" t="s">
        <v>328</v>
      </c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</row>
    <row r="113" spans="1:14">
      <c r="A113" s="80" t="s">
        <v>51</v>
      </c>
      <c r="B113" s="80" t="s">
        <v>52</v>
      </c>
      <c r="C113" s="80" t="s">
        <v>178</v>
      </c>
      <c r="D113" s="80" t="s">
        <v>357</v>
      </c>
      <c r="E113" s="80" t="s">
        <v>53</v>
      </c>
      <c r="F113" s="80" t="s">
        <v>54</v>
      </c>
      <c r="G113" s="80" t="s">
        <v>179</v>
      </c>
      <c r="H113" s="80" t="s">
        <v>180</v>
      </c>
      <c r="I113" s="80" t="s">
        <v>181</v>
      </c>
      <c r="J113" s="80" t="s">
        <v>182</v>
      </c>
      <c r="K113" s="80" t="s">
        <v>358</v>
      </c>
      <c r="L113" s="81" t="s">
        <v>185</v>
      </c>
      <c r="M113" s="80" t="s">
        <v>187</v>
      </c>
      <c r="N113" s="80" t="s">
        <v>188</v>
      </c>
    </row>
    <row r="114" ht="31" spans="1:14">
      <c r="A114" s="82" t="s">
        <v>29</v>
      </c>
      <c r="B114" s="82">
        <v>2</v>
      </c>
      <c r="C114" s="82" t="s">
        <v>175</v>
      </c>
      <c r="D114" s="82" t="s">
        <v>109</v>
      </c>
      <c r="E114" s="82" t="s">
        <v>66</v>
      </c>
      <c r="F114" s="82" t="s">
        <v>67</v>
      </c>
      <c r="G114" s="82" t="s">
        <v>243</v>
      </c>
      <c r="H114" s="82" t="s">
        <v>244</v>
      </c>
      <c r="I114" s="82" t="s">
        <v>195</v>
      </c>
      <c r="J114" s="82" t="s">
        <v>192</v>
      </c>
      <c r="K114" s="82" t="s">
        <v>420</v>
      </c>
      <c r="L114" s="83">
        <v>4200</v>
      </c>
      <c r="M114" s="82" t="s">
        <v>445</v>
      </c>
      <c r="N114" s="82"/>
    </row>
    <row r="115" spans="1:14">
      <c r="A115" s="82" t="s">
        <v>29</v>
      </c>
      <c r="B115" s="82">
        <v>3</v>
      </c>
      <c r="C115" s="82" t="s">
        <v>175</v>
      </c>
      <c r="D115" s="82" t="s">
        <v>109</v>
      </c>
      <c r="E115" s="82" t="s">
        <v>82</v>
      </c>
      <c r="F115" s="82" t="s">
        <v>83</v>
      </c>
      <c r="G115" s="82" t="s">
        <v>243</v>
      </c>
      <c r="H115" s="82" t="s">
        <v>212</v>
      </c>
      <c r="I115" s="82" t="s">
        <v>212</v>
      </c>
      <c r="J115" s="82" t="s">
        <v>203</v>
      </c>
      <c r="K115" s="82" t="s">
        <v>430</v>
      </c>
      <c r="L115" s="83">
        <v>7350</v>
      </c>
      <c r="M115" s="82" t="s">
        <v>431</v>
      </c>
      <c r="N115" s="82"/>
    </row>
    <row r="116" ht="31" spans="1:14">
      <c r="A116" s="82" t="s">
        <v>29</v>
      </c>
      <c r="B116" s="82">
        <v>4</v>
      </c>
      <c r="C116" s="82" t="s">
        <v>175</v>
      </c>
      <c r="D116" s="82" t="s">
        <v>109</v>
      </c>
      <c r="E116" s="82" t="s">
        <v>68</v>
      </c>
      <c r="F116" s="82" t="s">
        <v>69</v>
      </c>
      <c r="G116" s="82" t="s">
        <v>243</v>
      </c>
      <c r="H116" s="82"/>
      <c r="I116" s="82" t="s">
        <v>208</v>
      </c>
      <c r="J116" s="82" t="s">
        <v>199</v>
      </c>
      <c r="K116" s="82" t="s">
        <v>379</v>
      </c>
      <c r="L116" s="83">
        <v>3000</v>
      </c>
      <c r="M116" s="82" t="s">
        <v>247</v>
      </c>
      <c r="N116" s="82" t="s">
        <v>387</v>
      </c>
    </row>
    <row r="117" spans="1:14">
      <c r="A117" s="82" t="s">
        <v>29</v>
      </c>
      <c r="B117" s="82">
        <v>5</v>
      </c>
      <c r="C117" s="82" t="s">
        <v>175</v>
      </c>
      <c r="D117" s="82" t="s">
        <v>109</v>
      </c>
      <c r="E117" s="82" t="s">
        <v>84</v>
      </c>
      <c r="F117" s="82" t="s">
        <v>110</v>
      </c>
      <c r="G117" s="82" t="s">
        <v>243</v>
      </c>
      <c r="H117" s="82" t="s">
        <v>202</v>
      </c>
      <c r="I117" s="82" t="s">
        <v>202</v>
      </c>
      <c r="J117" s="82" t="s">
        <v>203</v>
      </c>
      <c r="K117" s="82" t="s">
        <v>432</v>
      </c>
      <c r="L117" s="83">
        <v>9600</v>
      </c>
      <c r="M117" s="82" t="s">
        <v>446</v>
      </c>
      <c r="N117" s="82"/>
    </row>
    <row r="118" spans="1:14">
      <c r="A118" s="82" t="s">
        <v>29</v>
      </c>
      <c r="B118" s="82">
        <v>6</v>
      </c>
      <c r="C118" s="82" t="s">
        <v>175</v>
      </c>
      <c r="D118" s="82" t="s">
        <v>109</v>
      </c>
      <c r="E118" s="82" t="s">
        <v>96</v>
      </c>
      <c r="F118" s="82" t="s">
        <v>97</v>
      </c>
      <c r="G118" s="82" t="s">
        <v>243</v>
      </c>
      <c r="H118" s="82" t="s">
        <v>250</v>
      </c>
      <c r="I118" s="82" t="s">
        <v>208</v>
      </c>
      <c r="J118" s="82" t="s">
        <v>199</v>
      </c>
      <c r="K118" s="82" t="s">
        <v>379</v>
      </c>
      <c r="L118" s="83">
        <v>3000</v>
      </c>
      <c r="M118" s="82" t="s">
        <v>388</v>
      </c>
      <c r="N118" s="82"/>
    </row>
    <row r="119" ht="46" spans="1:14">
      <c r="A119" s="82" t="s">
        <v>29</v>
      </c>
      <c r="B119" s="82">
        <v>8</v>
      </c>
      <c r="C119" s="82" t="s">
        <v>175</v>
      </c>
      <c r="D119" s="82" t="s">
        <v>109</v>
      </c>
      <c r="E119" s="82" t="s">
        <v>111</v>
      </c>
      <c r="F119" s="82" t="s">
        <v>112</v>
      </c>
      <c r="G119" s="82" t="s">
        <v>243</v>
      </c>
      <c r="H119" s="82" t="s">
        <v>253</v>
      </c>
      <c r="I119" s="82" t="s">
        <v>253</v>
      </c>
      <c r="J119" s="82" t="s">
        <v>203</v>
      </c>
      <c r="K119" s="82" t="s">
        <v>442</v>
      </c>
      <c r="L119" s="83">
        <v>6488</v>
      </c>
      <c r="M119" s="82" t="s">
        <v>447</v>
      </c>
      <c r="N119" s="82" t="s">
        <v>255</v>
      </c>
    </row>
    <row r="120" ht="31" spans="1:14">
      <c r="A120" s="82" t="s">
        <v>29</v>
      </c>
      <c r="B120" s="82">
        <v>9</v>
      </c>
      <c r="C120" s="82" t="s">
        <v>175</v>
      </c>
      <c r="D120" s="82" t="s">
        <v>109</v>
      </c>
      <c r="E120" s="82" t="s">
        <v>66</v>
      </c>
      <c r="F120" s="82" t="s">
        <v>67</v>
      </c>
      <c r="G120" s="82" t="s">
        <v>243</v>
      </c>
      <c r="H120" s="82" t="s">
        <v>244</v>
      </c>
      <c r="I120" s="82" t="s">
        <v>208</v>
      </c>
      <c r="J120" s="82" t="s">
        <v>192</v>
      </c>
      <c r="K120" s="82" t="s">
        <v>420</v>
      </c>
      <c r="L120" s="83">
        <v>4200</v>
      </c>
      <c r="M120" s="82" t="s">
        <v>445</v>
      </c>
      <c r="N120" s="82"/>
    </row>
    <row r="121" spans="1:14">
      <c r="A121" s="78" t="s">
        <v>329</v>
      </c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</row>
    <row r="122" spans="1:14">
      <c r="A122" s="80" t="s">
        <v>51</v>
      </c>
      <c r="B122" s="80" t="s">
        <v>52</v>
      </c>
      <c r="C122" s="80" t="s">
        <v>178</v>
      </c>
      <c r="D122" s="80" t="s">
        <v>357</v>
      </c>
      <c r="E122" s="80" t="s">
        <v>53</v>
      </c>
      <c r="F122" s="80" t="s">
        <v>54</v>
      </c>
      <c r="G122" s="80" t="s">
        <v>179</v>
      </c>
      <c r="H122" s="80" t="s">
        <v>180</v>
      </c>
      <c r="I122" s="80" t="s">
        <v>181</v>
      </c>
      <c r="J122" s="80" t="s">
        <v>182</v>
      </c>
      <c r="K122" s="80" t="s">
        <v>358</v>
      </c>
      <c r="L122" s="81" t="s">
        <v>185</v>
      </c>
      <c r="M122" s="80" t="s">
        <v>187</v>
      </c>
      <c r="N122" s="80" t="s">
        <v>188</v>
      </c>
    </row>
    <row r="123" ht="31" spans="1:14">
      <c r="A123" s="82" t="s">
        <v>30</v>
      </c>
      <c r="B123" s="82">
        <v>2</v>
      </c>
      <c r="C123" s="82" t="s">
        <v>175</v>
      </c>
      <c r="D123" s="82" t="s">
        <v>113</v>
      </c>
      <c r="E123" s="82" t="s">
        <v>66</v>
      </c>
      <c r="F123" s="82" t="s">
        <v>67</v>
      </c>
      <c r="G123" s="82" t="s">
        <v>258</v>
      </c>
      <c r="H123" s="82" t="s">
        <v>244</v>
      </c>
      <c r="I123" s="82" t="s">
        <v>195</v>
      </c>
      <c r="J123" s="82" t="s">
        <v>192</v>
      </c>
      <c r="K123" s="82" t="s">
        <v>420</v>
      </c>
      <c r="L123" s="83">
        <v>4200</v>
      </c>
      <c r="M123" s="82" t="s">
        <v>445</v>
      </c>
      <c r="N123" s="82"/>
    </row>
    <row r="124" ht="31" spans="1:14">
      <c r="A124" s="82" t="s">
        <v>30</v>
      </c>
      <c r="B124" s="82">
        <v>3</v>
      </c>
      <c r="C124" s="82" t="s">
        <v>175</v>
      </c>
      <c r="D124" s="82" t="s">
        <v>113</v>
      </c>
      <c r="E124" s="82" t="s">
        <v>114</v>
      </c>
      <c r="F124" s="82" t="s">
        <v>115</v>
      </c>
      <c r="G124" s="82" t="s">
        <v>258</v>
      </c>
      <c r="H124" s="82" t="s">
        <v>259</v>
      </c>
      <c r="I124" s="82" t="s">
        <v>259</v>
      </c>
      <c r="J124" s="82" t="s">
        <v>203</v>
      </c>
      <c r="K124" s="82" t="s">
        <v>448</v>
      </c>
      <c r="L124" s="83">
        <v>40320</v>
      </c>
      <c r="M124" s="82" t="s">
        <v>260</v>
      </c>
      <c r="N124" s="82"/>
    </row>
    <row r="125" ht="31" spans="1:14">
      <c r="A125" s="82" t="s">
        <v>30</v>
      </c>
      <c r="B125" s="82">
        <v>4</v>
      </c>
      <c r="C125" s="82" t="s">
        <v>175</v>
      </c>
      <c r="D125" s="82" t="s">
        <v>113</v>
      </c>
      <c r="E125" s="82" t="s">
        <v>66</v>
      </c>
      <c r="F125" s="82" t="s">
        <v>67</v>
      </c>
      <c r="G125" s="82" t="s">
        <v>258</v>
      </c>
      <c r="H125" s="82" t="s">
        <v>244</v>
      </c>
      <c r="I125" s="82" t="s">
        <v>208</v>
      </c>
      <c r="J125" s="82" t="s">
        <v>192</v>
      </c>
      <c r="K125" s="82" t="s">
        <v>420</v>
      </c>
      <c r="L125" s="83">
        <v>4200</v>
      </c>
      <c r="M125" s="82" t="s">
        <v>445</v>
      </c>
      <c r="N125" s="82"/>
    </row>
    <row r="126" spans="1:14">
      <c r="A126" s="78" t="s">
        <v>330</v>
      </c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</row>
    <row r="127" spans="1:14">
      <c r="A127" s="80" t="s">
        <v>51</v>
      </c>
      <c r="B127" s="80" t="s">
        <v>52</v>
      </c>
      <c r="C127" s="80" t="s">
        <v>178</v>
      </c>
      <c r="D127" s="80" t="s">
        <v>357</v>
      </c>
      <c r="E127" s="80" t="s">
        <v>53</v>
      </c>
      <c r="F127" s="80" t="s">
        <v>54</v>
      </c>
      <c r="G127" s="80" t="s">
        <v>179</v>
      </c>
      <c r="H127" s="80" t="s">
        <v>180</v>
      </c>
      <c r="I127" s="80" t="s">
        <v>181</v>
      </c>
      <c r="J127" s="80" t="s">
        <v>182</v>
      </c>
      <c r="K127" s="80" t="s">
        <v>358</v>
      </c>
      <c r="L127" s="81" t="s">
        <v>185</v>
      </c>
      <c r="M127" s="80" t="s">
        <v>187</v>
      </c>
      <c r="N127" s="80" t="s">
        <v>188</v>
      </c>
    </row>
    <row r="128" ht="31" spans="1:14">
      <c r="A128" s="82" t="s">
        <v>31</v>
      </c>
      <c r="B128" s="82">
        <v>2</v>
      </c>
      <c r="C128" s="82" t="s">
        <v>175</v>
      </c>
      <c r="D128" s="82" t="s">
        <v>116</v>
      </c>
      <c r="E128" s="82" t="s">
        <v>66</v>
      </c>
      <c r="F128" s="82" t="s">
        <v>67</v>
      </c>
      <c r="G128" s="82" t="s">
        <v>263</v>
      </c>
      <c r="H128" s="82" t="s">
        <v>244</v>
      </c>
      <c r="I128" s="82" t="s">
        <v>195</v>
      </c>
      <c r="J128" s="82" t="s">
        <v>192</v>
      </c>
      <c r="K128" s="82" t="s">
        <v>420</v>
      </c>
      <c r="L128" s="83">
        <v>4200</v>
      </c>
      <c r="M128" s="82" t="s">
        <v>445</v>
      </c>
      <c r="N128" s="82"/>
    </row>
    <row r="129" ht="31" spans="1:14">
      <c r="A129" s="82" t="s">
        <v>31</v>
      </c>
      <c r="B129" s="82">
        <v>3</v>
      </c>
      <c r="C129" s="82" t="s">
        <v>175</v>
      </c>
      <c r="D129" s="82" t="s">
        <v>116</v>
      </c>
      <c r="E129" s="82" t="s">
        <v>117</v>
      </c>
      <c r="F129" s="82" t="s">
        <v>118</v>
      </c>
      <c r="G129" s="82" t="s">
        <v>263</v>
      </c>
      <c r="H129" s="82" t="s">
        <v>264</v>
      </c>
      <c r="I129" s="82" t="s">
        <v>264</v>
      </c>
      <c r="J129" s="82" t="s">
        <v>203</v>
      </c>
      <c r="K129" s="82" t="s">
        <v>432</v>
      </c>
      <c r="L129" s="83">
        <v>288000</v>
      </c>
      <c r="M129" s="82" t="s">
        <v>449</v>
      </c>
      <c r="N129" s="82"/>
    </row>
    <row r="130" ht="31" spans="1:14">
      <c r="A130" s="82" t="s">
        <v>31</v>
      </c>
      <c r="B130" s="82">
        <v>4</v>
      </c>
      <c r="C130" s="82" t="s">
        <v>175</v>
      </c>
      <c r="D130" s="82" t="s">
        <v>116</v>
      </c>
      <c r="E130" s="82" t="s">
        <v>66</v>
      </c>
      <c r="F130" s="82" t="s">
        <v>67</v>
      </c>
      <c r="G130" s="82" t="s">
        <v>263</v>
      </c>
      <c r="H130" s="82" t="s">
        <v>244</v>
      </c>
      <c r="I130" s="82" t="s">
        <v>208</v>
      </c>
      <c r="J130" s="82" t="s">
        <v>192</v>
      </c>
      <c r="K130" s="82" t="s">
        <v>420</v>
      </c>
      <c r="L130" s="83">
        <v>4200</v>
      </c>
      <c r="M130" s="82" t="s">
        <v>445</v>
      </c>
      <c r="N130" s="82"/>
    </row>
    <row r="131" spans="1:14">
      <c r="A131" s="78" t="s">
        <v>415</v>
      </c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</row>
    <row r="132" spans="1:14">
      <c r="A132" s="80" t="s">
        <v>51</v>
      </c>
      <c r="B132" s="80" t="s">
        <v>52</v>
      </c>
      <c r="C132" s="80" t="s">
        <v>178</v>
      </c>
      <c r="D132" s="80" t="s">
        <v>357</v>
      </c>
      <c r="E132" s="80" t="s">
        <v>53</v>
      </c>
      <c r="F132" s="80" t="s">
        <v>54</v>
      </c>
      <c r="G132" s="80" t="s">
        <v>179</v>
      </c>
      <c r="H132" s="80" t="s">
        <v>180</v>
      </c>
      <c r="I132" s="80" t="s">
        <v>181</v>
      </c>
      <c r="J132" s="80" t="s">
        <v>182</v>
      </c>
      <c r="K132" s="80" t="s">
        <v>358</v>
      </c>
      <c r="L132" s="81" t="s">
        <v>185</v>
      </c>
      <c r="M132" s="80" t="s">
        <v>187</v>
      </c>
      <c r="N132" s="80" t="s">
        <v>188</v>
      </c>
    </row>
    <row r="133" ht="31" spans="1:14">
      <c r="A133" s="82" t="s">
        <v>32</v>
      </c>
      <c r="B133" s="82">
        <v>2</v>
      </c>
      <c r="C133" s="82" t="s">
        <v>175</v>
      </c>
      <c r="D133" s="82" t="s">
        <v>394</v>
      </c>
      <c r="E133" s="82" t="s">
        <v>66</v>
      </c>
      <c r="F133" s="82" t="s">
        <v>67</v>
      </c>
      <c r="G133" s="82" t="s">
        <v>268</v>
      </c>
      <c r="H133" s="82" t="s">
        <v>244</v>
      </c>
      <c r="I133" s="82" t="s">
        <v>195</v>
      </c>
      <c r="J133" s="82" t="s">
        <v>192</v>
      </c>
      <c r="K133" s="82" t="s">
        <v>420</v>
      </c>
      <c r="L133" s="83">
        <v>4200</v>
      </c>
      <c r="M133" s="82" t="s">
        <v>445</v>
      </c>
      <c r="N133" s="82"/>
    </row>
    <row r="134" ht="31" spans="1:14">
      <c r="A134" s="82" t="s">
        <v>32</v>
      </c>
      <c r="B134" s="82">
        <v>3</v>
      </c>
      <c r="C134" s="82" t="s">
        <v>175</v>
      </c>
      <c r="D134" s="82" t="s">
        <v>394</v>
      </c>
      <c r="E134" s="82" t="s">
        <v>120</v>
      </c>
      <c r="F134" s="82" t="s">
        <v>121</v>
      </c>
      <c r="G134" s="82" t="s">
        <v>268</v>
      </c>
      <c r="H134" s="82" t="s">
        <v>271</v>
      </c>
      <c r="I134" s="82" t="s">
        <v>271</v>
      </c>
      <c r="J134" s="82" t="s">
        <v>203</v>
      </c>
      <c r="K134" s="82" t="s">
        <v>450</v>
      </c>
      <c r="L134" s="83">
        <v>50850</v>
      </c>
      <c r="M134" s="82" t="s">
        <v>451</v>
      </c>
      <c r="N134" s="82"/>
    </row>
    <row r="135" ht="31" spans="1:14">
      <c r="A135" s="82" t="s">
        <v>32</v>
      </c>
      <c r="B135" s="82">
        <v>4</v>
      </c>
      <c r="C135" s="82" t="s">
        <v>175</v>
      </c>
      <c r="D135" s="82" t="s">
        <v>394</v>
      </c>
      <c r="E135" s="82" t="s">
        <v>66</v>
      </c>
      <c r="F135" s="82" t="s">
        <v>67</v>
      </c>
      <c r="G135" s="82" t="s">
        <v>268</v>
      </c>
      <c r="H135" s="82" t="s">
        <v>244</v>
      </c>
      <c r="I135" s="82" t="s">
        <v>208</v>
      </c>
      <c r="J135" s="82" t="s">
        <v>192</v>
      </c>
      <c r="K135" s="82" t="s">
        <v>420</v>
      </c>
      <c r="L135" s="83">
        <v>4200</v>
      </c>
      <c r="M135" s="82" t="s">
        <v>445</v>
      </c>
      <c r="N135" s="82"/>
    </row>
    <row r="136" ht="46" spans="1:14">
      <c r="A136" s="82" t="s">
        <v>32</v>
      </c>
      <c r="B136" s="82">
        <v>6</v>
      </c>
      <c r="C136" s="82" t="s">
        <v>175</v>
      </c>
      <c r="D136" s="82" t="s">
        <v>394</v>
      </c>
      <c r="E136" s="82" t="s">
        <v>123</v>
      </c>
      <c r="F136" s="82" t="s">
        <v>123</v>
      </c>
      <c r="G136" s="82" t="s">
        <v>268</v>
      </c>
      <c r="H136" s="82" t="s">
        <v>333</v>
      </c>
      <c r="I136" s="82" t="s">
        <v>275</v>
      </c>
      <c r="J136" s="82" t="s">
        <v>192</v>
      </c>
      <c r="K136" s="82" t="s">
        <v>378</v>
      </c>
      <c r="L136" s="83">
        <v>16500</v>
      </c>
      <c r="M136" s="82" t="s">
        <v>452</v>
      </c>
      <c r="N136" s="82" t="s">
        <v>277</v>
      </c>
    </row>
    <row r="137" spans="1:14">
      <c r="A137" s="78" t="s">
        <v>466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</row>
    <row r="138" spans="1:14">
      <c r="A138" s="80" t="s">
        <v>51</v>
      </c>
      <c r="B138" s="80" t="s">
        <v>52</v>
      </c>
      <c r="C138" s="80" t="s">
        <v>178</v>
      </c>
      <c r="D138" s="80" t="s">
        <v>357</v>
      </c>
      <c r="E138" s="80" t="s">
        <v>53</v>
      </c>
      <c r="F138" s="80" t="s">
        <v>54</v>
      </c>
      <c r="G138" s="80" t="s">
        <v>179</v>
      </c>
      <c r="H138" s="80" t="s">
        <v>180</v>
      </c>
      <c r="I138" s="80" t="s">
        <v>181</v>
      </c>
      <c r="J138" s="80" t="s">
        <v>182</v>
      </c>
      <c r="K138" s="80" t="s">
        <v>358</v>
      </c>
      <c r="L138" s="81" t="s">
        <v>185</v>
      </c>
      <c r="M138" s="80" t="s">
        <v>187</v>
      </c>
      <c r="N138" s="80" t="s">
        <v>188</v>
      </c>
    </row>
    <row r="139" ht="31" spans="1:14">
      <c r="A139" s="82" t="s">
        <v>34</v>
      </c>
      <c r="B139" s="82">
        <v>2</v>
      </c>
      <c r="C139" s="82" t="s">
        <v>175</v>
      </c>
      <c r="D139" s="82" t="s">
        <v>399</v>
      </c>
      <c r="E139" s="82" t="s">
        <v>66</v>
      </c>
      <c r="F139" s="82" t="s">
        <v>67</v>
      </c>
      <c r="G139" s="82" t="s">
        <v>280</v>
      </c>
      <c r="H139" s="82" t="s">
        <v>244</v>
      </c>
      <c r="I139" s="82" t="s">
        <v>195</v>
      </c>
      <c r="J139" s="82" t="s">
        <v>192</v>
      </c>
      <c r="K139" s="82" t="s">
        <v>420</v>
      </c>
      <c r="L139" s="83">
        <v>4200</v>
      </c>
      <c r="M139" s="82" t="s">
        <v>445</v>
      </c>
      <c r="N139" s="82"/>
    </row>
    <row r="140" ht="31" spans="1:14">
      <c r="A140" s="82" t="s">
        <v>34</v>
      </c>
      <c r="B140" s="82">
        <v>3</v>
      </c>
      <c r="C140" s="82" t="s">
        <v>175</v>
      </c>
      <c r="D140" s="82" t="s">
        <v>399</v>
      </c>
      <c r="E140" s="82" t="s">
        <v>125</v>
      </c>
      <c r="F140" s="82" t="s">
        <v>126</v>
      </c>
      <c r="G140" s="82" t="s">
        <v>280</v>
      </c>
      <c r="H140" s="82" t="s">
        <v>207</v>
      </c>
      <c r="I140" s="82" t="s">
        <v>208</v>
      </c>
      <c r="J140" s="82" t="s">
        <v>199</v>
      </c>
      <c r="K140" s="82" t="s">
        <v>427</v>
      </c>
      <c r="L140" s="83">
        <v>5000</v>
      </c>
      <c r="M140" s="82" t="s">
        <v>428</v>
      </c>
      <c r="N140" s="82"/>
    </row>
    <row r="141" ht="31" spans="1:14">
      <c r="A141" s="82" t="s">
        <v>34</v>
      </c>
      <c r="B141" s="82">
        <v>4</v>
      </c>
      <c r="C141" s="82" t="s">
        <v>175</v>
      </c>
      <c r="D141" s="82" t="s">
        <v>399</v>
      </c>
      <c r="E141" s="82" t="s">
        <v>66</v>
      </c>
      <c r="F141" s="82" t="s">
        <v>67</v>
      </c>
      <c r="G141" s="82" t="s">
        <v>280</v>
      </c>
      <c r="H141" s="82" t="s">
        <v>244</v>
      </c>
      <c r="I141" s="82" t="s">
        <v>208</v>
      </c>
      <c r="J141" s="82" t="s">
        <v>192</v>
      </c>
      <c r="K141" s="82" t="s">
        <v>420</v>
      </c>
      <c r="L141" s="83">
        <v>4200</v>
      </c>
      <c r="M141" s="82" t="s">
        <v>445</v>
      </c>
      <c r="N141" s="82"/>
    </row>
    <row r="142" spans="1:14">
      <c r="A142" s="78" t="s">
        <v>335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</row>
    <row r="143" spans="1:14">
      <c r="A143" s="80" t="s">
        <v>51</v>
      </c>
      <c r="B143" s="80" t="s">
        <v>52</v>
      </c>
      <c r="C143" s="80" t="s">
        <v>178</v>
      </c>
      <c r="D143" s="80" t="s">
        <v>357</v>
      </c>
      <c r="E143" s="80" t="s">
        <v>53</v>
      </c>
      <c r="F143" s="80" t="s">
        <v>54</v>
      </c>
      <c r="G143" s="80" t="s">
        <v>179</v>
      </c>
      <c r="H143" s="80" t="s">
        <v>180</v>
      </c>
      <c r="I143" s="80" t="s">
        <v>181</v>
      </c>
      <c r="J143" s="80" t="s">
        <v>182</v>
      </c>
      <c r="K143" s="80" t="s">
        <v>358</v>
      </c>
      <c r="L143" s="81" t="s">
        <v>185</v>
      </c>
      <c r="M143" s="80" t="s">
        <v>187</v>
      </c>
      <c r="N143" s="80" t="s">
        <v>188</v>
      </c>
    </row>
    <row r="144" ht="31" spans="1:14">
      <c r="A144" s="82" t="s">
        <v>36</v>
      </c>
      <c r="B144" s="82">
        <v>2</v>
      </c>
      <c r="C144" s="82" t="s">
        <v>175</v>
      </c>
      <c r="D144" s="82" t="s">
        <v>127</v>
      </c>
      <c r="E144" s="82" t="s">
        <v>66</v>
      </c>
      <c r="F144" s="82" t="s">
        <v>67</v>
      </c>
      <c r="G144" s="82" t="s">
        <v>283</v>
      </c>
      <c r="H144" s="82" t="s">
        <v>244</v>
      </c>
      <c r="I144" s="82" t="s">
        <v>195</v>
      </c>
      <c r="J144" s="82" t="s">
        <v>192</v>
      </c>
      <c r="K144" s="82" t="s">
        <v>420</v>
      </c>
      <c r="L144" s="83">
        <v>4200</v>
      </c>
      <c r="M144" s="82" t="s">
        <v>445</v>
      </c>
      <c r="N144" s="82"/>
    </row>
    <row r="145" ht="31" spans="1:14">
      <c r="A145" s="82" t="s">
        <v>36</v>
      </c>
      <c r="B145" s="82">
        <v>3</v>
      </c>
      <c r="C145" s="82" t="s">
        <v>175</v>
      </c>
      <c r="D145" s="82" t="s">
        <v>127</v>
      </c>
      <c r="E145" s="82" t="s">
        <v>128</v>
      </c>
      <c r="F145" s="82" t="s">
        <v>129</v>
      </c>
      <c r="G145" s="82" t="s">
        <v>283</v>
      </c>
      <c r="H145" s="82" t="s">
        <v>284</v>
      </c>
      <c r="I145" s="82" t="s">
        <v>284</v>
      </c>
      <c r="J145" s="82" t="s">
        <v>203</v>
      </c>
      <c r="K145" s="82" t="s">
        <v>454</v>
      </c>
      <c r="L145" s="83">
        <v>15000</v>
      </c>
      <c r="M145" s="82" t="s">
        <v>455</v>
      </c>
      <c r="N145" s="82"/>
    </row>
    <row r="146" ht="31" spans="1:14">
      <c r="A146" s="82" t="s">
        <v>36</v>
      </c>
      <c r="B146" s="82">
        <v>4</v>
      </c>
      <c r="C146" s="82" t="s">
        <v>175</v>
      </c>
      <c r="D146" s="82" t="s">
        <v>127</v>
      </c>
      <c r="E146" s="82" t="s">
        <v>66</v>
      </c>
      <c r="F146" s="82" t="s">
        <v>67</v>
      </c>
      <c r="G146" s="82" t="s">
        <v>283</v>
      </c>
      <c r="H146" s="82" t="s">
        <v>244</v>
      </c>
      <c r="I146" s="82" t="s">
        <v>208</v>
      </c>
      <c r="J146" s="82" t="s">
        <v>192</v>
      </c>
      <c r="K146" s="82" t="s">
        <v>420</v>
      </c>
      <c r="L146" s="83">
        <v>4200</v>
      </c>
      <c r="M146" s="82" t="s">
        <v>445</v>
      </c>
      <c r="N146" s="82"/>
    </row>
    <row r="147" spans="1:14">
      <c r="A147" s="78" t="s">
        <v>336</v>
      </c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</row>
    <row r="148" spans="1:14">
      <c r="A148" s="80" t="s">
        <v>51</v>
      </c>
      <c r="B148" s="80" t="s">
        <v>52</v>
      </c>
      <c r="C148" s="80" t="s">
        <v>178</v>
      </c>
      <c r="D148" s="80" t="s">
        <v>357</v>
      </c>
      <c r="E148" s="80" t="s">
        <v>53</v>
      </c>
      <c r="F148" s="80" t="s">
        <v>54</v>
      </c>
      <c r="G148" s="80" t="s">
        <v>179</v>
      </c>
      <c r="H148" s="80" t="s">
        <v>180</v>
      </c>
      <c r="I148" s="80" t="s">
        <v>181</v>
      </c>
      <c r="J148" s="80" t="s">
        <v>182</v>
      </c>
      <c r="K148" s="80" t="s">
        <v>358</v>
      </c>
      <c r="L148" s="81" t="s">
        <v>185</v>
      </c>
      <c r="M148" s="80" t="s">
        <v>187</v>
      </c>
      <c r="N148" s="80" t="s">
        <v>188</v>
      </c>
    </row>
    <row r="149" ht="31" spans="1:14">
      <c r="A149" s="82" t="s">
        <v>37</v>
      </c>
      <c r="B149" s="82">
        <v>2</v>
      </c>
      <c r="C149" s="82" t="s">
        <v>175</v>
      </c>
      <c r="D149" s="82" t="s">
        <v>130</v>
      </c>
      <c r="E149" s="82" t="s">
        <v>66</v>
      </c>
      <c r="F149" s="82" t="s">
        <v>67</v>
      </c>
      <c r="G149" s="82" t="s">
        <v>288</v>
      </c>
      <c r="H149" s="82" t="s">
        <v>244</v>
      </c>
      <c r="I149" s="82" t="s">
        <v>195</v>
      </c>
      <c r="J149" s="82" t="s">
        <v>192</v>
      </c>
      <c r="K149" s="82" t="s">
        <v>420</v>
      </c>
      <c r="L149" s="83">
        <v>4200</v>
      </c>
      <c r="M149" s="82" t="s">
        <v>445</v>
      </c>
      <c r="N149" s="82"/>
    </row>
    <row r="150" ht="31" spans="1:14">
      <c r="A150" s="82" t="s">
        <v>37</v>
      </c>
      <c r="B150" s="82">
        <v>3</v>
      </c>
      <c r="C150" s="82" t="s">
        <v>175</v>
      </c>
      <c r="D150" s="82" t="s">
        <v>130</v>
      </c>
      <c r="E150" s="82" t="s">
        <v>131</v>
      </c>
      <c r="F150" s="82" t="s">
        <v>132</v>
      </c>
      <c r="G150" s="82" t="s">
        <v>288</v>
      </c>
      <c r="H150" s="82" t="s">
        <v>284</v>
      </c>
      <c r="I150" s="82" t="s">
        <v>284</v>
      </c>
      <c r="J150" s="82" t="s">
        <v>203</v>
      </c>
      <c r="K150" s="82" t="s">
        <v>456</v>
      </c>
      <c r="L150" s="83">
        <v>20000</v>
      </c>
      <c r="M150" s="82" t="s">
        <v>457</v>
      </c>
      <c r="N150" s="82"/>
    </row>
    <row r="151" ht="31" spans="1:14">
      <c r="A151" s="82" t="s">
        <v>37</v>
      </c>
      <c r="B151" s="82">
        <v>4</v>
      </c>
      <c r="C151" s="82" t="s">
        <v>175</v>
      </c>
      <c r="D151" s="82" t="s">
        <v>130</v>
      </c>
      <c r="E151" s="82" t="s">
        <v>66</v>
      </c>
      <c r="F151" s="82" t="s">
        <v>67</v>
      </c>
      <c r="G151" s="82" t="s">
        <v>288</v>
      </c>
      <c r="H151" s="82" t="s">
        <v>244</v>
      </c>
      <c r="I151" s="82" t="s">
        <v>208</v>
      </c>
      <c r="J151" s="82" t="s">
        <v>192</v>
      </c>
      <c r="K151" s="82" t="s">
        <v>420</v>
      </c>
      <c r="L151" s="83">
        <v>4200</v>
      </c>
      <c r="M151" s="82" t="s">
        <v>445</v>
      </c>
      <c r="N151" s="82"/>
    </row>
    <row r="152" spans="1:14">
      <c r="A152" s="78" t="s">
        <v>337</v>
      </c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</row>
    <row r="153" spans="1:14">
      <c r="A153" s="80" t="s">
        <v>51</v>
      </c>
      <c r="B153" s="80" t="s">
        <v>52</v>
      </c>
      <c r="C153" s="80" t="s">
        <v>178</v>
      </c>
      <c r="D153" s="80" t="s">
        <v>357</v>
      </c>
      <c r="E153" s="80" t="s">
        <v>53</v>
      </c>
      <c r="F153" s="80" t="s">
        <v>54</v>
      </c>
      <c r="G153" s="80" t="s">
        <v>179</v>
      </c>
      <c r="H153" s="80" t="s">
        <v>180</v>
      </c>
      <c r="I153" s="80" t="s">
        <v>181</v>
      </c>
      <c r="J153" s="80" t="s">
        <v>182</v>
      </c>
      <c r="K153" s="80" t="s">
        <v>358</v>
      </c>
      <c r="L153" s="81" t="s">
        <v>185</v>
      </c>
      <c r="M153" s="80" t="s">
        <v>187</v>
      </c>
      <c r="N153" s="80" t="s">
        <v>188</v>
      </c>
    </row>
    <row r="154" ht="31" spans="1:14">
      <c r="A154" s="82" t="s">
        <v>38</v>
      </c>
      <c r="B154" s="82">
        <v>2</v>
      </c>
      <c r="C154" s="82" t="s">
        <v>175</v>
      </c>
      <c r="D154" s="82" t="s">
        <v>133</v>
      </c>
      <c r="E154" s="82" t="s">
        <v>66</v>
      </c>
      <c r="F154" s="82" t="s">
        <v>67</v>
      </c>
      <c r="G154" s="82" t="s">
        <v>291</v>
      </c>
      <c r="H154" s="82" t="s">
        <v>244</v>
      </c>
      <c r="I154" s="82" t="s">
        <v>195</v>
      </c>
      <c r="J154" s="82" t="s">
        <v>192</v>
      </c>
      <c r="K154" s="82" t="s">
        <v>420</v>
      </c>
      <c r="L154" s="83">
        <v>4200</v>
      </c>
      <c r="M154" s="82" t="s">
        <v>445</v>
      </c>
      <c r="N154" s="82"/>
    </row>
    <row r="155" ht="31" spans="1:14">
      <c r="A155" s="82" t="s">
        <v>38</v>
      </c>
      <c r="B155" s="82">
        <v>3</v>
      </c>
      <c r="C155" s="82" t="s">
        <v>175</v>
      </c>
      <c r="D155" s="82" t="s">
        <v>133</v>
      </c>
      <c r="E155" s="82" t="s">
        <v>131</v>
      </c>
      <c r="F155" s="82" t="s">
        <v>134</v>
      </c>
      <c r="G155" s="82" t="s">
        <v>291</v>
      </c>
      <c r="H155" s="82" t="s">
        <v>292</v>
      </c>
      <c r="I155" s="82" t="s">
        <v>292</v>
      </c>
      <c r="J155" s="82" t="s">
        <v>203</v>
      </c>
      <c r="K155" s="82" t="s">
        <v>456</v>
      </c>
      <c r="L155" s="83">
        <v>22000</v>
      </c>
      <c r="M155" s="82" t="s">
        <v>458</v>
      </c>
      <c r="N155" s="82"/>
    </row>
    <row r="156" ht="31" spans="1:14">
      <c r="A156" s="82" t="s">
        <v>38</v>
      </c>
      <c r="B156" s="82">
        <v>4</v>
      </c>
      <c r="C156" s="82" t="s">
        <v>175</v>
      </c>
      <c r="D156" s="82" t="s">
        <v>133</v>
      </c>
      <c r="E156" s="82" t="s">
        <v>66</v>
      </c>
      <c r="F156" s="82" t="s">
        <v>67</v>
      </c>
      <c r="G156" s="82" t="s">
        <v>291</v>
      </c>
      <c r="H156" s="82" t="s">
        <v>244</v>
      </c>
      <c r="I156" s="82" t="s">
        <v>208</v>
      </c>
      <c r="J156" s="82" t="s">
        <v>192</v>
      </c>
      <c r="K156" s="82" t="s">
        <v>420</v>
      </c>
      <c r="L156" s="83">
        <v>4200</v>
      </c>
      <c r="M156" s="82" t="s">
        <v>445</v>
      </c>
      <c r="N156" s="82"/>
    </row>
    <row r="157" spans="1:14">
      <c r="A157" s="78" t="s">
        <v>338</v>
      </c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</row>
    <row r="158" spans="1:14">
      <c r="A158" s="80" t="s">
        <v>51</v>
      </c>
      <c r="B158" s="80" t="s">
        <v>52</v>
      </c>
      <c r="C158" s="80" t="s">
        <v>178</v>
      </c>
      <c r="D158" s="80" t="s">
        <v>357</v>
      </c>
      <c r="E158" s="80" t="s">
        <v>53</v>
      </c>
      <c r="F158" s="80" t="s">
        <v>54</v>
      </c>
      <c r="G158" s="80" t="s">
        <v>179</v>
      </c>
      <c r="H158" s="80" t="s">
        <v>180</v>
      </c>
      <c r="I158" s="80" t="s">
        <v>181</v>
      </c>
      <c r="J158" s="80" t="s">
        <v>182</v>
      </c>
      <c r="K158" s="80" t="s">
        <v>358</v>
      </c>
      <c r="L158" s="81" t="s">
        <v>185</v>
      </c>
      <c r="M158" s="80" t="s">
        <v>187</v>
      </c>
      <c r="N158" s="80" t="s">
        <v>188</v>
      </c>
    </row>
    <row r="159" ht="31" spans="1:14">
      <c r="A159" s="82" t="s">
        <v>40</v>
      </c>
      <c r="B159" s="82">
        <v>2</v>
      </c>
      <c r="C159" s="82" t="s">
        <v>175</v>
      </c>
      <c r="D159" s="82" t="s">
        <v>136</v>
      </c>
      <c r="E159" s="82" t="s">
        <v>66</v>
      </c>
      <c r="F159" s="82" t="s">
        <v>67</v>
      </c>
      <c r="G159" s="82" t="s">
        <v>339</v>
      </c>
      <c r="H159" s="82" t="s">
        <v>340</v>
      </c>
      <c r="I159" s="82" t="s">
        <v>195</v>
      </c>
      <c r="J159" s="82" t="s">
        <v>192</v>
      </c>
      <c r="K159" s="82" t="s">
        <v>420</v>
      </c>
      <c r="L159" s="83">
        <v>10500</v>
      </c>
      <c r="M159" s="82" t="s">
        <v>467</v>
      </c>
      <c r="N159" s="82"/>
    </row>
    <row r="160" spans="1:14">
      <c r="A160" s="82" t="s">
        <v>40</v>
      </c>
      <c r="B160" s="82">
        <v>3</v>
      </c>
      <c r="C160" s="82" t="s">
        <v>175</v>
      </c>
      <c r="D160" s="82" t="s">
        <v>136</v>
      </c>
      <c r="E160" s="82" t="s">
        <v>139</v>
      </c>
      <c r="F160" s="82" t="s">
        <v>140</v>
      </c>
      <c r="G160" s="82" t="s">
        <v>339</v>
      </c>
      <c r="H160" s="82" t="s">
        <v>344</v>
      </c>
      <c r="I160" s="82" t="s">
        <v>344</v>
      </c>
      <c r="J160" s="82" t="s">
        <v>203</v>
      </c>
      <c r="K160" s="82" t="s">
        <v>468</v>
      </c>
      <c r="L160" s="83">
        <v>4800</v>
      </c>
      <c r="M160" s="82" t="s">
        <v>469</v>
      </c>
      <c r="N160" s="82"/>
    </row>
    <row r="161" spans="1:14">
      <c r="A161" s="82" t="s">
        <v>40</v>
      </c>
      <c r="B161" s="82">
        <v>4</v>
      </c>
      <c r="C161" s="82" t="s">
        <v>175</v>
      </c>
      <c r="D161" s="82" t="s">
        <v>136</v>
      </c>
      <c r="E161" s="82" t="s">
        <v>139</v>
      </c>
      <c r="F161" s="82" t="s">
        <v>141</v>
      </c>
      <c r="G161" s="82" t="s">
        <v>339</v>
      </c>
      <c r="H161" s="82" t="s">
        <v>344</v>
      </c>
      <c r="I161" s="82" t="s">
        <v>344</v>
      </c>
      <c r="J161" s="82" t="s">
        <v>203</v>
      </c>
      <c r="K161" s="82" t="s">
        <v>468</v>
      </c>
      <c r="L161" s="83">
        <v>4800</v>
      </c>
      <c r="M161" s="82" t="s">
        <v>469</v>
      </c>
      <c r="N161" s="82"/>
    </row>
    <row r="162" spans="1:14">
      <c r="A162" s="82" t="s">
        <v>40</v>
      </c>
      <c r="B162" s="82">
        <v>5</v>
      </c>
      <c r="C162" s="82" t="s">
        <v>175</v>
      </c>
      <c r="D162" s="82" t="s">
        <v>136</v>
      </c>
      <c r="E162" s="82" t="s">
        <v>139</v>
      </c>
      <c r="F162" s="82" t="s">
        <v>142</v>
      </c>
      <c r="G162" s="82" t="s">
        <v>339</v>
      </c>
      <c r="H162" s="82" t="s">
        <v>344</v>
      </c>
      <c r="I162" s="82" t="s">
        <v>344</v>
      </c>
      <c r="J162" s="82" t="s">
        <v>203</v>
      </c>
      <c r="K162" s="82" t="s">
        <v>468</v>
      </c>
      <c r="L162" s="83">
        <v>4800</v>
      </c>
      <c r="M162" s="82" t="s">
        <v>469</v>
      </c>
      <c r="N162" s="82"/>
    </row>
    <row r="163" spans="1:14">
      <c r="A163" s="82" t="s">
        <v>40</v>
      </c>
      <c r="B163" s="82">
        <v>6</v>
      </c>
      <c r="C163" s="82" t="s">
        <v>175</v>
      </c>
      <c r="D163" s="82" t="s">
        <v>136</v>
      </c>
      <c r="E163" s="82" t="s">
        <v>139</v>
      </c>
      <c r="F163" s="82" t="s">
        <v>143</v>
      </c>
      <c r="G163" s="82" t="s">
        <v>339</v>
      </c>
      <c r="H163" s="82" t="s">
        <v>344</v>
      </c>
      <c r="I163" s="82" t="s">
        <v>344</v>
      </c>
      <c r="J163" s="82" t="s">
        <v>203</v>
      </c>
      <c r="K163" s="82" t="s">
        <v>468</v>
      </c>
      <c r="L163" s="83">
        <v>4800</v>
      </c>
      <c r="M163" s="82" t="s">
        <v>469</v>
      </c>
      <c r="N163" s="82"/>
    </row>
    <row r="164" spans="1:14">
      <c r="A164" s="82" t="s">
        <v>40</v>
      </c>
      <c r="B164" s="82">
        <v>7</v>
      </c>
      <c r="C164" s="82" t="s">
        <v>175</v>
      </c>
      <c r="D164" s="82" t="s">
        <v>136</v>
      </c>
      <c r="E164" s="82" t="s">
        <v>139</v>
      </c>
      <c r="F164" s="82" t="s">
        <v>144</v>
      </c>
      <c r="G164" s="82" t="s">
        <v>339</v>
      </c>
      <c r="H164" s="82" t="s">
        <v>344</v>
      </c>
      <c r="I164" s="82" t="s">
        <v>344</v>
      </c>
      <c r="J164" s="82" t="s">
        <v>203</v>
      </c>
      <c r="K164" s="82" t="s">
        <v>468</v>
      </c>
      <c r="L164" s="83">
        <v>4800</v>
      </c>
      <c r="M164" s="82" t="s">
        <v>469</v>
      </c>
      <c r="N164" s="82"/>
    </row>
    <row r="165" ht="31" spans="1:14">
      <c r="A165" s="82" t="s">
        <v>40</v>
      </c>
      <c r="B165" s="82">
        <v>8</v>
      </c>
      <c r="C165" s="82" t="s">
        <v>175</v>
      </c>
      <c r="D165" s="82" t="s">
        <v>136</v>
      </c>
      <c r="E165" s="82" t="s">
        <v>66</v>
      </c>
      <c r="F165" s="82" t="s">
        <v>67</v>
      </c>
      <c r="G165" s="82" t="s">
        <v>339</v>
      </c>
      <c r="H165" s="82" t="s">
        <v>346</v>
      </c>
      <c r="I165" s="82" t="s">
        <v>195</v>
      </c>
      <c r="J165" s="82" t="s">
        <v>192</v>
      </c>
      <c r="K165" s="82" t="s">
        <v>420</v>
      </c>
      <c r="L165" s="83">
        <v>6300</v>
      </c>
      <c r="M165" s="82" t="s">
        <v>470</v>
      </c>
      <c r="N165" s="82"/>
    </row>
    <row r="166" spans="1:14">
      <c r="A166" s="78" t="s">
        <v>135</v>
      </c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</row>
    <row r="167" spans="1:14">
      <c r="A167" s="80" t="s">
        <v>51</v>
      </c>
      <c r="B167" s="80" t="s">
        <v>52</v>
      </c>
      <c r="C167" s="80" t="s">
        <v>178</v>
      </c>
      <c r="D167" s="80" t="s">
        <v>357</v>
      </c>
      <c r="E167" s="80" t="s">
        <v>53</v>
      </c>
      <c r="F167" s="80" t="s">
        <v>54</v>
      </c>
      <c r="G167" s="80" t="s">
        <v>179</v>
      </c>
      <c r="H167" s="80" t="s">
        <v>180</v>
      </c>
      <c r="I167" s="80" t="s">
        <v>181</v>
      </c>
      <c r="J167" s="80" t="s">
        <v>182</v>
      </c>
      <c r="K167" s="80" t="s">
        <v>358</v>
      </c>
      <c r="L167" s="81" t="s">
        <v>185</v>
      </c>
      <c r="M167" s="80" t="s">
        <v>187</v>
      </c>
      <c r="N167" s="80" t="s">
        <v>188</v>
      </c>
    </row>
    <row r="168" ht="31" spans="1:14">
      <c r="A168" s="82" t="s">
        <v>39</v>
      </c>
      <c r="B168" s="82">
        <v>2</v>
      </c>
      <c r="C168" s="82" t="s">
        <v>175</v>
      </c>
      <c r="D168" s="82" t="s">
        <v>405</v>
      </c>
      <c r="E168" s="82" t="s">
        <v>66</v>
      </c>
      <c r="F168" s="82" t="s">
        <v>67</v>
      </c>
      <c r="G168" s="82" t="s">
        <v>350</v>
      </c>
      <c r="H168" s="82" t="s">
        <v>244</v>
      </c>
      <c r="I168" s="82" t="s">
        <v>195</v>
      </c>
      <c r="J168" s="82" t="s">
        <v>192</v>
      </c>
      <c r="K168" s="82" t="s">
        <v>420</v>
      </c>
      <c r="L168" s="83">
        <v>4200</v>
      </c>
      <c r="M168" s="82" t="s">
        <v>445</v>
      </c>
      <c r="N168" s="82"/>
    </row>
    <row r="169" spans="1:14">
      <c r="A169" s="82" t="s">
        <v>39</v>
      </c>
      <c r="B169" s="82">
        <v>3</v>
      </c>
      <c r="C169" s="82" t="s">
        <v>175</v>
      </c>
      <c r="D169" s="82" t="s">
        <v>405</v>
      </c>
      <c r="E169" s="82" t="s">
        <v>137</v>
      </c>
      <c r="F169" s="82" t="s">
        <v>297</v>
      </c>
      <c r="G169" s="82" t="s">
        <v>350</v>
      </c>
      <c r="H169" s="82" t="s">
        <v>198</v>
      </c>
      <c r="I169" s="82" t="s">
        <v>198</v>
      </c>
      <c r="J169" s="82" t="s">
        <v>203</v>
      </c>
      <c r="K169" s="82" t="s">
        <v>459</v>
      </c>
      <c r="L169" s="83">
        <v>7200</v>
      </c>
      <c r="M169" s="82" t="s">
        <v>460</v>
      </c>
      <c r="N169" s="82"/>
    </row>
    <row r="170" ht="31" spans="1:14">
      <c r="A170" s="82" t="s">
        <v>39</v>
      </c>
      <c r="B170" s="82">
        <v>4</v>
      </c>
      <c r="C170" s="82" t="s">
        <v>175</v>
      </c>
      <c r="D170" s="82" t="s">
        <v>405</v>
      </c>
      <c r="E170" s="82" t="s">
        <v>66</v>
      </c>
      <c r="F170" s="82" t="s">
        <v>67</v>
      </c>
      <c r="G170" s="82" t="s">
        <v>350</v>
      </c>
      <c r="H170" s="82" t="s">
        <v>244</v>
      </c>
      <c r="I170" s="82" t="s">
        <v>208</v>
      </c>
      <c r="J170" s="82" t="s">
        <v>192</v>
      </c>
      <c r="K170" s="82" t="s">
        <v>420</v>
      </c>
      <c r="L170" s="83">
        <v>4200</v>
      </c>
      <c r="M170" s="82" t="s">
        <v>445</v>
      </c>
      <c r="N170" s="82"/>
    </row>
    <row r="171" spans="1:14">
      <c r="A171" s="78" t="s">
        <v>352</v>
      </c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</row>
    <row r="172" spans="1:14">
      <c r="A172" s="80" t="s">
        <v>51</v>
      </c>
      <c r="B172" s="80" t="s">
        <v>52</v>
      </c>
      <c r="C172" s="80" t="s">
        <v>178</v>
      </c>
      <c r="D172" s="80" t="s">
        <v>357</v>
      </c>
      <c r="E172" s="80" t="s">
        <v>53</v>
      </c>
      <c r="F172" s="80" t="s">
        <v>54</v>
      </c>
      <c r="G172" s="80" t="s">
        <v>179</v>
      </c>
      <c r="H172" s="80" t="s">
        <v>180</v>
      </c>
      <c r="I172" s="80" t="s">
        <v>181</v>
      </c>
      <c r="J172" s="80" t="s">
        <v>182</v>
      </c>
      <c r="K172" s="80" t="s">
        <v>358</v>
      </c>
      <c r="L172" s="81" t="s">
        <v>185</v>
      </c>
      <c r="M172" s="80" t="s">
        <v>187</v>
      </c>
      <c r="N172" s="80" t="s">
        <v>188</v>
      </c>
    </row>
    <row r="173" spans="1:14">
      <c r="A173" s="82" t="s">
        <v>407</v>
      </c>
      <c r="B173" s="89">
        <v>1</v>
      </c>
      <c r="C173" s="82" t="s">
        <v>175</v>
      </c>
      <c r="D173" s="82" t="s">
        <v>408</v>
      </c>
      <c r="E173" s="82" t="s">
        <v>221</v>
      </c>
      <c r="F173" s="82" t="s">
        <v>221</v>
      </c>
      <c r="G173" s="82"/>
      <c r="H173" s="82" t="s">
        <v>315</v>
      </c>
      <c r="I173" s="82"/>
      <c r="J173" s="82" t="s">
        <v>316</v>
      </c>
      <c r="K173" s="82" t="s">
        <v>461</v>
      </c>
      <c r="L173" s="83">
        <v>21600</v>
      </c>
      <c r="M173" s="82" t="s">
        <v>462</v>
      </c>
      <c r="N173" s="82" t="s">
        <v>463</v>
      </c>
    </row>
    <row r="174" spans="1:14">
      <c r="A174" s="82" t="s">
        <v>407</v>
      </c>
      <c r="B174" s="89">
        <v>2</v>
      </c>
      <c r="C174" s="82" t="s">
        <v>175</v>
      </c>
      <c r="D174" s="82" t="s">
        <v>408</v>
      </c>
      <c r="E174" s="82" t="s">
        <v>224</v>
      </c>
      <c r="F174" s="82" t="s">
        <v>224</v>
      </c>
      <c r="G174" s="82"/>
      <c r="H174" s="82" t="s">
        <v>353</v>
      </c>
      <c r="I174" s="82"/>
      <c r="J174" s="82" t="s">
        <v>321</v>
      </c>
      <c r="K174" s="82" t="s">
        <v>410</v>
      </c>
      <c r="L174" s="83">
        <v>0</v>
      </c>
      <c r="M174" s="82" t="s">
        <v>471</v>
      </c>
      <c r="N174" s="82" t="s">
        <v>465</v>
      </c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2:N82"/>
    <mergeCell ref="B86:N86"/>
    <mergeCell ref="A87:N87"/>
    <mergeCell ref="A106:N106"/>
    <mergeCell ref="A112:N112"/>
    <mergeCell ref="A121:N121"/>
    <mergeCell ref="A126:N126"/>
    <mergeCell ref="A131:N131"/>
    <mergeCell ref="A137:N137"/>
    <mergeCell ref="A142:N142"/>
    <mergeCell ref="A147:N147"/>
    <mergeCell ref="A152:N152"/>
    <mergeCell ref="A157:N157"/>
    <mergeCell ref="A166:N166"/>
    <mergeCell ref="A171:N171"/>
  </mergeCells>
  <conditionalFormatting sqref="L9:L84 L86:L166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{68eab36a-83bb-4433-88e5-a34695e80ac0}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eab36a-83bb-4433-88e5-a34695e80ac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L9:L84 L86:L166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4"/>
  <sheetViews>
    <sheetView showGridLines="0" workbookViewId="0">
      <selection activeCell="S3" sqref="S3"/>
    </sheetView>
  </sheetViews>
  <sheetFormatPr defaultColWidth="9.64285714285714" defaultRowHeight="17.6"/>
  <cols>
    <col min="1" max="1" width="14" style="61" customWidth="1"/>
    <col min="2" max="2" width="10" style="61" customWidth="1"/>
    <col min="3" max="3" width="8" style="61" customWidth="1"/>
    <col min="4" max="4" width="25" style="61" customWidth="1"/>
    <col min="5" max="5" width="14.2767857142857" style="61" customWidth="1"/>
    <col min="6" max="6" width="38" style="61" customWidth="1"/>
    <col min="7" max="7" width="12" style="61" customWidth="1"/>
    <col min="8" max="8" width="14" style="61" customWidth="1"/>
    <col min="9" max="10" width="12" style="61" customWidth="1"/>
    <col min="11" max="11" width="22" style="61" customWidth="1"/>
    <col min="12" max="12" width="14" style="61" customWidth="1"/>
    <col min="13" max="13" width="52" style="61" customWidth="1"/>
    <col min="14" max="14" width="36" style="61" customWidth="1"/>
    <col min="15" max="15" width="9.64285714285714" style="62"/>
    <col min="16" max="16" width="11.6071428571429" style="62" customWidth="1"/>
    <col min="17" max="17" width="12.4910714285714" style="63" customWidth="1"/>
    <col min="18" max="18" width="13.2857142857143" style="63" customWidth="1"/>
    <col min="19" max="19" width="11.9017857142857" style="63" customWidth="1"/>
    <col min="20" max="20" width="9.64285714285714" style="62"/>
    <col min="21" max="22" width="13.2857142857143" style="62"/>
    <col min="23" max="16384" width="9.64285714285714" style="62"/>
  </cols>
  <sheetData>
    <row r="1" ht="23.2" spans="1:18">
      <c r="A1" s="64" t="s">
        <v>472</v>
      </c>
      <c r="P1" s="65" t="s">
        <v>170</v>
      </c>
    </row>
    <row r="2" spans="1:18">
      <c r="A2" s="66" t="s">
        <v>152</v>
      </c>
      <c r="B2" s="67" t="s">
        <v>153</v>
      </c>
      <c r="C2" s="66" t="s">
        <v>154</v>
      </c>
      <c r="D2" s="67" t="s">
        <v>155</v>
      </c>
      <c r="E2" s="68"/>
      <c r="F2" s="68"/>
      <c r="G2" s="68"/>
      <c r="H2" s="68"/>
      <c r="I2" s="68"/>
      <c r="J2" s="68"/>
      <c r="K2" s="68"/>
      <c r="L2" s="69"/>
      <c r="M2" s="68"/>
      <c r="N2" s="68"/>
      <c r="P2" s="70" t="s">
        <v>3</v>
      </c>
      <c r="Q2" s="71" t="s">
        <v>172</v>
      </c>
      <c r="R2" s="72" t="s">
        <v>175</v>
      </c>
    </row>
    <row r="3" spans="1:18">
      <c r="A3" s="66" t="s">
        <v>158</v>
      </c>
      <c r="B3" s="67" t="s">
        <v>159</v>
      </c>
      <c r="C3" s="66" t="s">
        <v>166</v>
      </c>
      <c r="D3" s="67" t="s">
        <v>167</v>
      </c>
      <c r="E3" s="68"/>
      <c r="F3" s="68"/>
      <c r="G3" s="68"/>
      <c r="H3" s="68"/>
      <c r="I3" s="68"/>
      <c r="J3" s="68"/>
      <c r="K3" s="68"/>
      <c r="L3" s="69"/>
      <c r="M3" s="68"/>
      <c r="N3" s="68"/>
      <c r="P3" s="73" t="s">
        <v>26</v>
      </c>
      <c r="Q3" s="74">
        <f t="shared" ref="Q3:Q12" si="0">SUMIFS($L$1:$L$174,$C$1:$C$174,"DV",$A$1:$A$174,$P3)</f>
        <v>170380</v>
      </c>
      <c r="R3" s="75">
        <f t="shared" ref="R3:R16" si="1">SUMIFS($L$1:$L$174,$C$1:$C$174,"PV",$A$1:$A$174,$P3)</f>
        <v>170380</v>
      </c>
    </row>
    <row r="4" spans="1:18">
      <c r="A4" s="66" t="s">
        <v>156</v>
      </c>
      <c r="B4" s="67" t="s">
        <v>157</v>
      </c>
      <c r="C4" s="66" t="s">
        <v>160</v>
      </c>
      <c r="D4" s="67" t="s">
        <v>161</v>
      </c>
      <c r="E4" s="68"/>
      <c r="F4" s="68"/>
      <c r="G4" s="68"/>
      <c r="H4" s="68"/>
      <c r="I4" s="68"/>
      <c r="J4" s="68"/>
      <c r="K4" s="68"/>
      <c r="L4" s="69"/>
      <c r="M4" s="68"/>
      <c r="N4" s="68"/>
      <c r="P4" s="73" t="s">
        <v>27</v>
      </c>
      <c r="Q4" s="74">
        <f t="shared" si="0"/>
        <v>25760</v>
      </c>
      <c r="R4" s="75">
        <f t="shared" si="1"/>
        <v>25760</v>
      </c>
    </row>
    <row r="5" spans="1:18">
      <c r="A5" s="66" t="s">
        <v>162</v>
      </c>
      <c r="B5" s="67" t="s">
        <v>163</v>
      </c>
      <c r="C5" s="66" t="s">
        <v>164</v>
      </c>
      <c r="D5" s="67" t="s">
        <v>165</v>
      </c>
      <c r="E5" s="68"/>
      <c r="F5" s="68"/>
      <c r="G5" s="68"/>
      <c r="H5" s="68"/>
      <c r="I5" s="68"/>
      <c r="J5" s="68"/>
      <c r="K5" s="68"/>
      <c r="L5" s="69"/>
      <c r="M5" s="68"/>
      <c r="N5" s="68"/>
      <c r="P5" s="73" t="s">
        <v>29</v>
      </c>
      <c r="Q5" s="74">
        <f t="shared" si="0"/>
        <v>57960</v>
      </c>
      <c r="R5" s="75">
        <f t="shared" si="1"/>
        <v>57960</v>
      </c>
    </row>
    <row r="6" spans="1:18">
      <c r="A6" s="76" t="s">
        <v>168</v>
      </c>
      <c r="B6" s="77" t="s">
        <v>356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P6" s="73" t="s">
        <v>30</v>
      </c>
      <c r="Q6" s="74">
        <f t="shared" si="0"/>
        <v>55200</v>
      </c>
      <c r="R6" s="75">
        <f t="shared" si="1"/>
        <v>55200</v>
      </c>
    </row>
    <row r="7" spans="1:18">
      <c r="A7" s="78" t="s">
        <v>171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P7" s="73" t="s">
        <v>31</v>
      </c>
      <c r="Q7" s="74">
        <f t="shared" si="0"/>
        <v>62400</v>
      </c>
      <c r="R7" s="75">
        <f t="shared" si="1"/>
        <v>62400</v>
      </c>
    </row>
    <row r="8" spans="1:18">
      <c r="A8" s="80" t="s">
        <v>51</v>
      </c>
      <c r="B8" s="80" t="s">
        <v>52</v>
      </c>
      <c r="C8" s="80" t="s">
        <v>178</v>
      </c>
      <c r="D8" s="80" t="s">
        <v>357</v>
      </c>
      <c r="E8" s="80" t="s">
        <v>53</v>
      </c>
      <c r="F8" s="80" t="s">
        <v>54</v>
      </c>
      <c r="G8" s="80" t="s">
        <v>179</v>
      </c>
      <c r="H8" s="80" t="s">
        <v>180</v>
      </c>
      <c r="I8" s="80" t="s">
        <v>181</v>
      </c>
      <c r="J8" s="80" t="s">
        <v>182</v>
      </c>
      <c r="K8" s="80" t="s">
        <v>358</v>
      </c>
      <c r="L8" s="81" t="s">
        <v>185</v>
      </c>
      <c r="M8" s="80" t="s">
        <v>187</v>
      </c>
      <c r="N8" s="80" t="s">
        <v>188</v>
      </c>
      <c r="P8" s="73" t="s">
        <v>32</v>
      </c>
      <c r="Q8" s="74">
        <f t="shared" si="0"/>
        <v>83835</v>
      </c>
      <c r="R8" s="75">
        <f t="shared" si="1"/>
        <v>83835</v>
      </c>
    </row>
    <row r="9" s="60" customFormat="1" ht="31" spans="1:18">
      <c r="A9" s="82" t="s">
        <v>26</v>
      </c>
      <c r="B9" s="82">
        <v>2</v>
      </c>
      <c r="C9" s="82" t="s">
        <v>172</v>
      </c>
      <c r="D9" s="82" t="s">
        <v>48</v>
      </c>
      <c r="E9" s="82" t="s">
        <v>66</v>
      </c>
      <c r="F9" s="82" t="s">
        <v>67</v>
      </c>
      <c r="G9" s="82" t="s">
        <v>189</v>
      </c>
      <c r="H9" s="82" t="s">
        <v>190</v>
      </c>
      <c r="I9" s="82" t="s">
        <v>195</v>
      </c>
      <c r="J9" s="82" t="s">
        <v>192</v>
      </c>
      <c r="K9" s="82" t="s">
        <v>360</v>
      </c>
      <c r="L9" s="83">
        <v>5600</v>
      </c>
      <c r="M9" s="82" t="s">
        <v>196</v>
      </c>
      <c r="N9" s="82"/>
      <c r="P9" s="73" t="s">
        <v>34</v>
      </c>
      <c r="Q9" s="74">
        <f t="shared" si="0"/>
        <v>9800</v>
      </c>
      <c r="R9" s="75">
        <f t="shared" si="1"/>
        <v>9800</v>
      </c>
    </row>
    <row r="10" ht="31" spans="1:18">
      <c r="A10" s="82" t="s">
        <v>26</v>
      </c>
      <c r="B10" s="82">
        <v>3</v>
      </c>
      <c r="C10" s="82" t="s">
        <v>172</v>
      </c>
      <c r="D10" s="82" t="s">
        <v>48</v>
      </c>
      <c r="E10" s="82" t="s">
        <v>68</v>
      </c>
      <c r="F10" s="82" t="s">
        <v>69</v>
      </c>
      <c r="G10" s="82" t="s">
        <v>197</v>
      </c>
      <c r="H10" s="82"/>
      <c r="I10" s="82" t="s">
        <v>198</v>
      </c>
      <c r="J10" s="82" t="s">
        <v>199</v>
      </c>
      <c r="K10" s="82" t="s">
        <v>473</v>
      </c>
      <c r="L10" s="83">
        <v>31000</v>
      </c>
      <c r="M10" s="82" t="s">
        <v>474</v>
      </c>
      <c r="N10" s="82" t="s">
        <v>363</v>
      </c>
      <c r="P10" s="73" t="s">
        <v>36</v>
      </c>
      <c r="Q10" s="74">
        <f t="shared" si="0"/>
        <v>34800</v>
      </c>
      <c r="R10" s="75">
        <f t="shared" si="1"/>
        <v>34800</v>
      </c>
    </row>
    <row r="11" spans="1:18">
      <c r="A11" s="82" t="s">
        <v>26</v>
      </c>
      <c r="B11" s="82">
        <v>4</v>
      </c>
      <c r="C11" s="82" t="s">
        <v>172</v>
      </c>
      <c r="D11" s="82" t="s">
        <v>48</v>
      </c>
      <c r="E11" s="82" t="s">
        <v>70</v>
      </c>
      <c r="F11" s="82" t="s">
        <v>71</v>
      </c>
      <c r="G11" s="82" t="s">
        <v>197</v>
      </c>
      <c r="H11" s="82" t="s">
        <v>202</v>
      </c>
      <c r="I11" s="82" t="s">
        <v>202</v>
      </c>
      <c r="J11" s="82" t="s">
        <v>203</v>
      </c>
      <c r="K11" s="82" t="s">
        <v>395</v>
      </c>
      <c r="L11" s="83">
        <v>960</v>
      </c>
      <c r="M11" s="82" t="s">
        <v>475</v>
      </c>
      <c r="N11" s="82"/>
      <c r="P11" s="73" t="s">
        <v>37</v>
      </c>
      <c r="Q11" s="74">
        <f t="shared" si="0"/>
        <v>34800</v>
      </c>
      <c r="R11" s="75">
        <f t="shared" si="1"/>
        <v>34800</v>
      </c>
    </row>
    <row r="12" spans="1:18">
      <c r="A12" s="82" t="s">
        <v>26</v>
      </c>
      <c r="B12" s="82">
        <v>5</v>
      </c>
      <c r="C12" s="82" t="s">
        <v>172</v>
      </c>
      <c r="D12" s="82" t="s">
        <v>48</v>
      </c>
      <c r="E12" s="82" t="s">
        <v>72</v>
      </c>
      <c r="F12" s="82" t="s">
        <v>73</v>
      </c>
      <c r="G12" s="82" t="s">
        <v>197</v>
      </c>
      <c r="H12" s="82" t="s">
        <v>202</v>
      </c>
      <c r="I12" s="82" t="s">
        <v>202</v>
      </c>
      <c r="J12" s="82" t="s">
        <v>203</v>
      </c>
      <c r="K12" s="82" t="s">
        <v>395</v>
      </c>
      <c r="L12" s="83">
        <v>960</v>
      </c>
      <c r="M12" s="82" t="s">
        <v>475</v>
      </c>
      <c r="N12" s="82"/>
      <c r="P12" s="73" t="s">
        <v>38</v>
      </c>
      <c r="Q12" s="74">
        <f t="shared" si="0"/>
        <v>37800</v>
      </c>
      <c r="R12" s="75">
        <f t="shared" si="1"/>
        <v>37800</v>
      </c>
    </row>
    <row r="13" spans="1:18">
      <c r="A13" s="82" t="s">
        <v>26</v>
      </c>
      <c r="B13" s="82">
        <v>6</v>
      </c>
      <c r="C13" s="82" t="s">
        <v>172</v>
      </c>
      <c r="D13" s="82" t="s">
        <v>48</v>
      </c>
      <c r="E13" s="82" t="s">
        <v>74</v>
      </c>
      <c r="F13" s="82" t="s">
        <v>75</v>
      </c>
      <c r="G13" s="82" t="s">
        <v>197</v>
      </c>
      <c r="H13" s="82" t="s">
        <v>202</v>
      </c>
      <c r="I13" s="82" t="s">
        <v>202</v>
      </c>
      <c r="J13" s="82" t="s">
        <v>203</v>
      </c>
      <c r="K13" s="82" t="s">
        <v>395</v>
      </c>
      <c r="L13" s="83">
        <v>960</v>
      </c>
      <c r="M13" s="82" t="s">
        <v>475</v>
      </c>
      <c r="N13" s="82"/>
      <c r="P13" s="73" t="s">
        <v>40</v>
      </c>
      <c r="Q13" s="74" t="s">
        <v>214</v>
      </c>
      <c r="R13" s="75">
        <f t="shared" si="1"/>
        <v>69600</v>
      </c>
    </row>
    <row r="14" spans="1:18">
      <c r="A14" s="82" t="s">
        <v>26</v>
      </c>
      <c r="B14" s="82">
        <v>7</v>
      </c>
      <c r="C14" s="82" t="s">
        <v>172</v>
      </c>
      <c r="D14" s="82" t="s">
        <v>48</v>
      </c>
      <c r="E14" s="82" t="s">
        <v>76</v>
      </c>
      <c r="F14" s="82" t="s">
        <v>77</v>
      </c>
      <c r="G14" s="82" t="s">
        <v>197</v>
      </c>
      <c r="H14" s="82" t="s">
        <v>205</v>
      </c>
      <c r="I14" s="82" t="s">
        <v>205</v>
      </c>
      <c r="J14" s="82" t="s">
        <v>203</v>
      </c>
      <c r="K14" s="82" t="s">
        <v>395</v>
      </c>
      <c r="L14" s="83">
        <v>3840</v>
      </c>
      <c r="M14" s="82" t="s">
        <v>476</v>
      </c>
      <c r="N14" s="82"/>
      <c r="P14" s="73" t="s">
        <v>39</v>
      </c>
      <c r="Q14" s="74">
        <f>SUMIFS($L$1:$L$174,$C$1:$C$174,"DV",$A$1:$A$174,$P14)</f>
        <v>11400</v>
      </c>
      <c r="R14" s="75">
        <f t="shared" si="1"/>
        <v>11400</v>
      </c>
    </row>
    <row r="15" spans="1:18">
      <c r="A15" s="82" t="s">
        <v>26</v>
      </c>
      <c r="B15" s="82">
        <v>8</v>
      </c>
      <c r="C15" s="82" t="s">
        <v>172</v>
      </c>
      <c r="D15" s="82" t="s">
        <v>48</v>
      </c>
      <c r="E15" s="82" t="s">
        <v>78</v>
      </c>
      <c r="F15" s="82" t="s">
        <v>79</v>
      </c>
      <c r="G15" s="82" t="s">
        <v>197</v>
      </c>
      <c r="H15" s="82" t="s">
        <v>207</v>
      </c>
      <c r="I15" s="82" t="s">
        <v>208</v>
      </c>
      <c r="J15" s="82" t="s">
        <v>199</v>
      </c>
      <c r="K15" s="82" t="s">
        <v>427</v>
      </c>
      <c r="L15" s="83">
        <v>5000</v>
      </c>
      <c r="M15" s="82" t="s">
        <v>428</v>
      </c>
      <c r="N15" s="82"/>
      <c r="P15" s="73" t="s">
        <v>41</v>
      </c>
      <c r="Q15" s="74">
        <f>SUMIFS($L$1:$L$174,$C$1:$C$174,"DV",$A$1:$A$174,$P15)</f>
        <v>0</v>
      </c>
      <c r="R15" s="75">
        <f t="shared" si="1"/>
        <v>0</v>
      </c>
    </row>
    <row r="16" spans="1:18">
      <c r="A16" s="82" t="s">
        <v>26</v>
      </c>
      <c r="B16" s="82">
        <v>9</v>
      </c>
      <c r="C16" s="82" t="s">
        <v>172</v>
      </c>
      <c r="D16" s="82" t="s">
        <v>48</v>
      </c>
      <c r="E16" s="82" t="s">
        <v>80</v>
      </c>
      <c r="F16" s="82" t="s">
        <v>81</v>
      </c>
      <c r="G16" s="82" t="s">
        <v>197</v>
      </c>
      <c r="H16" s="82" t="s">
        <v>210</v>
      </c>
      <c r="I16" s="82" t="s">
        <v>210</v>
      </c>
      <c r="J16" s="82" t="s">
        <v>203</v>
      </c>
      <c r="K16" s="82" t="s">
        <v>395</v>
      </c>
      <c r="L16" s="83">
        <v>9600</v>
      </c>
      <c r="M16" s="82" t="s">
        <v>477</v>
      </c>
      <c r="N16" s="82"/>
      <c r="P16" s="73" t="s">
        <v>43</v>
      </c>
      <c r="Q16" s="74">
        <f>SUMIFS($L$1:$L$174,$C$1:$C$174,"DV",$A$1:$A$174,$P16)</f>
        <v>0</v>
      </c>
      <c r="R16" s="75">
        <f t="shared" si="1"/>
        <v>0</v>
      </c>
    </row>
    <row r="17" ht="31" spans="1:18">
      <c r="A17" s="82" t="s">
        <v>26</v>
      </c>
      <c r="B17" s="82">
        <v>10</v>
      </c>
      <c r="C17" s="82" t="s">
        <v>172</v>
      </c>
      <c r="D17" s="82" t="s">
        <v>48</v>
      </c>
      <c r="E17" s="82" t="s">
        <v>82</v>
      </c>
      <c r="F17" s="82" t="s">
        <v>83</v>
      </c>
      <c r="G17" s="82" t="s">
        <v>197</v>
      </c>
      <c r="H17" s="82" t="s">
        <v>212</v>
      </c>
      <c r="I17" s="82" t="s">
        <v>212</v>
      </c>
      <c r="J17" s="82" t="s">
        <v>203</v>
      </c>
      <c r="K17" s="82" t="s">
        <v>370</v>
      </c>
      <c r="L17" s="83">
        <v>10500</v>
      </c>
      <c r="M17" s="82" t="s">
        <v>213</v>
      </c>
      <c r="N17" s="82"/>
      <c r="P17" s="84" t="s">
        <v>221</v>
      </c>
      <c r="Q17" s="74">
        <v>7200</v>
      </c>
      <c r="R17" s="75">
        <v>7200</v>
      </c>
    </row>
    <row r="18" spans="1:18">
      <c r="A18" s="82" t="s">
        <v>26</v>
      </c>
      <c r="B18" s="82">
        <v>11</v>
      </c>
      <c r="C18" s="82" t="s">
        <v>172</v>
      </c>
      <c r="D18" s="82" t="s">
        <v>48</v>
      </c>
      <c r="E18" s="82" t="s">
        <v>84</v>
      </c>
      <c r="F18" s="82" t="s">
        <v>85</v>
      </c>
      <c r="G18" s="82" t="s">
        <v>197</v>
      </c>
      <c r="H18" s="82" t="s">
        <v>208</v>
      </c>
      <c r="I18" s="82" t="s">
        <v>208</v>
      </c>
      <c r="J18" s="82" t="s">
        <v>203</v>
      </c>
      <c r="K18" s="82" t="s">
        <v>468</v>
      </c>
      <c r="L18" s="83">
        <v>28800</v>
      </c>
      <c r="M18" s="82" t="s">
        <v>478</v>
      </c>
      <c r="N18" s="82"/>
      <c r="P18" s="85" t="s">
        <v>224</v>
      </c>
      <c r="Q18" s="74">
        <v>1950</v>
      </c>
      <c r="R18" s="75">
        <v>2100</v>
      </c>
    </row>
    <row r="19" spans="1:18">
      <c r="A19" s="82" t="s">
        <v>26</v>
      </c>
      <c r="B19" s="82">
        <v>12</v>
      </c>
      <c r="C19" s="82" t="s">
        <v>172</v>
      </c>
      <c r="D19" s="82" t="s">
        <v>48</v>
      </c>
      <c r="E19" s="82" t="s">
        <v>86</v>
      </c>
      <c r="F19" s="82" t="s">
        <v>87</v>
      </c>
      <c r="G19" s="82" t="s">
        <v>189</v>
      </c>
      <c r="H19" s="82" t="s">
        <v>190</v>
      </c>
      <c r="I19" s="82" t="s">
        <v>208</v>
      </c>
      <c r="J19" s="82" t="s">
        <v>192</v>
      </c>
      <c r="K19" s="82" t="s">
        <v>372</v>
      </c>
      <c r="L19" s="83">
        <v>4200</v>
      </c>
      <c r="M19" s="82" t="s">
        <v>216</v>
      </c>
      <c r="N19" s="82"/>
      <c r="P19" s="86" t="s">
        <v>226</v>
      </c>
      <c r="Q19" s="74">
        <f>SUM(Q3:Q18)</f>
        <v>593285</v>
      </c>
      <c r="R19" s="75">
        <f>SUM(R3:R18)</f>
        <v>663035</v>
      </c>
    </row>
    <row r="20" spans="1:18">
      <c r="A20" s="82" t="s">
        <v>26</v>
      </c>
      <c r="B20" s="82">
        <v>13</v>
      </c>
      <c r="C20" s="82" t="s">
        <v>172</v>
      </c>
      <c r="D20" s="82" t="s">
        <v>48</v>
      </c>
      <c r="E20" s="82" t="s">
        <v>88</v>
      </c>
      <c r="F20" s="82" t="s">
        <v>89</v>
      </c>
      <c r="G20" s="82" t="s">
        <v>197</v>
      </c>
      <c r="H20" s="82" t="s">
        <v>217</v>
      </c>
      <c r="I20" s="82" t="s">
        <v>208</v>
      </c>
      <c r="J20" s="82" t="s">
        <v>192</v>
      </c>
      <c r="K20" s="82" t="s">
        <v>372</v>
      </c>
      <c r="L20" s="83">
        <v>3600</v>
      </c>
      <c r="M20" s="82" t="s">
        <v>218</v>
      </c>
      <c r="N20" s="82"/>
    </row>
    <row r="21" ht="31" spans="1:18">
      <c r="A21" s="82" t="s">
        <v>26</v>
      </c>
      <c r="B21" s="82">
        <v>14</v>
      </c>
      <c r="C21" s="82" t="s">
        <v>172</v>
      </c>
      <c r="D21" s="82" t="s">
        <v>48</v>
      </c>
      <c r="E21" s="82" t="s">
        <v>90</v>
      </c>
      <c r="F21" s="82" t="s">
        <v>91</v>
      </c>
      <c r="G21" s="82" t="s">
        <v>197</v>
      </c>
      <c r="H21" s="82" t="s">
        <v>217</v>
      </c>
      <c r="I21" s="82" t="s">
        <v>210</v>
      </c>
      <c r="J21" s="82" t="s">
        <v>192</v>
      </c>
      <c r="K21" s="82" t="s">
        <v>479</v>
      </c>
      <c r="L21" s="83">
        <v>36000</v>
      </c>
      <c r="M21" s="82" t="s">
        <v>480</v>
      </c>
      <c r="N21" s="82" t="s">
        <v>220</v>
      </c>
    </row>
    <row r="22" spans="1:18">
      <c r="A22" s="82" t="s">
        <v>26</v>
      </c>
      <c r="B22" s="82">
        <v>15</v>
      </c>
      <c r="C22" s="82" t="s">
        <v>172</v>
      </c>
      <c r="D22" s="82" t="s">
        <v>48</v>
      </c>
      <c r="E22" s="82" t="s">
        <v>92</v>
      </c>
      <c r="F22" s="82" t="s">
        <v>93</v>
      </c>
      <c r="G22" s="82" t="s">
        <v>197</v>
      </c>
      <c r="H22" s="82" t="s">
        <v>222</v>
      </c>
      <c r="I22" s="82" t="s">
        <v>222</v>
      </c>
      <c r="J22" s="82" t="s">
        <v>203</v>
      </c>
      <c r="K22" s="82" t="s">
        <v>395</v>
      </c>
      <c r="L22" s="83">
        <v>10560</v>
      </c>
      <c r="M22" s="82" t="s">
        <v>481</v>
      </c>
      <c r="N22" s="82"/>
    </row>
    <row r="23" spans="1:18">
      <c r="A23" s="82" t="s">
        <v>26</v>
      </c>
      <c r="B23" s="82">
        <v>16</v>
      </c>
      <c r="C23" s="82" t="s">
        <v>172</v>
      </c>
      <c r="D23" s="82" t="s">
        <v>48</v>
      </c>
      <c r="E23" s="82" t="s">
        <v>94</v>
      </c>
      <c r="F23" s="82" t="s">
        <v>95</v>
      </c>
      <c r="G23" s="82" t="s">
        <v>197</v>
      </c>
      <c r="H23" s="82" t="s">
        <v>217</v>
      </c>
      <c r="I23" s="82" t="s">
        <v>195</v>
      </c>
      <c r="J23" s="82" t="s">
        <v>192</v>
      </c>
      <c r="K23" s="82" t="s">
        <v>378</v>
      </c>
      <c r="L23" s="83">
        <v>6000</v>
      </c>
      <c r="M23" s="82" t="s">
        <v>225</v>
      </c>
      <c r="N23" s="82"/>
    </row>
    <row r="24" spans="1:18">
      <c r="A24" s="82" t="s">
        <v>26</v>
      </c>
      <c r="B24" s="82">
        <v>17</v>
      </c>
      <c r="C24" s="82" t="s">
        <v>172</v>
      </c>
      <c r="D24" s="82" t="s">
        <v>48</v>
      </c>
      <c r="E24" s="82" t="s">
        <v>96</v>
      </c>
      <c r="F24" s="82" t="s">
        <v>97</v>
      </c>
      <c r="G24" s="82" t="s">
        <v>197</v>
      </c>
      <c r="H24" s="82" t="s">
        <v>227</v>
      </c>
      <c r="I24" s="82" t="s">
        <v>198</v>
      </c>
      <c r="J24" s="82" t="s">
        <v>199</v>
      </c>
      <c r="K24" s="82" t="s">
        <v>482</v>
      </c>
      <c r="L24" s="83">
        <v>7200</v>
      </c>
      <c r="M24" s="82" t="s">
        <v>483</v>
      </c>
      <c r="N24" s="82"/>
    </row>
    <row r="25" ht="31" spans="1:18">
      <c r="A25" s="82" t="s">
        <v>26</v>
      </c>
      <c r="B25" s="82">
        <v>19</v>
      </c>
      <c r="C25" s="82" t="s">
        <v>172</v>
      </c>
      <c r="D25" s="82" t="s">
        <v>48</v>
      </c>
      <c r="E25" s="82" t="s">
        <v>66</v>
      </c>
      <c r="F25" s="82" t="s">
        <v>67</v>
      </c>
      <c r="G25" s="82" t="s">
        <v>189</v>
      </c>
      <c r="H25" s="82" t="s">
        <v>190</v>
      </c>
      <c r="I25" s="82" t="s">
        <v>195</v>
      </c>
      <c r="J25" s="82" t="s">
        <v>192</v>
      </c>
      <c r="K25" s="82" t="s">
        <v>360</v>
      </c>
      <c r="L25" s="83">
        <v>5600</v>
      </c>
      <c r="M25" s="82" t="s">
        <v>196</v>
      </c>
      <c r="N25" s="82"/>
    </row>
    <row r="26" spans="1:18">
      <c r="A26" s="78" t="s">
        <v>233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</row>
    <row r="27" spans="1:18">
      <c r="A27" s="80" t="s">
        <v>51</v>
      </c>
      <c r="B27" s="80" t="s">
        <v>52</v>
      </c>
      <c r="C27" s="80" t="s">
        <v>178</v>
      </c>
      <c r="D27" s="80" t="s">
        <v>357</v>
      </c>
      <c r="E27" s="80" t="s">
        <v>53</v>
      </c>
      <c r="F27" s="80" t="s">
        <v>54</v>
      </c>
      <c r="G27" s="80" t="s">
        <v>179</v>
      </c>
      <c r="H27" s="80" t="s">
        <v>180</v>
      </c>
      <c r="I27" s="80" t="s">
        <v>181</v>
      </c>
      <c r="J27" s="80" t="s">
        <v>182</v>
      </c>
      <c r="K27" s="80" t="s">
        <v>358</v>
      </c>
      <c r="L27" s="81" t="s">
        <v>185</v>
      </c>
      <c r="M27" s="80" t="s">
        <v>187</v>
      </c>
      <c r="N27" s="80" t="s">
        <v>188</v>
      </c>
    </row>
    <row r="28" ht="31" spans="1:18">
      <c r="A28" s="82" t="s">
        <v>27</v>
      </c>
      <c r="B28" s="82">
        <v>2</v>
      </c>
      <c r="C28" s="82" t="s">
        <v>172</v>
      </c>
      <c r="D28" s="82" t="s">
        <v>102</v>
      </c>
      <c r="E28" s="82" t="s">
        <v>66</v>
      </c>
      <c r="F28" s="82" t="s">
        <v>67</v>
      </c>
      <c r="G28" s="82" t="s">
        <v>234</v>
      </c>
      <c r="H28" s="82" t="s">
        <v>217</v>
      </c>
      <c r="I28" s="82" t="s">
        <v>195</v>
      </c>
      <c r="J28" s="82" t="s">
        <v>192</v>
      </c>
      <c r="K28" s="82" t="s">
        <v>360</v>
      </c>
      <c r="L28" s="83">
        <v>4800</v>
      </c>
      <c r="M28" s="82" t="s">
        <v>236</v>
      </c>
      <c r="N28" s="82"/>
    </row>
    <row r="29" ht="46" spans="1:18">
      <c r="A29" s="82" t="s">
        <v>27</v>
      </c>
      <c r="B29" s="82">
        <v>3</v>
      </c>
      <c r="C29" s="82" t="s">
        <v>172</v>
      </c>
      <c r="D29" s="82" t="s">
        <v>102</v>
      </c>
      <c r="E29" s="82" t="s">
        <v>103</v>
      </c>
      <c r="F29" s="82" t="s">
        <v>104</v>
      </c>
      <c r="G29" s="82" t="s">
        <v>234</v>
      </c>
      <c r="H29" s="82" t="s">
        <v>195</v>
      </c>
      <c r="I29" s="82" t="s">
        <v>195</v>
      </c>
      <c r="J29" s="82" t="s">
        <v>203</v>
      </c>
      <c r="K29" s="82" t="s">
        <v>442</v>
      </c>
      <c r="L29" s="83">
        <v>6660</v>
      </c>
      <c r="M29" s="82" t="s">
        <v>484</v>
      </c>
      <c r="N29" s="82" t="s">
        <v>238</v>
      </c>
    </row>
    <row r="30" ht="31" spans="1:18">
      <c r="A30" s="82" t="s">
        <v>27</v>
      </c>
      <c r="B30" s="82">
        <v>4</v>
      </c>
      <c r="C30" s="82" t="s">
        <v>172</v>
      </c>
      <c r="D30" s="82" t="s">
        <v>102</v>
      </c>
      <c r="E30" s="82" t="s">
        <v>106</v>
      </c>
      <c r="F30" s="82" t="s">
        <v>107</v>
      </c>
      <c r="G30" s="82" t="s">
        <v>234</v>
      </c>
      <c r="H30" s="82" t="s">
        <v>217</v>
      </c>
      <c r="I30" s="82" t="s">
        <v>191</v>
      </c>
      <c r="J30" s="82" t="s">
        <v>192</v>
      </c>
      <c r="K30" s="82" t="s">
        <v>442</v>
      </c>
      <c r="L30" s="83">
        <v>9500</v>
      </c>
      <c r="M30" s="82" t="s">
        <v>485</v>
      </c>
      <c r="N30" s="82" t="s">
        <v>240</v>
      </c>
    </row>
    <row r="31" ht="31" spans="1:18">
      <c r="A31" s="82" t="s">
        <v>27</v>
      </c>
      <c r="B31" s="82">
        <v>5</v>
      </c>
      <c r="C31" s="82" t="s">
        <v>172</v>
      </c>
      <c r="D31" s="82" t="s">
        <v>102</v>
      </c>
      <c r="E31" s="82" t="s">
        <v>66</v>
      </c>
      <c r="F31" s="82" t="s">
        <v>67</v>
      </c>
      <c r="G31" s="82" t="s">
        <v>234</v>
      </c>
      <c r="H31" s="82" t="s">
        <v>217</v>
      </c>
      <c r="I31" s="82" t="s">
        <v>195</v>
      </c>
      <c r="J31" s="82" t="s">
        <v>192</v>
      </c>
      <c r="K31" s="82" t="s">
        <v>360</v>
      </c>
      <c r="L31" s="83">
        <v>4800</v>
      </c>
      <c r="M31" s="82" t="s">
        <v>236</v>
      </c>
      <c r="N31" s="82"/>
    </row>
    <row r="32" spans="1:18">
      <c r="A32" s="78" t="s">
        <v>242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4">
      <c r="A33" s="80" t="s">
        <v>51</v>
      </c>
      <c r="B33" s="80" t="s">
        <v>52</v>
      </c>
      <c r="C33" s="80" t="s">
        <v>178</v>
      </c>
      <c r="D33" s="80" t="s">
        <v>357</v>
      </c>
      <c r="E33" s="80" t="s">
        <v>53</v>
      </c>
      <c r="F33" s="80" t="s">
        <v>54</v>
      </c>
      <c r="G33" s="80" t="s">
        <v>179</v>
      </c>
      <c r="H33" s="80" t="s">
        <v>180</v>
      </c>
      <c r="I33" s="80" t="s">
        <v>181</v>
      </c>
      <c r="J33" s="80" t="s">
        <v>182</v>
      </c>
      <c r="K33" s="80" t="s">
        <v>358</v>
      </c>
      <c r="L33" s="81" t="s">
        <v>185</v>
      </c>
      <c r="M33" s="80" t="s">
        <v>187</v>
      </c>
      <c r="N33" s="80" t="s">
        <v>188</v>
      </c>
    </row>
    <row r="34" ht="31" spans="1:14">
      <c r="A34" s="82" t="s">
        <v>29</v>
      </c>
      <c r="B34" s="82">
        <v>2</v>
      </c>
      <c r="C34" s="82" t="s">
        <v>172</v>
      </c>
      <c r="D34" s="82" t="s">
        <v>109</v>
      </c>
      <c r="E34" s="82" t="s">
        <v>66</v>
      </c>
      <c r="F34" s="82" t="s">
        <v>67</v>
      </c>
      <c r="G34" s="82" t="s">
        <v>243</v>
      </c>
      <c r="H34" s="82" t="s">
        <v>244</v>
      </c>
      <c r="I34" s="82" t="s">
        <v>195</v>
      </c>
      <c r="J34" s="82" t="s">
        <v>192</v>
      </c>
      <c r="K34" s="82" t="s">
        <v>360</v>
      </c>
      <c r="L34" s="83">
        <v>2400</v>
      </c>
      <c r="M34" s="82" t="s">
        <v>246</v>
      </c>
      <c r="N34" s="82"/>
    </row>
    <row r="35" spans="1:14">
      <c r="A35" s="82" t="s">
        <v>29</v>
      </c>
      <c r="B35" s="82">
        <v>3</v>
      </c>
      <c r="C35" s="82" t="s">
        <v>172</v>
      </c>
      <c r="D35" s="82" t="s">
        <v>109</v>
      </c>
      <c r="E35" s="82" t="s">
        <v>82</v>
      </c>
      <c r="F35" s="82" t="s">
        <v>83</v>
      </c>
      <c r="G35" s="82" t="s">
        <v>243</v>
      </c>
      <c r="H35" s="82" t="s">
        <v>212</v>
      </c>
      <c r="I35" s="82" t="s">
        <v>212</v>
      </c>
      <c r="J35" s="82" t="s">
        <v>203</v>
      </c>
      <c r="K35" s="82" t="s">
        <v>370</v>
      </c>
      <c r="L35" s="83">
        <v>10500</v>
      </c>
      <c r="M35" s="82" t="s">
        <v>213</v>
      </c>
      <c r="N35" s="82"/>
    </row>
    <row r="36" ht="31" spans="1:14">
      <c r="A36" s="82" t="s">
        <v>29</v>
      </c>
      <c r="B36" s="82">
        <v>4</v>
      </c>
      <c r="C36" s="82" t="s">
        <v>172</v>
      </c>
      <c r="D36" s="82" t="s">
        <v>109</v>
      </c>
      <c r="E36" s="82" t="s">
        <v>68</v>
      </c>
      <c r="F36" s="82" t="s">
        <v>69</v>
      </c>
      <c r="G36" s="82" t="s">
        <v>243</v>
      </c>
      <c r="H36" s="82"/>
      <c r="I36" s="82" t="s">
        <v>208</v>
      </c>
      <c r="J36" s="82" t="s">
        <v>199</v>
      </c>
      <c r="K36" s="82" t="s">
        <v>486</v>
      </c>
      <c r="L36" s="83">
        <v>13000</v>
      </c>
      <c r="M36" s="82" t="s">
        <v>487</v>
      </c>
      <c r="N36" s="82" t="s">
        <v>387</v>
      </c>
    </row>
    <row r="37" spans="1:14">
      <c r="A37" s="82" t="s">
        <v>29</v>
      </c>
      <c r="B37" s="82">
        <v>5</v>
      </c>
      <c r="C37" s="82" t="s">
        <v>172</v>
      </c>
      <c r="D37" s="82" t="s">
        <v>109</v>
      </c>
      <c r="E37" s="82" t="s">
        <v>84</v>
      </c>
      <c r="F37" s="82" t="s">
        <v>110</v>
      </c>
      <c r="G37" s="82" t="s">
        <v>243</v>
      </c>
      <c r="H37" s="82" t="s">
        <v>202</v>
      </c>
      <c r="I37" s="82" t="s">
        <v>202</v>
      </c>
      <c r="J37" s="82" t="s">
        <v>203</v>
      </c>
      <c r="K37" s="82" t="s">
        <v>468</v>
      </c>
      <c r="L37" s="83">
        <v>14400</v>
      </c>
      <c r="M37" s="82" t="s">
        <v>488</v>
      </c>
      <c r="N37" s="82"/>
    </row>
    <row r="38" spans="1:14">
      <c r="A38" s="82" t="s">
        <v>29</v>
      </c>
      <c r="B38" s="82">
        <v>6</v>
      </c>
      <c r="C38" s="82" t="s">
        <v>172</v>
      </c>
      <c r="D38" s="82" t="s">
        <v>109</v>
      </c>
      <c r="E38" s="82" t="s">
        <v>96</v>
      </c>
      <c r="F38" s="82" t="s">
        <v>97</v>
      </c>
      <c r="G38" s="82" t="s">
        <v>243</v>
      </c>
      <c r="H38" s="82" t="s">
        <v>250</v>
      </c>
      <c r="I38" s="82" t="s">
        <v>208</v>
      </c>
      <c r="J38" s="82" t="s">
        <v>199</v>
      </c>
      <c r="K38" s="82" t="s">
        <v>482</v>
      </c>
      <c r="L38" s="83">
        <v>3600</v>
      </c>
      <c r="M38" s="82" t="s">
        <v>489</v>
      </c>
      <c r="N38" s="82"/>
    </row>
    <row r="39" ht="46" spans="1:14">
      <c r="A39" s="82" t="s">
        <v>29</v>
      </c>
      <c r="B39" s="82">
        <v>8</v>
      </c>
      <c r="C39" s="82" t="s">
        <v>172</v>
      </c>
      <c r="D39" s="82" t="s">
        <v>109</v>
      </c>
      <c r="E39" s="82" t="s">
        <v>111</v>
      </c>
      <c r="F39" s="82" t="s">
        <v>112</v>
      </c>
      <c r="G39" s="82" t="s">
        <v>243</v>
      </c>
      <c r="H39" s="82" t="s">
        <v>253</v>
      </c>
      <c r="I39" s="82" t="s">
        <v>253</v>
      </c>
      <c r="J39" s="82" t="s">
        <v>203</v>
      </c>
      <c r="K39" s="82" t="s">
        <v>442</v>
      </c>
      <c r="L39" s="83">
        <v>11660</v>
      </c>
      <c r="M39" s="82" t="s">
        <v>490</v>
      </c>
      <c r="N39" s="82" t="s">
        <v>255</v>
      </c>
    </row>
    <row r="40" ht="31" spans="1:14">
      <c r="A40" s="82" t="s">
        <v>29</v>
      </c>
      <c r="B40" s="82">
        <v>9</v>
      </c>
      <c r="C40" s="82" t="s">
        <v>172</v>
      </c>
      <c r="D40" s="82" t="s">
        <v>109</v>
      </c>
      <c r="E40" s="82" t="s">
        <v>66</v>
      </c>
      <c r="F40" s="82" t="s">
        <v>67</v>
      </c>
      <c r="G40" s="82" t="s">
        <v>243</v>
      </c>
      <c r="H40" s="82" t="s">
        <v>244</v>
      </c>
      <c r="I40" s="82" t="s">
        <v>208</v>
      </c>
      <c r="J40" s="82" t="s">
        <v>192</v>
      </c>
      <c r="K40" s="82" t="s">
        <v>360</v>
      </c>
      <c r="L40" s="83">
        <v>2400</v>
      </c>
      <c r="M40" s="82" t="s">
        <v>246</v>
      </c>
      <c r="N40" s="82"/>
    </row>
    <row r="41" spans="1:14">
      <c r="A41" s="78" t="s">
        <v>257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</row>
    <row r="42" spans="1:14">
      <c r="A42" s="80" t="s">
        <v>51</v>
      </c>
      <c r="B42" s="80" t="s">
        <v>52</v>
      </c>
      <c r="C42" s="80" t="s">
        <v>178</v>
      </c>
      <c r="D42" s="80" t="s">
        <v>357</v>
      </c>
      <c r="E42" s="80" t="s">
        <v>53</v>
      </c>
      <c r="F42" s="80" t="s">
        <v>54</v>
      </c>
      <c r="G42" s="80" t="s">
        <v>179</v>
      </c>
      <c r="H42" s="80" t="s">
        <v>180</v>
      </c>
      <c r="I42" s="80" t="s">
        <v>181</v>
      </c>
      <c r="J42" s="80" t="s">
        <v>182</v>
      </c>
      <c r="K42" s="80" t="s">
        <v>358</v>
      </c>
      <c r="L42" s="81" t="s">
        <v>185</v>
      </c>
      <c r="M42" s="80" t="s">
        <v>187</v>
      </c>
      <c r="N42" s="80" t="s">
        <v>188</v>
      </c>
    </row>
    <row r="43" ht="31" spans="1:14">
      <c r="A43" s="82" t="s">
        <v>30</v>
      </c>
      <c r="B43" s="82">
        <v>2</v>
      </c>
      <c r="C43" s="82" t="s">
        <v>172</v>
      </c>
      <c r="D43" s="82" t="s">
        <v>113</v>
      </c>
      <c r="E43" s="82" t="s">
        <v>66</v>
      </c>
      <c r="F43" s="82" t="s">
        <v>67</v>
      </c>
      <c r="G43" s="82" t="s">
        <v>258</v>
      </c>
      <c r="H43" s="82" t="s">
        <v>244</v>
      </c>
      <c r="I43" s="82" t="s">
        <v>195</v>
      </c>
      <c r="J43" s="82" t="s">
        <v>192</v>
      </c>
      <c r="K43" s="82" t="s">
        <v>360</v>
      </c>
      <c r="L43" s="83">
        <v>2400</v>
      </c>
      <c r="M43" s="82" t="s">
        <v>246</v>
      </c>
      <c r="N43" s="82"/>
    </row>
    <row r="44" ht="31" spans="1:14">
      <c r="A44" s="82" t="s">
        <v>30</v>
      </c>
      <c r="B44" s="82">
        <v>3</v>
      </c>
      <c r="C44" s="82" t="s">
        <v>172</v>
      </c>
      <c r="D44" s="82" t="s">
        <v>113</v>
      </c>
      <c r="E44" s="82" t="s">
        <v>114</v>
      </c>
      <c r="F44" s="82" t="s">
        <v>115</v>
      </c>
      <c r="G44" s="82" t="s">
        <v>258</v>
      </c>
      <c r="H44" s="82" t="s">
        <v>259</v>
      </c>
      <c r="I44" s="82" t="s">
        <v>259</v>
      </c>
      <c r="J44" s="82" t="s">
        <v>203</v>
      </c>
      <c r="K44" s="82" t="s">
        <v>491</v>
      </c>
      <c r="L44" s="83">
        <v>50400</v>
      </c>
      <c r="M44" s="82" t="s">
        <v>492</v>
      </c>
      <c r="N44" s="82"/>
    </row>
    <row r="45" ht="31" spans="1:14">
      <c r="A45" s="82" t="s">
        <v>30</v>
      </c>
      <c r="B45" s="82">
        <v>4</v>
      </c>
      <c r="C45" s="82" t="s">
        <v>172</v>
      </c>
      <c r="D45" s="82" t="s">
        <v>113</v>
      </c>
      <c r="E45" s="82" t="s">
        <v>66</v>
      </c>
      <c r="F45" s="82" t="s">
        <v>67</v>
      </c>
      <c r="G45" s="82" t="s">
        <v>258</v>
      </c>
      <c r="H45" s="82" t="s">
        <v>244</v>
      </c>
      <c r="I45" s="82" t="s">
        <v>208</v>
      </c>
      <c r="J45" s="82" t="s">
        <v>192</v>
      </c>
      <c r="K45" s="82" t="s">
        <v>360</v>
      </c>
      <c r="L45" s="83">
        <v>2400</v>
      </c>
      <c r="M45" s="82" t="s">
        <v>246</v>
      </c>
      <c r="N45" s="82"/>
    </row>
    <row r="46" spans="1:14">
      <c r="A46" s="78" t="s">
        <v>262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</row>
    <row r="47" spans="1:14">
      <c r="A47" s="80" t="s">
        <v>51</v>
      </c>
      <c r="B47" s="80" t="s">
        <v>52</v>
      </c>
      <c r="C47" s="80" t="s">
        <v>178</v>
      </c>
      <c r="D47" s="80" t="s">
        <v>357</v>
      </c>
      <c r="E47" s="80" t="s">
        <v>53</v>
      </c>
      <c r="F47" s="80" t="s">
        <v>54</v>
      </c>
      <c r="G47" s="80" t="s">
        <v>179</v>
      </c>
      <c r="H47" s="80" t="s">
        <v>180</v>
      </c>
      <c r="I47" s="80" t="s">
        <v>181</v>
      </c>
      <c r="J47" s="80" t="s">
        <v>182</v>
      </c>
      <c r="K47" s="80" t="s">
        <v>358</v>
      </c>
      <c r="L47" s="81" t="s">
        <v>185</v>
      </c>
      <c r="M47" s="80" t="s">
        <v>187</v>
      </c>
      <c r="N47" s="80" t="s">
        <v>188</v>
      </c>
    </row>
    <row r="48" ht="31" spans="1:14">
      <c r="A48" s="82" t="s">
        <v>31</v>
      </c>
      <c r="B48" s="82">
        <v>2</v>
      </c>
      <c r="C48" s="82" t="s">
        <v>172</v>
      </c>
      <c r="D48" s="82" t="s">
        <v>116</v>
      </c>
      <c r="E48" s="82" t="s">
        <v>66</v>
      </c>
      <c r="F48" s="82" t="s">
        <v>67</v>
      </c>
      <c r="G48" s="82" t="s">
        <v>263</v>
      </c>
      <c r="H48" s="82" t="s">
        <v>244</v>
      </c>
      <c r="I48" s="82" t="s">
        <v>195</v>
      </c>
      <c r="J48" s="82" t="s">
        <v>192</v>
      </c>
      <c r="K48" s="82" t="s">
        <v>360</v>
      </c>
      <c r="L48" s="83">
        <v>2400</v>
      </c>
      <c r="M48" s="82" t="s">
        <v>246</v>
      </c>
      <c r="N48" s="82"/>
    </row>
    <row r="49" ht="31" spans="1:14">
      <c r="A49" s="82" t="s">
        <v>31</v>
      </c>
      <c r="B49" s="82">
        <v>3</v>
      </c>
      <c r="C49" s="82" t="s">
        <v>172</v>
      </c>
      <c r="D49" s="82" t="s">
        <v>116</v>
      </c>
      <c r="E49" s="82" t="s">
        <v>117</v>
      </c>
      <c r="F49" s="82" t="s">
        <v>118</v>
      </c>
      <c r="G49" s="82" t="s">
        <v>263</v>
      </c>
      <c r="H49" s="82" t="s">
        <v>264</v>
      </c>
      <c r="I49" s="82" t="s">
        <v>264</v>
      </c>
      <c r="J49" s="82" t="s">
        <v>203</v>
      </c>
      <c r="K49" s="82" t="s">
        <v>493</v>
      </c>
      <c r="L49" s="83">
        <v>57600</v>
      </c>
      <c r="M49" s="82" t="s">
        <v>494</v>
      </c>
      <c r="N49" s="82"/>
    </row>
    <row r="50" ht="31" spans="1:14">
      <c r="A50" s="82" t="s">
        <v>31</v>
      </c>
      <c r="B50" s="82">
        <v>4</v>
      </c>
      <c r="C50" s="82" t="s">
        <v>172</v>
      </c>
      <c r="D50" s="82" t="s">
        <v>116</v>
      </c>
      <c r="E50" s="82" t="s">
        <v>66</v>
      </c>
      <c r="F50" s="82" t="s">
        <v>67</v>
      </c>
      <c r="G50" s="82" t="s">
        <v>263</v>
      </c>
      <c r="H50" s="82" t="s">
        <v>244</v>
      </c>
      <c r="I50" s="82" t="s">
        <v>208</v>
      </c>
      <c r="J50" s="82" t="s">
        <v>192</v>
      </c>
      <c r="K50" s="82" t="s">
        <v>360</v>
      </c>
      <c r="L50" s="83">
        <v>2400</v>
      </c>
      <c r="M50" s="82" t="s">
        <v>246</v>
      </c>
      <c r="N50" s="82"/>
    </row>
    <row r="51" spans="1:14">
      <c r="A51" s="78" t="s">
        <v>267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</row>
    <row r="52" spans="1:14">
      <c r="A52" s="80" t="s">
        <v>51</v>
      </c>
      <c r="B52" s="80" t="s">
        <v>52</v>
      </c>
      <c r="C52" s="80" t="s">
        <v>178</v>
      </c>
      <c r="D52" s="80" t="s">
        <v>357</v>
      </c>
      <c r="E52" s="80" t="s">
        <v>53</v>
      </c>
      <c r="F52" s="80" t="s">
        <v>54</v>
      </c>
      <c r="G52" s="80" t="s">
        <v>179</v>
      </c>
      <c r="H52" s="80" t="s">
        <v>180</v>
      </c>
      <c r="I52" s="80" t="s">
        <v>181</v>
      </c>
      <c r="J52" s="80" t="s">
        <v>182</v>
      </c>
      <c r="K52" s="80" t="s">
        <v>358</v>
      </c>
      <c r="L52" s="81" t="s">
        <v>185</v>
      </c>
      <c r="M52" s="80" t="s">
        <v>187</v>
      </c>
      <c r="N52" s="80" t="s">
        <v>188</v>
      </c>
    </row>
    <row r="53" ht="31" spans="1:14">
      <c r="A53" s="82" t="s">
        <v>32</v>
      </c>
      <c r="B53" s="82">
        <v>2</v>
      </c>
      <c r="C53" s="82" t="s">
        <v>172</v>
      </c>
      <c r="D53" s="82" t="s">
        <v>394</v>
      </c>
      <c r="E53" s="82" t="s">
        <v>66</v>
      </c>
      <c r="F53" s="82" t="s">
        <v>67</v>
      </c>
      <c r="G53" s="82" t="s">
        <v>268</v>
      </c>
      <c r="H53" s="82" t="s">
        <v>244</v>
      </c>
      <c r="I53" s="82" t="s">
        <v>195</v>
      </c>
      <c r="J53" s="82" t="s">
        <v>192</v>
      </c>
      <c r="K53" s="82" t="s">
        <v>360</v>
      </c>
      <c r="L53" s="83">
        <v>2400</v>
      </c>
      <c r="M53" s="82" t="s">
        <v>246</v>
      </c>
      <c r="N53" s="82"/>
    </row>
    <row r="54" ht="31" spans="1:14">
      <c r="A54" s="82" t="s">
        <v>32</v>
      </c>
      <c r="B54" s="82">
        <v>3</v>
      </c>
      <c r="C54" s="82" t="s">
        <v>172</v>
      </c>
      <c r="D54" s="82" t="s">
        <v>394</v>
      </c>
      <c r="E54" s="82" t="s">
        <v>120</v>
      </c>
      <c r="F54" s="82" t="s">
        <v>121</v>
      </c>
      <c r="G54" s="82" t="s">
        <v>268</v>
      </c>
      <c r="H54" s="82" t="s">
        <v>271</v>
      </c>
      <c r="I54" s="82" t="s">
        <v>271</v>
      </c>
      <c r="J54" s="82" t="s">
        <v>203</v>
      </c>
      <c r="K54" s="82" t="s">
        <v>406</v>
      </c>
      <c r="L54" s="83">
        <v>55935</v>
      </c>
      <c r="M54" s="82" t="s">
        <v>495</v>
      </c>
      <c r="N54" s="82"/>
    </row>
    <row r="55" ht="31" spans="1:14">
      <c r="A55" s="82" t="s">
        <v>32</v>
      </c>
      <c r="B55" s="82">
        <v>4</v>
      </c>
      <c r="C55" s="82" t="s">
        <v>172</v>
      </c>
      <c r="D55" s="82" t="s">
        <v>394</v>
      </c>
      <c r="E55" s="82" t="s">
        <v>66</v>
      </c>
      <c r="F55" s="82" t="s">
        <v>67</v>
      </c>
      <c r="G55" s="82" t="s">
        <v>268</v>
      </c>
      <c r="H55" s="82" t="s">
        <v>244</v>
      </c>
      <c r="I55" s="82" t="s">
        <v>208</v>
      </c>
      <c r="J55" s="82" t="s">
        <v>192</v>
      </c>
      <c r="K55" s="82" t="s">
        <v>360</v>
      </c>
      <c r="L55" s="83">
        <v>2400</v>
      </c>
      <c r="M55" s="82" t="s">
        <v>246</v>
      </c>
      <c r="N55" s="82"/>
    </row>
    <row r="56" ht="46" spans="1:14">
      <c r="A56" s="82" t="s">
        <v>32</v>
      </c>
      <c r="B56" s="82">
        <v>6</v>
      </c>
      <c r="C56" s="82" t="s">
        <v>172</v>
      </c>
      <c r="D56" s="82" t="s">
        <v>394</v>
      </c>
      <c r="E56" s="82" t="s">
        <v>123</v>
      </c>
      <c r="F56" s="82" t="s">
        <v>123</v>
      </c>
      <c r="G56" s="82" t="s">
        <v>268</v>
      </c>
      <c r="H56" s="82" t="s">
        <v>333</v>
      </c>
      <c r="I56" s="82" t="s">
        <v>275</v>
      </c>
      <c r="J56" s="82" t="s">
        <v>192</v>
      </c>
      <c r="K56" s="82" t="s">
        <v>420</v>
      </c>
      <c r="L56" s="83">
        <v>23100</v>
      </c>
      <c r="M56" s="82" t="s">
        <v>496</v>
      </c>
      <c r="N56" s="82" t="s">
        <v>277</v>
      </c>
    </row>
    <row r="57" spans="1:14">
      <c r="A57" s="78" t="s">
        <v>453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</row>
    <row r="58" spans="1:14">
      <c r="A58" s="80" t="s">
        <v>51</v>
      </c>
      <c r="B58" s="80" t="s">
        <v>52</v>
      </c>
      <c r="C58" s="80" t="s">
        <v>178</v>
      </c>
      <c r="D58" s="80" t="s">
        <v>357</v>
      </c>
      <c r="E58" s="80" t="s">
        <v>53</v>
      </c>
      <c r="F58" s="80" t="s">
        <v>54</v>
      </c>
      <c r="G58" s="80" t="s">
        <v>179</v>
      </c>
      <c r="H58" s="80" t="s">
        <v>180</v>
      </c>
      <c r="I58" s="80" t="s">
        <v>181</v>
      </c>
      <c r="J58" s="80" t="s">
        <v>182</v>
      </c>
      <c r="K58" s="80" t="s">
        <v>358</v>
      </c>
      <c r="L58" s="81" t="s">
        <v>185</v>
      </c>
      <c r="M58" s="80" t="s">
        <v>187</v>
      </c>
      <c r="N58" s="80" t="s">
        <v>188</v>
      </c>
    </row>
    <row r="59" ht="31" spans="1:14">
      <c r="A59" s="82" t="s">
        <v>34</v>
      </c>
      <c r="B59" s="82">
        <v>2</v>
      </c>
      <c r="C59" s="82" t="s">
        <v>172</v>
      </c>
      <c r="D59" s="82" t="s">
        <v>399</v>
      </c>
      <c r="E59" s="82" t="s">
        <v>66</v>
      </c>
      <c r="F59" s="82" t="s">
        <v>67</v>
      </c>
      <c r="G59" s="82" t="s">
        <v>280</v>
      </c>
      <c r="H59" s="82" t="s">
        <v>244</v>
      </c>
      <c r="I59" s="82" t="s">
        <v>195</v>
      </c>
      <c r="J59" s="82" t="s">
        <v>192</v>
      </c>
      <c r="K59" s="82" t="s">
        <v>360</v>
      </c>
      <c r="L59" s="83">
        <v>2400</v>
      </c>
      <c r="M59" s="82" t="s">
        <v>246</v>
      </c>
      <c r="N59" s="82"/>
    </row>
    <row r="60" ht="31" spans="1:14">
      <c r="A60" s="82" t="s">
        <v>34</v>
      </c>
      <c r="B60" s="82">
        <v>3</v>
      </c>
      <c r="C60" s="82" t="s">
        <v>172</v>
      </c>
      <c r="D60" s="82" t="s">
        <v>399</v>
      </c>
      <c r="E60" s="82" t="s">
        <v>125</v>
      </c>
      <c r="F60" s="82" t="s">
        <v>126</v>
      </c>
      <c r="G60" s="82" t="s">
        <v>280</v>
      </c>
      <c r="H60" s="82" t="s">
        <v>207</v>
      </c>
      <c r="I60" s="82" t="s">
        <v>208</v>
      </c>
      <c r="J60" s="82" t="s">
        <v>199</v>
      </c>
      <c r="K60" s="82" t="s">
        <v>427</v>
      </c>
      <c r="L60" s="83">
        <v>5000</v>
      </c>
      <c r="M60" s="82" t="s">
        <v>428</v>
      </c>
      <c r="N60" s="82"/>
    </row>
    <row r="61" ht="31" spans="1:14">
      <c r="A61" s="82" t="s">
        <v>34</v>
      </c>
      <c r="B61" s="82">
        <v>4</v>
      </c>
      <c r="C61" s="82" t="s">
        <v>172</v>
      </c>
      <c r="D61" s="82" t="s">
        <v>399</v>
      </c>
      <c r="E61" s="82" t="s">
        <v>66</v>
      </c>
      <c r="F61" s="82" t="s">
        <v>67</v>
      </c>
      <c r="G61" s="82" t="s">
        <v>280</v>
      </c>
      <c r="H61" s="82" t="s">
        <v>244</v>
      </c>
      <c r="I61" s="82" t="s">
        <v>208</v>
      </c>
      <c r="J61" s="82" t="s">
        <v>192</v>
      </c>
      <c r="K61" s="82" t="s">
        <v>360</v>
      </c>
      <c r="L61" s="83">
        <v>2400</v>
      </c>
      <c r="M61" s="82" t="s">
        <v>246</v>
      </c>
      <c r="N61" s="82"/>
    </row>
    <row r="62" spans="1:14">
      <c r="A62" s="78" t="s">
        <v>282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</row>
    <row r="63" spans="1:14">
      <c r="A63" s="80" t="s">
        <v>51</v>
      </c>
      <c r="B63" s="80" t="s">
        <v>52</v>
      </c>
      <c r="C63" s="80" t="s">
        <v>178</v>
      </c>
      <c r="D63" s="80" t="s">
        <v>357</v>
      </c>
      <c r="E63" s="80" t="s">
        <v>53</v>
      </c>
      <c r="F63" s="80" t="s">
        <v>54</v>
      </c>
      <c r="G63" s="80" t="s">
        <v>179</v>
      </c>
      <c r="H63" s="80" t="s">
        <v>180</v>
      </c>
      <c r="I63" s="80" t="s">
        <v>181</v>
      </c>
      <c r="J63" s="80" t="s">
        <v>182</v>
      </c>
      <c r="K63" s="80" t="s">
        <v>358</v>
      </c>
      <c r="L63" s="81" t="s">
        <v>185</v>
      </c>
      <c r="M63" s="80" t="s">
        <v>187</v>
      </c>
      <c r="N63" s="80" t="s">
        <v>188</v>
      </c>
    </row>
    <row r="64" ht="31" spans="1:14">
      <c r="A64" s="82" t="s">
        <v>36</v>
      </c>
      <c r="B64" s="82">
        <v>2</v>
      </c>
      <c r="C64" s="82" t="s">
        <v>172</v>
      </c>
      <c r="D64" s="82" t="s">
        <v>127</v>
      </c>
      <c r="E64" s="82" t="s">
        <v>66</v>
      </c>
      <c r="F64" s="82" t="s">
        <v>67</v>
      </c>
      <c r="G64" s="82" t="s">
        <v>283</v>
      </c>
      <c r="H64" s="82" t="s">
        <v>244</v>
      </c>
      <c r="I64" s="82" t="s">
        <v>195</v>
      </c>
      <c r="J64" s="82" t="s">
        <v>192</v>
      </c>
      <c r="K64" s="82" t="s">
        <v>360</v>
      </c>
      <c r="L64" s="83">
        <v>2400</v>
      </c>
      <c r="M64" s="82" t="s">
        <v>246</v>
      </c>
      <c r="N64" s="82"/>
    </row>
    <row r="65" ht="31" spans="1:14">
      <c r="A65" s="82" t="s">
        <v>36</v>
      </c>
      <c r="B65" s="82">
        <v>3</v>
      </c>
      <c r="C65" s="82" t="s">
        <v>172</v>
      </c>
      <c r="D65" s="82" t="s">
        <v>127</v>
      </c>
      <c r="E65" s="82" t="s">
        <v>128</v>
      </c>
      <c r="F65" s="82" t="s">
        <v>129</v>
      </c>
      <c r="G65" s="82" t="s">
        <v>283</v>
      </c>
      <c r="H65" s="82" t="s">
        <v>284</v>
      </c>
      <c r="I65" s="82" t="s">
        <v>284</v>
      </c>
      <c r="J65" s="82" t="s">
        <v>203</v>
      </c>
      <c r="K65" s="82" t="s">
        <v>364</v>
      </c>
      <c r="L65" s="83">
        <v>30000</v>
      </c>
      <c r="M65" s="82" t="s">
        <v>497</v>
      </c>
      <c r="N65" s="82"/>
    </row>
    <row r="66" ht="31" spans="1:14">
      <c r="A66" s="82" t="s">
        <v>36</v>
      </c>
      <c r="B66" s="82">
        <v>4</v>
      </c>
      <c r="C66" s="82" t="s">
        <v>172</v>
      </c>
      <c r="D66" s="82" t="s">
        <v>127</v>
      </c>
      <c r="E66" s="82" t="s">
        <v>66</v>
      </c>
      <c r="F66" s="82" t="s">
        <v>67</v>
      </c>
      <c r="G66" s="82" t="s">
        <v>283</v>
      </c>
      <c r="H66" s="82" t="s">
        <v>244</v>
      </c>
      <c r="I66" s="82" t="s">
        <v>208</v>
      </c>
      <c r="J66" s="82" t="s">
        <v>192</v>
      </c>
      <c r="K66" s="82" t="s">
        <v>360</v>
      </c>
      <c r="L66" s="83">
        <v>2400</v>
      </c>
      <c r="M66" s="82" t="s">
        <v>246</v>
      </c>
      <c r="N66" s="82"/>
    </row>
    <row r="67" spans="1:14">
      <c r="A67" s="78" t="s">
        <v>287</v>
      </c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</row>
    <row r="68" spans="1:14">
      <c r="A68" s="80" t="s">
        <v>51</v>
      </c>
      <c r="B68" s="80" t="s">
        <v>52</v>
      </c>
      <c r="C68" s="80" t="s">
        <v>178</v>
      </c>
      <c r="D68" s="80" t="s">
        <v>357</v>
      </c>
      <c r="E68" s="80" t="s">
        <v>53</v>
      </c>
      <c r="F68" s="80" t="s">
        <v>54</v>
      </c>
      <c r="G68" s="80" t="s">
        <v>179</v>
      </c>
      <c r="H68" s="80" t="s">
        <v>180</v>
      </c>
      <c r="I68" s="80" t="s">
        <v>181</v>
      </c>
      <c r="J68" s="80" t="s">
        <v>182</v>
      </c>
      <c r="K68" s="80" t="s">
        <v>358</v>
      </c>
      <c r="L68" s="81" t="s">
        <v>185</v>
      </c>
      <c r="M68" s="80" t="s">
        <v>187</v>
      </c>
      <c r="N68" s="80" t="s">
        <v>188</v>
      </c>
    </row>
    <row r="69" ht="31" spans="1:14">
      <c r="A69" s="82" t="s">
        <v>37</v>
      </c>
      <c r="B69" s="82">
        <v>2</v>
      </c>
      <c r="C69" s="82" t="s">
        <v>172</v>
      </c>
      <c r="D69" s="82" t="s">
        <v>130</v>
      </c>
      <c r="E69" s="82" t="s">
        <v>66</v>
      </c>
      <c r="F69" s="82" t="s">
        <v>67</v>
      </c>
      <c r="G69" s="82" t="s">
        <v>288</v>
      </c>
      <c r="H69" s="82" t="s">
        <v>244</v>
      </c>
      <c r="I69" s="82" t="s">
        <v>195</v>
      </c>
      <c r="J69" s="82" t="s">
        <v>192</v>
      </c>
      <c r="K69" s="82" t="s">
        <v>360</v>
      </c>
      <c r="L69" s="83">
        <v>2400</v>
      </c>
      <c r="M69" s="82" t="s">
        <v>246</v>
      </c>
      <c r="N69" s="82"/>
    </row>
    <row r="70" ht="31" spans="1:14">
      <c r="A70" s="82" t="s">
        <v>37</v>
      </c>
      <c r="B70" s="82">
        <v>3</v>
      </c>
      <c r="C70" s="82" t="s">
        <v>172</v>
      </c>
      <c r="D70" s="82" t="s">
        <v>130</v>
      </c>
      <c r="E70" s="82" t="s">
        <v>131</v>
      </c>
      <c r="F70" s="82" t="s">
        <v>132</v>
      </c>
      <c r="G70" s="82" t="s">
        <v>288</v>
      </c>
      <c r="H70" s="82" t="s">
        <v>284</v>
      </c>
      <c r="I70" s="82" t="s">
        <v>284</v>
      </c>
      <c r="J70" s="82" t="s">
        <v>203</v>
      </c>
      <c r="K70" s="82" t="s">
        <v>364</v>
      </c>
      <c r="L70" s="83">
        <v>30000</v>
      </c>
      <c r="M70" s="82" t="s">
        <v>497</v>
      </c>
      <c r="N70" s="82"/>
    </row>
    <row r="71" ht="31" spans="1:14">
      <c r="A71" s="82" t="s">
        <v>37</v>
      </c>
      <c r="B71" s="82">
        <v>4</v>
      </c>
      <c r="C71" s="82" t="s">
        <v>172</v>
      </c>
      <c r="D71" s="82" t="s">
        <v>130</v>
      </c>
      <c r="E71" s="82" t="s">
        <v>66</v>
      </c>
      <c r="F71" s="82" t="s">
        <v>67</v>
      </c>
      <c r="G71" s="82" t="s">
        <v>288</v>
      </c>
      <c r="H71" s="82" t="s">
        <v>244</v>
      </c>
      <c r="I71" s="82" t="s">
        <v>208</v>
      </c>
      <c r="J71" s="82" t="s">
        <v>192</v>
      </c>
      <c r="K71" s="82" t="s">
        <v>360</v>
      </c>
      <c r="L71" s="83">
        <v>2400</v>
      </c>
      <c r="M71" s="82" t="s">
        <v>246</v>
      </c>
      <c r="N71" s="82"/>
    </row>
    <row r="72" spans="1:14">
      <c r="A72" s="78" t="s">
        <v>290</v>
      </c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</row>
    <row r="73" spans="1:14">
      <c r="A73" s="80" t="s">
        <v>51</v>
      </c>
      <c r="B73" s="80" t="s">
        <v>52</v>
      </c>
      <c r="C73" s="80" t="s">
        <v>178</v>
      </c>
      <c r="D73" s="80" t="s">
        <v>357</v>
      </c>
      <c r="E73" s="80" t="s">
        <v>53</v>
      </c>
      <c r="F73" s="80" t="s">
        <v>54</v>
      </c>
      <c r="G73" s="80" t="s">
        <v>179</v>
      </c>
      <c r="H73" s="80" t="s">
        <v>180</v>
      </c>
      <c r="I73" s="80" t="s">
        <v>181</v>
      </c>
      <c r="J73" s="80" t="s">
        <v>182</v>
      </c>
      <c r="K73" s="80" t="s">
        <v>358</v>
      </c>
      <c r="L73" s="81" t="s">
        <v>185</v>
      </c>
      <c r="M73" s="80" t="s">
        <v>187</v>
      </c>
      <c r="N73" s="80" t="s">
        <v>188</v>
      </c>
    </row>
    <row r="74" ht="31" spans="1:14">
      <c r="A74" s="82" t="s">
        <v>38</v>
      </c>
      <c r="B74" s="82">
        <v>2</v>
      </c>
      <c r="C74" s="82" t="s">
        <v>172</v>
      </c>
      <c r="D74" s="82" t="s">
        <v>133</v>
      </c>
      <c r="E74" s="82" t="s">
        <v>66</v>
      </c>
      <c r="F74" s="82" t="s">
        <v>67</v>
      </c>
      <c r="G74" s="82" t="s">
        <v>291</v>
      </c>
      <c r="H74" s="82" t="s">
        <v>244</v>
      </c>
      <c r="I74" s="82" t="s">
        <v>195</v>
      </c>
      <c r="J74" s="82" t="s">
        <v>192</v>
      </c>
      <c r="K74" s="82" t="s">
        <v>360</v>
      </c>
      <c r="L74" s="83">
        <v>2400</v>
      </c>
      <c r="M74" s="82" t="s">
        <v>246</v>
      </c>
      <c r="N74" s="82"/>
    </row>
    <row r="75" ht="31" spans="1:14">
      <c r="A75" s="82" t="s">
        <v>38</v>
      </c>
      <c r="B75" s="82">
        <v>3</v>
      </c>
      <c r="C75" s="82" t="s">
        <v>172</v>
      </c>
      <c r="D75" s="82" t="s">
        <v>133</v>
      </c>
      <c r="E75" s="82" t="s">
        <v>131</v>
      </c>
      <c r="F75" s="82" t="s">
        <v>134</v>
      </c>
      <c r="G75" s="82" t="s">
        <v>291</v>
      </c>
      <c r="H75" s="82" t="s">
        <v>292</v>
      </c>
      <c r="I75" s="82" t="s">
        <v>292</v>
      </c>
      <c r="J75" s="82" t="s">
        <v>203</v>
      </c>
      <c r="K75" s="82" t="s">
        <v>364</v>
      </c>
      <c r="L75" s="83">
        <v>33000</v>
      </c>
      <c r="M75" s="82" t="s">
        <v>498</v>
      </c>
      <c r="N75" s="82"/>
    </row>
    <row r="76" ht="31" spans="1:14">
      <c r="A76" s="82" t="s">
        <v>38</v>
      </c>
      <c r="B76" s="82">
        <v>4</v>
      </c>
      <c r="C76" s="82" t="s">
        <v>172</v>
      </c>
      <c r="D76" s="82" t="s">
        <v>133</v>
      </c>
      <c r="E76" s="82" t="s">
        <v>66</v>
      </c>
      <c r="F76" s="82" t="s">
        <v>67</v>
      </c>
      <c r="G76" s="82" t="s">
        <v>291</v>
      </c>
      <c r="H76" s="82" t="s">
        <v>244</v>
      </c>
      <c r="I76" s="82" t="s">
        <v>208</v>
      </c>
      <c r="J76" s="82" t="s">
        <v>192</v>
      </c>
      <c r="K76" s="82" t="s">
        <v>360</v>
      </c>
      <c r="L76" s="83">
        <v>2400</v>
      </c>
      <c r="M76" s="82" t="s">
        <v>246</v>
      </c>
      <c r="N76" s="82"/>
    </row>
    <row r="77" spans="1:14">
      <c r="A77" s="78" t="s">
        <v>295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</row>
    <row r="78" spans="1:14">
      <c r="A78" s="80" t="s">
        <v>51</v>
      </c>
      <c r="B78" s="80" t="s">
        <v>52</v>
      </c>
      <c r="C78" s="80" t="s">
        <v>178</v>
      </c>
      <c r="D78" s="80" t="s">
        <v>357</v>
      </c>
      <c r="E78" s="80" t="s">
        <v>53</v>
      </c>
      <c r="F78" s="80" t="s">
        <v>54</v>
      </c>
      <c r="G78" s="80" t="s">
        <v>179</v>
      </c>
      <c r="H78" s="80" t="s">
        <v>180</v>
      </c>
      <c r="I78" s="80" t="s">
        <v>181</v>
      </c>
      <c r="J78" s="80" t="s">
        <v>182</v>
      </c>
      <c r="K78" s="80" t="s">
        <v>358</v>
      </c>
      <c r="L78" s="81" t="s">
        <v>185</v>
      </c>
      <c r="M78" s="80" t="s">
        <v>187</v>
      </c>
      <c r="N78" s="80" t="s">
        <v>188</v>
      </c>
    </row>
    <row r="79" ht="31" spans="1:14">
      <c r="A79" s="82" t="s">
        <v>39</v>
      </c>
      <c r="B79" s="82">
        <v>2</v>
      </c>
      <c r="C79" s="82" t="s">
        <v>172</v>
      </c>
      <c r="D79" s="82" t="s">
        <v>405</v>
      </c>
      <c r="E79" s="82" t="s">
        <v>66</v>
      </c>
      <c r="F79" s="82" t="s">
        <v>67</v>
      </c>
      <c r="G79" s="82" t="s">
        <v>296</v>
      </c>
      <c r="H79" s="82" t="s">
        <v>244</v>
      </c>
      <c r="I79" s="82" t="s">
        <v>195</v>
      </c>
      <c r="J79" s="82" t="s">
        <v>192</v>
      </c>
      <c r="K79" s="82" t="s">
        <v>360</v>
      </c>
      <c r="L79" s="83">
        <v>2400</v>
      </c>
      <c r="M79" s="82" t="s">
        <v>246</v>
      </c>
      <c r="N79" s="82"/>
    </row>
    <row r="80" spans="1:14">
      <c r="A80" s="82" t="s">
        <v>39</v>
      </c>
      <c r="B80" s="82">
        <v>3</v>
      </c>
      <c r="C80" s="82" t="s">
        <v>172</v>
      </c>
      <c r="D80" s="82" t="s">
        <v>405</v>
      </c>
      <c r="E80" s="82" t="s">
        <v>137</v>
      </c>
      <c r="F80" s="82" t="s">
        <v>297</v>
      </c>
      <c r="G80" s="82" t="s">
        <v>296</v>
      </c>
      <c r="H80" s="82" t="s">
        <v>198</v>
      </c>
      <c r="I80" s="82" t="s">
        <v>198</v>
      </c>
      <c r="J80" s="82" t="s">
        <v>203</v>
      </c>
      <c r="K80" s="82" t="s">
        <v>406</v>
      </c>
      <c r="L80" s="83">
        <v>6600</v>
      </c>
      <c r="M80" s="82" t="s">
        <v>298</v>
      </c>
      <c r="N80" s="82"/>
    </row>
    <row r="81" ht="31" spans="1:14">
      <c r="A81" s="82" t="s">
        <v>39</v>
      </c>
      <c r="B81" s="82">
        <v>4</v>
      </c>
      <c r="C81" s="82" t="s">
        <v>172</v>
      </c>
      <c r="D81" s="82" t="s">
        <v>405</v>
      </c>
      <c r="E81" s="82" t="s">
        <v>66</v>
      </c>
      <c r="F81" s="82" t="s">
        <v>67</v>
      </c>
      <c r="G81" s="82" t="s">
        <v>296</v>
      </c>
      <c r="H81" s="82" t="s">
        <v>244</v>
      </c>
      <c r="I81" s="82" t="s">
        <v>208</v>
      </c>
      <c r="J81" s="82" t="s">
        <v>192</v>
      </c>
      <c r="K81" s="82" t="s">
        <v>360</v>
      </c>
      <c r="L81" s="83">
        <v>2400</v>
      </c>
      <c r="M81" s="82" t="s">
        <v>246</v>
      </c>
      <c r="N81" s="82"/>
    </row>
    <row r="82" spans="1:14">
      <c r="A82" s="87" t="s">
        <v>313</v>
      </c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</row>
    <row r="83" spans="1:14">
      <c r="A83" s="80" t="s">
        <v>51</v>
      </c>
      <c r="B83" s="80" t="s">
        <v>52</v>
      </c>
      <c r="C83" s="80" t="s">
        <v>178</v>
      </c>
      <c r="D83" s="80" t="s">
        <v>357</v>
      </c>
      <c r="E83" s="80" t="s">
        <v>53</v>
      </c>
      <c r="F83" s="80" t="s">
        <v>54</v>
      </c>
      <c r="G83" s="80" t="s">
        <v>179</v>
      </c>
      <c r="H83" s="80" t="s">
        <v>180</v>
      </c>
      <c r="I83" s="80" t="s">
        <v>181</v>
      </c>
      <c r="J83" s="80" t="s">
        <v>182</v>
      </c>
      <c r="K83" s="80" t="s">
        <v>358</v>
      </c>
      <c r="L83" s="81" t="s">
        <v>185</v>
      </c>
      <c r="M83" s="80" t="s">
        <v>187</v>
      </c>
      <c r="N83" s="80" t="s">
        <v>188</v>
      </c>
    </row>
    <row r="84" spans="1:14">
      <c r="A84" s="82" t="s">
        <v>407</v>
      </c>
      <c r="B84" s="89">
        <v>1</v>
      </c>
      <c r="C84" s="82" t="s">
        <v>172</v>
      </c>
      <c r="D84" s="82" t="s">
        <v>408</v>
      </c>
      <c r="E84" s="82" t="s">
        <v>221</v>
      </c>
      <c r="F84" s="82" t="s">
        <v>221</v>
      </c>
      <c r="G84" s="82"/>
      <c r="H84" s="82" t="s">
        <v>315</v>
      </c>
      <c r="I84" s="82"/>
      <c r="J84" s="82" t="s">
        <v>316</v>
      </c>
      <c r="K84" s="82" t="s">
        <v>499</v>
      </c>
      <c r="L84" s="83">
        <v>7200</v>
      </c>
      <c r="M84" s="82" t="s">
        <v>500</v>
      </c>
      <c r="N84" s="82" t="s">
        <v>501</v>
      </c>
    </row>
    <row r="85" spans="1:14">
      <c r="A85" s="82" t="s">
        <v>407</v>
      </c>
      <c r="B85" s="89">
        <v>2</v>
      </c>
      <c r="C85" s="82" t="s">
        <v>172</v>
      </c>
      <c r="D85" s="82" t="s">
        <v>408</v>
      </c>
      <c r="E85" s="82" t="s">
        <v>224</v>
      </c>
      <c r="F85" s="82" t="s">
        <v>224</v>
      </c>
      <c r="G85" s="82"/>
      <c r="H85" s="82" t="s">
        <v>320</v>
      </c>
      <c r="I85" s="82"/>
      <c r="J85" s="82" t="s">
        <v>321</v>
      </c>
      <c r="K85" s="82" t="s">
        <v>502</v>
      </c>
      <c r="L85" s="83">
        <v>1950</v>
      </c>
      <c r="M85" s="82" t="s">
        <v>322</v>
      </c>
      <c r="N85" s="82" t="s">
        <v>503</v>
      </c>
    </row>
    <row r="86" spans="1:14">
      <c r="A86" s="76" t="s">
        <v>324</v>
      </c>
      <c r="B86" s="77" t="s">
        <v>413</v>
      </c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</row>
    <row r="87" spans="1:14">
      <c r="A87" s="78" t="s">
        <v>326</v>
      </c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</row>
    <row r="88" spans="1:14">
      <c r="A88" s="80" t="s">
        <v>51</v>
      </c>
      <c r="B88" s="80" t="s">
        <v>52</v>
      </c>
      <c r="C88" s="80" t="s">
        <v>178</v>
      </c>
      <c r="D88" s="80" t="s">
        <v>357</v>
      </c>
      <c r="E88" s="80" t="s">
        <v>53</v>
      </c>
      <c r="F88" s="80" t="s">
        <v>54</v>
      </c>
      <c r="G88" s="80" t="s">
        <v>179</v>
      </c>
      <c r="H88" s="80" t="s">
        <v>180</v>
      </c>
      <c r="I88" s="80" t="s">
        <v>181</v>
      </c>
      <c r="J88" s="80" t="s">
        <v>182</v>
      </c>
      <c r="K88" s="80" t="s">
        <v>358</v>
      </c>
      <c r="L88" s="81" t="s">
        <v>185</v>
      </c>
      <c r="M88" s="80" t="s">
        <v>187</v>
      </c>
      <c r="N88" s="80" t="s">
        <v>188</v>
      </c>
    </row>
    <row r="89" ht="31" spans="1:14">
      <c r="A89" s="82" t="s">
        <v>26</v>
      </c>
      <c r="B89" s="82">
        <v>2</v>
      </c>
      <c r="C89" s="82" t="s">
        <v>175</v>
      </c>
      <c r="D89" s="82" t="s">
        <v>48</v>
      </c>
      <c r="E89" s="82" t="s">
        <v>66</v>
      </c>
      <c r="F89" s="82" t="s">
        <v>67</v>
      </c>
      <c r="G89" s="82" t="s">
        <v>189</v>
      </c>
      <c r="H89" s="82" t="s">
        <v>190</v>
      </c>
      <c r="I89" s="82" t="s">
        <v>195</v>
      </c>
      <c r="J89" s="82" t="s">
        <v>192</v>
      </c>
      <c r="K89" s="82" t="s">
        <v>360</v>
      </c>
      <c r="L89" s="83">
        <v>5600</v>
      </c>
      <c r="M89" s="82" t="s">
        <v>196</v>
      </c>
      <c r="N89" s="82"/>
    </row>
    <row r="90" ht="31" spans="1:14">
      <c r="A90" s="82" t="s">
        <v>26</v>
      </c>
      <c r="B90" s="82">
        <v>3</v>
      </c>
      <c r="C90" s="82" t="s">
        <v>175</v>
      </c>
      <c r="D90" s="82" t="s">
        <v>48</v>
      </c>
      <c r="E90" s="82" t="s">
        <v>68</v>
      </c>
      <c r="F90" s="82" t="s">
        <v>69</v>
      </c>
      <c r="G90" s="82" t="s">
        <v>197</v>
      </c>
      <c r="H90" s="82"/>
      <c r="I90" s="82" t="s">
        <v>198</v>
      </c>
      <c r="J90" s="82" t="s">
        <v>199</v>
      </c>
      <c r="K90" s="82" t="s">
        <v>473</v>
      </c>
      <c r="L90" s="83">
        <v>31000</v>
      </c>
      <c r="M90" s="82" t="s">
        <v>474</v>
      </c>
      <c r="N90" s="82" t="s">
        <v>363</v>
      </c>
    </row>
    <row r="91" spans="1:14">
      <c r="A91" s="82" t="s">
        <v>26</v>
      </c>
      <c r="B91" s="82">
        <v>4</v>
      </c>
      <c r="C91" s="82" t="s">
        <v>175</v>
      </c>
      <c r="D91" s="82" t="s">
        <v>48</v>
      </c>
      <c r="E91" s="82" t="s">
        <v>70</v>
      </c>
      <c r="F91" s="82" t="s">
        <v>71</v>
      </c>
      <c r="G91" s="82" t="s">
        <v>197</v>
      </c>
      <c r="H91" s="82" t="s">
        <v>202</v>
      </c>
      <c r="I91" s="82" t="s">
        <v>202</v>
      </c>
      <c r="J91" s="82" t="s">
        <v>203</v>
      </c>
      <c r="K91" s="82" t="s">
        <v>395</v>
      </c>
      <c r="L91" s="83">
        <v>960</v>
      </c>
      <c r="M91" s="82" t="s">
        <v>475</v>
      </c>
      <c r="N91" s="82"/>
    </row>
    <row r="92" spans="1:14">
      <c r="A92" s="82" t="s">
        <v>26</v>
      </c>
      <c r="B92" s="82">
        <v>5</v>
      </c>
      <c r="C92" s="82" t="s">
        <v>175</v>
      </c>
      <c r="D92" s="82" t="s">
        <v>48</v>
      </c>
      <c r="E92" s="82" t="s">
        <v>72</v>
      </c>
      <c r="F92" s="82" t="s">
        <v>73</v>
      </c>
      <c r="G92" s="82" t="s">
        <v>197</v>
      </c>
      <c r="H92" s="82" t="s">
        <v>202</v>
      </c>
      <c r="I92" s="82" t="s">
        <v>202</v>
      </c>
      <c r="J92" s="82" t="s">
        <v>203</v>
      </c>
      <c r="K92" s="82" t="s">
        <v>395</v>
      </c>
      <c r="L92" s="83">
        <v>960</v>
      </c>
      <c r="M92" s="82" t="s">
        <v>475</v>
      </c>
      <c r="N92" s="82"/>
    </row>
    <row r="93" spans="1:14">
      <c r="A93" s="82" t="s">
        <v>26</v>
      </c>
      <c r="B93" s="82">
        <v>6</v>
      </c>
      <c r="C93" s="82" t="s">
        <v>175</v>
      </c>
      <c r="D93" s="82" t="s">
        <v>48</v>
      </c>
      <c r="E93" s="82" t="s">
        <v>74</v>
      </c>
      <c r="F93" s="82" t="s">
        <v>75</v>
      </c>
      <c r="G93" s="82" t="s">
        <v>197</v>
      </c>
      <c r="H93" s="82" t="s">
        <v>202</v>
      </c>
      <c r="I93" s="82" t="s">
        <v>202</v>
      </c>
      <c r="J93" s="82" t="s">
        <v>203</v>
      </c>
      <c r="K93" s="82" t="s">
        <v>395</v>
      </c>
      <c r="L93" s="83">
        <v>960</v>
      </c>
      <c r="M93" s="82" t="s">
        <v>475</v>
      </c>
      <c r="N93" s="82"/>
    </row>
    <row r="94" spans="1:14">
      <c r="A94" s="82" t="s">
        <v>26</v>
      </c>
      <c r="B94" s="82">
        <v>7</v>
      </c>
      <c r="C94" s="82" t="s">
        <v>175</v>
      </c>
      <c r="D94" s="82" t="s">
        <v>48</v>
      </c>
      <c r="E94" s="82" t="s">
        <v>76</v>
      </c>
      <c r="F94" s="82" t="s">
        <v>77</v>
      </c>
      <c r="G94" s="82" t="s">
        <v>197</v>
      </c>
      <c r="H94" s="82" t="s">
        <v>205</v>
      </c>
      <c r="I94" s="82" t="s">
        <v>205</v>
      </c>
      <c r="J94" s="82" t="s">
        <v>203</v>
      </c>
      <c r="K94" s="82" t="s">
        <v>395</v>
      </c>
      <c r="L94" s="83">
        <v>3840</v>
      </c>
      <c r="M94" s="82" t="s">
        <v>476</v>
      </c>
      <c r="N94" s="82"/>
    </row>
    <row r="95" spans="1:14">
      <c r="A95" s="82" t="s">
        <v>26</v>
      </c>
      <c r="B95" s="82">
        <v>8</v>
      </c>
      <c r="C95" s="82" t="s">
        <v>175</v>
      </c>
      <c r="D95" s="82" t="s">
        <v>48</v>
      </c>
      <c r="E95" s="82" t="s">
        <v>78</v>
      </c>
      <c r="F95" s="82" t="s">
        <v>79</v>
      </c>
      <c r="G95" s="82" t="s">
        <v>197</v>
      </c>
      <c r="H95" s="82" t="s">
        <v>207</v>
      </c>
      <c r="I95" s="82" t="s">
        <v>208</v>
      </c>
      <c r="J95" s="82" t="s">
        <v>199</v>
      </c>
      <c r="K95" s="82" t="s">
        <v>427</v>
      </c>
      <c r="L95" s="83">
        <v>5000</v>
      </c>
      <c r="M95" s="82" t="s">
        <v>428</v>
      </c>
      <c r="N95" s="82"/>
    </row>
    <row r="96" spans="1:14">
      <c r="A96" s="82" t="s">
        <v>26</v>
      </c>
      <c r="B96" s="82">
        <v>9</v>
      </c>
      <c r="C96" s="82" t="s">
        <v>175</v>
      </c>
      <c r="D96" s="82" t="s">
        <v>48</v>
      </c>
      <c r="E96" s="82" t="s">
        <v>80</v>
      </c>
      <c r="F96" s="82" t="s">
        <v>81</v>
      </c>
      <c r="G96" s="82" t="s">
        <v>197</v>
      </c>
      <c r="H96" s="82" t="s">
        <v>210</v>
      </c>
      <c r="I96" s="82" t="s">
        <v>210</v>
      </c>
      <c r="J96" s="82" t="s">
        <v>203</v>
      </c>
      <c r="K96" s="82" t="s">
        <v>395</v>
      </c>
      <c r="L96" s="83">
        <v>9600</v>
      </c>
      <c r="M96" s="82" t="s">
        <v>477</v>
      </c>
      <c r="N96" s="82"/>
    </row>
    <row r="97" spans="1:14">
      <c r="A97" s="82" t="s">
        <v>26</v>
      </c>
      <c r="B97" s="82">
        <v>10</v>
      </c>
      <c r="C97" s="82" t="s">
        <v>175</v>
      </c>
      <c r="D97" s="82" t="s">
        <v>48</v>
      </c>
      <c r="E97" s="82" t="s">
        <v>82</v>
      </c>
      <c r="F97" s="82" t="s">
        <v>83</v>
      </c>
      <c r="G97" s="82" t="s">
        <v>197</v>
      </c>
      <c r="H97" s="82" t="s">
        <v>212</v>
      </c>
      <c r="I97" s="82" t="s">
        <v>212</v>
      </c>
      <c r="J97" s="82" t="s">
        <v>203</v>
      </c>
      <c r="K97" s="82" t="s">
        <v>370</v>
      </c>
      <c r="L97" s="83">
        <v>10500</v>
      </c>
      <c r="M97" s="82" t="s">
        <v>213</v>
      </c>
      <c r="N97" s="82"/>
    </row>
    <row r="98" spans="1:14">
      <c r="A98" s="82" t="s">
        <v>26</v>
      </c>
      <c r="B98" s="82">
        <v>11</v>
      </c>
      <c r="C98" s="82" t="s">
        <v>175</v>
      </c>
      <c r="D98" s="82" t="s">
        <v>48</v>
      </c>
      <c r="E98" s="82" t="s">
        <v>84</v>
      </c>
      <c r="F98" s="82" t="s">
        <v>85</v>
      </c>
      <c r="G98" s="82" t="s">
        <v>197</v>
      </c>
      <c r="H98" s="82" t="s">
        <v>208</v>
      </c>
      <c r="I98" s="82" t="s">
        <v>208</v>
      </c>
      <c r="J98" s="82" t="s">
        <v>203</v>
      </c>
      <c r="K98" s="82" t="s">
        <v>468</v>
      </c>
      <c r="L98" s="83">
        <v>28800</v>
      </c>
      <c r="M98" s="82" t="s">
        <v>478</v>
      </c>
      <c r="N98" s="82"/>
    </row>
    <row r="99" spans="1:14">
      <c r="A99" s="82" t="s">
        <v>26</v>
      </c>
      <c r="B99" s="82">
        <v>12</v>
      </c>
      <c r="C99" s="82" t="s">
        <v>175</v>
      </c>
      <c r="D99" s="82" t="s">
        <v>48</v>
      </c>
      <c r="E99" s="82" t="s">
        <v>86</v>
      </c>
      <c r="F99" s="82" t="s">
        <v>87</v>
      </c>
      <c r="G99" s="82" t="s">
        <v>189</v>
      </c>
      <c r="H99" s="82" t="s">
        <v>190</v>
      </c>
      <c r="I99" s="82" t="s">
        <v>208</v>
      </c>
      <c r="J99" s="82" t="s">
        <v>192</v>
      </c>
      <c r="K99" s="82" t="s">
        <v>372</v>
      </c>
      <c r="L99" s="83">
        <v>4200</v>
      </c>
      <c r="M99" s="82" t="s">
        <v>216</v>
      </c>
      <c r="N99" s="82"/>
    </row>
    <row r="100" spans="1:14">
      <c r="A100" s="82" t="s">
        <v>26</v>
      </c>
      <c r="B100" s="82">
        <v>13</v>
      </c>
      <c r="C100" s="82" t="s">
        <v>175</v>
      </c>
      <c r="D100" s="82" t="s">
        <v>48</v>
      </c>
      <c r="E100" s="82" t="s">
        <v>88</v>
      </c>
      <c r="F100" s="82" t="s">
        <v>89</v>
      </c>
      <c r="G100" s="82" t="s">
        <v>197</v>
      </c>
      <c r="H100" s="82" t="s">
        <v>217</v>
      </c>
      <c r="I100" s="82" t="s">
        <v>208</v>
      </c>
      <c r="J100" s="82" t="s">
        <v>192</v>
      </c>
      <c r="K100" s="82" t="s">
        <v>372</v>
      </c>
      <c r="L100" s="83">
        <v>3600</v>
      </c>
      <c r="M100" s="82" t="s">
        <v>218</v>
      </c>
      <c r="N100" s="82"/>
    </row>
    <row r="101" ht="31" spans="1:14">
      <c r="A101" s="82" t="s">
        <v>26</v>
      </c>
      <c r="B101" s="82">
        <v>14</v>
      </c>
      <c r="C101" s="82" t="s">
        <v>175</v>
      </c>
      <c r="D101" s="82" t="s">
        <v>48</v>
      </c>
      <c r="E101" s="82" t="s">
        <v>90</v>
      </c>
      <c r="F101" s="82" t="s">
        <v>91</v>
      </c>
      <c r="G101" s="82" t="s">
        <v>197</v>
      </c>
      <c r="H101" s="82" t="s">
        <v>217</v>
      </c>
      <c r="I101" s="82" t="s">
        <v>210</v>
      </c>
      <c r="J101" s="82" t="s">
        <v>192</v>
      </c>
      <c r="K101" s="82" t="s">
        <v>479</v>
      </c>
      <c r="L101" s="83">
        <v>36000</v>
      </c>
      <c r="M101" s="82" t="s">
        <v>480</v>
      </c>
      <c r="N101" s="82" t="s">
        <v>220</v>
      </c>
    </row>
    <row r="102" spans="1:14">
      <c r="A102" s="82" t="s">
        <v>26</v>
      </c>
      <c r="B102" s="82">
        <v>15</v>
      </c>
      <c r="C102" s="82" t="s">
        <v>175</v>
      </c>
      <c r="D102" s="82" t="s">
        <v>48</v>
      </c>
      <c r="E102" s="82" t="s">
        <v>92</v>
      </c>
      <c r="F102" s="82" t="s">
        <v>93</v>
      </c>
      <c r="G102" s="82" t="s">
        <v>197</v>
      </c>
      <c r="H102" s="82" t="s">
        <v>222</v>
      </c>
      <c r="I102" s="82" t="s">
        <v>222</v>
      </c>
      <c r="J102" s="82" t="s">
        <v>203</v>
      </c>
      <c r="K102" s="82" t="s">
        <v>395</v>
      </c>
      <c r="L102" s="83">
        <v>10560</v>
      </c>
      <c r="M102" s="82" t="s">
        <v>481</v>
      </c>
      <c r="N102" s="82"/>
    </row>
    <row r="103" spans="1:14">
      <c r="A103" s="82" t="s">
        <v>26</v>
      </c>
      <c r="B103" s="82">
        <v>16</v>
      </c>
      <c r="C103" s="82" t="s">
        <v>175</v>
      </c>
      <c r="D103" s="82" t="s">
        <v>48</v>
      </c>
      <c r="E103" s="82" t="s">
        <v>94</v>
      </c>
      <c r="F103" s="82" t="s">
        <v>95</v>
      </c>
      <c r="G103" s="82" t="s">
        <v>197</v>
      </c>
      <c r="H103" s="82" t="s">
        <v>217</v>
      </c>
      <c r="I103" s="82" t="s">
        <v>195</v>
      </c>
      <c r="J103" s="82" t="s">
        <v>192</v>
      </c>
      <c r="K103" s="82" t="s">
        <v>378</v>
      </c>
      <c r="L103" s="83">
        <v>6000</v>
      </c>
      <c r="M103" s="82" t="s">
        <v>225</v>
      </c>
      <c r="N103" s="82"/>
    </row>
    <row r="104" spans="1:14">
      <c r="A104" s="82" t="s">
        <v>26</v>
      </c>
      <c r="B104" s="82">
        <v>17</v>
      </c>
      <c r="C104" s="82" t="s">
        <v>175</v>
      </c>
      <c r="D104" s="82" t="s">
        <v>48</v>
      </c>
      <c r="E104" s="82" t="s">
        <v>96</v>
      </c>
      <c r="F104" s="82" t="s">
        <v>97</v>
      </c>
      <c r="G104" s="82" t="s">
        <v>197</v>
      </c>
      <c r="H104" s="82" t="s">
        <v>227</v>
      </c>
      <c r="I104" s="82" t="s">
        <v>198</v>
      </c>
      <c r="J104" s="82" t="s">
        <v>199</v>
      </c>
      <c r="K104" s="82" t="s">
        <v>482</v>
      </c>
      <c r="L104" s="83">
        <v>7200</v>
      </c>
      <c r="M104" s="82" t="s">
        <v>483</v>
      </c>
      <c r="N104" s="82"/>
    </row>
    <row r="105" ht="31" spans="1:14">
      <c r="A105" s="82" t="s">
        <v>26</v>
      </c>
      <c r="B105" s="82">
        <v>19</v>
      </c>
      <c r="C105" s="82" t="s">
        <v>175</v>
      </c>
      <c r="D105" s="82" t="s">
        <v>48</v>
      </c>
      <c r="E105" s="82" t="s">
        <v>66</v>
      </c>
      <c r="F105" s="82" t="s">
        <v>67</v>
      </c>
      <c r="G105" s="82" t="s">
        <v>189</v>
      </c>
      <c r="H105" s="82" t="s">
        <v>190</v>
      </c>
      <c r="I105" s="82" t="s">
        <v>195</v>
      </c>
      <c r="J105" s="82" t="s">
        <v>192</v>
      </c>
      <c r="K105" s="82" t="s">
        <v>360</v>
      </c>
      <c r="L105" s="83">
        <v>5600</v>
      </c>
      <c r="M105" s="82" t="s">
        <v>196</v>
      </c>
      <c r="N105" s="82"/>
    </row>
    <row r="106" spans="1:14">
      <c r="A106" s="78" t="s">
        <v>327</v>
      </c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</row>
    <row r="107" spans="1:14">
      <c r="A107" s="80" t="s">
        <v>51</v>
      </c>
      <c r="B107" s="80" t="s">
        <v>52</v>
      </c>
      <c r="C107" s="80" t="s">
        <v>178</v>
      </c>
      <c r="D107" s="80" t="s">
        <v>357</v>
      </c>
      <c r="E107" s="80" t="s">
        <v>53</v>
      </c>
      <c r="F107" s="80" t="s">
        <v>54</v>
      </c>
      <c r="G107" s="80" t="s">
        <v>179</v>
      </c>
      <c r="H107" s="80" t="s">
        <v>180</v>
      </c>
      <c r="I107" s="80" t="s">
        <v>181</v>
      </c>
      <c r="J107" s="80" t="s">
        <v>182</v>
      </c>
      <c r="K107" s="80" t="s">
        <v>358</v>
      </c>
      <c r="L107" s="81" t="s">
        <v>185</v>
      </c>
      <c r="M107" s="80" t="s">
        <v>187</v>
      </c>
      <c r="N107" s="80" t="s">
        <v>188</v>
      </c>
    </row>
    <row r="108" ht="31" spans="1:14">
      <c r="A108" s="82" t="s">
        <v>27</v>
      </c>
      <c r="B108" s="82">
        <v>2</v>
      </c>
      <c r="C108" s="82" t="s">
        <v>175</v>
      </c>
      <c r="D108" s="82" t="s">
        <v>102</v>
      </c>
      <c r="E108" s="82" t="s">
        <v>66</v>
      </c>
      <c r="F108" s="82" t="s">
        <v>67</v>
      </c>
      <c r="G108" s="82" t="s">
        <v>234</v>
      </c>
      <c r="H108" s="82" t="s">
        <v>217</v>
      </c>
      <c r="I108" s="82" t="s">
        <v>195</v>
      </c>
      <c r="J108" s="82" t="s">
        <v>192</v>
      </c>
      <c r="K108" s="82" t="s">
        <v>360</v>
      </c>
      <c r="L108" s="83">
        <v>4800</v>
      </c>
      <c r="M108" s="82" t="s">
        <v>236</v>
      </c>
      <c r="N108" s="82"/>
    </row>
    <row r="109" ht="46" spans="1:14">
      <c r="A109" s="82" t="s">
        <v>27</v>
      </c>
      <c r="B109" s="82">
        <v>3</v>
      </c>
      <c r="C109" s="82" t="s">
        <v>175</v>
      </c>
      <c r="D109" s="82" t="s">
        <v>102</v>
      </c>
      <c r="E109" s="82" t="s">
        <v>103</v>
      </c>
      <c r="F109" s="82" t="s">
        <v>104</v>
      </c>
      <c r="G109" s="82" t="s">
        <v>234</v>
      </c>
      <c r="H109" s="82" t="s">
        <v>195</v>
      </c>
      <c r="I109" s="82" t="s">
        <v>195</v>
      </c>
      <c r="J109" s="82" t="s">
        <v>203</v>
      </c>
      <c r="K109" s="82" t="s">
        <v>442</v>
      </c>
      <c r="L109" s="83">
        <v>6660</v>
      </c>
      <c r="M109" s="82" t="s">
        <v>484</v>
      </c>
      <c r="N109" s="82" t="s">
        <v>238</v>
      </c>
    </row>
    <row r="110" ht="31" spans="1:14">
      <c r="A110" s="82" t="s">
        <v>27</v>
      </c>
      <c r="B110" s="82">
        <v>4</v>
      </c>
      <c r="C110" s="82" t="s">
        <v>175</v>
      </c>
      <c r="D110" s="82" t="s">
        <v>102</v>
      </c>
      <c r="E110" s="82" t="s">
        <v>106</v>
      </c>
      <c r="F110" s="82" t="s">
        <v>107</v>
      </c>
      <c r="G110" s="82" t="s">
        <v>234</v>
      </c>
      <c r="H110" s="82" t="s">
        <v>217</v>
      </c>
      <c r="I110" s="82" t="s">
        <v>191</v>
      </c>
      <c r="J110" s="82" t="s">
        <v>192</v>
      </c>
      <c r="K110" s="82" t="s">
        <v>442</v>
      </c>
      <c r="L110" s="83">
        <v>9500</v>
      </c>
      <c r="M110" s="82" t="s">
        <v>485</v>
      </c>
      <c r="N110" s="82" t="s">
        <v>240</v>
      </c>
    </row>
    <row r="111" ht="31" spans="1:14">
      <c r="A111" s="82" t="s">
        <v>27</v>
      </c>
      <c r="B111" s="82">
        <v>5</v>
      </c>
      <c r="C111" s="82" t="s">
        <v>175</v>
      </c>
      <c r="D111" s="82" t="s">
        <v>102</v>
      </c>
      <c r="E111" s="82" t="s">
        <v>66</v>
      </c>
      <c r="F111" s="82" t="s">
        <v>67</v>
      </c>
      <c r="G111" s="82" t="s">
        <v>234</v>
      </c>
      <c r="H111" s="82" t="s">
        <v>217</v>
      </c>
      <c r="I111" s="82" t="s">
        <v>195</v>
      </c>
      <c r="J111" s="82" t="s">
        <v>192</v>
      </c>
      <c r="K111" s="82" t="s">
        <v>360</v>
      </c>
      <c r="L111" s="83">
        <v>4800</v>
      </c>
      <c r="M111" s="82" t="s">
        <v>236</v>
      </c>
      <c r="N111" s="82"/>
    </row>
    <row r="112" spans="1:14">
      <c r="A112" s="78" t="s">
        <v>328</v>
      </c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</row>
    <row r="113" spans="1:14">
      <c r="A113" s="80" t="s">
        <v>51</v>
      </c>
      <c r="B113" s="80" t="s">
        <v>52</v>
      </c>
      <c r="C113" s="80" t="s">
        <v>178</v>
      </c>
      <c r="D113" s="80" t="s">
        <v>357</v>
      </c>
      <c r="E113" s="80" t="s">
        <v>53</v>
      </c>
      <c r="F113" s="80" t="s">
        <v>54</v>
      </c>
      <c r="G113" s="80" t="s">
        <v>179</v>
      </c>
      <c r="H113" s="80" t="s">
        <v>180</v>
      </c>
      <c r="I113" s="80" t="s">
        <v>181</v>
      </c>
      <c r="J113" s="80" t="s">
        <v>182</v>
      </c>
      <c r="K113" s="80" t="s">
        <v>358</v>
      </c>
      <c r="L113" s="81" t="s">
        <v>185</v>
      </c>
      <c r="M113" s="80" t="s">
        <v>187</v>
      </c>
      <c r="N113" s="80" t="s">
        <v>188</v>
      </c>
    </row>
    <row r="114" ht="31" spans="1:14">
      <c r="A114" s="82" t="s">
        <v>29</v>
      </c>
      <c r="B114" s="82">
        <v>2</v>
      </c>
      <c r="C114" s="82" t="s">
        <v>175</v>
      </c>
      <c r="D114" s="82" t="s">
        <v>109</v>
      </c>
      <c r="E114" s="82" t="s">
        <v>66</v>
      </c>
      <c r="F114" s="82" t="s">
        <v>67</v>
      </c>
      <c r="G114" s="82" t="s">
        <v>243</v>
      </c>
      <c r="H114" s="82" t="s">
        <v>244</v>
      </c>
      <c r="I114" s="82" t="s">
        <v>195</v>
      </c>
      <c r="J114" s="82" t="s">
        <v>192</v>
      </c>
      <c r="K114" s="82" t="s">
        <v>360</v>
      </c>
      <c r="L114" s="83">
        <v>2400</v>
      </c>
      <c r="M114" s="82" t="s">
        <v>246</v>
      </c>
      <c r="N114" s="82"/>
    </row>
    <row r="115" spans="1:14">
      <c r="A115" s="82" t="s">
        <v>29</v>
      </c>
      <c r="B115" s="82">
        <v>3</v>
      </c>
      <c r="C115" s="82" t="s">
        <v>175</v>
      </c>
      <c r="D115" s="82" t="s">
        <v>109</v>
      </c>
      <c r="E115" s="82" t="s">
        <v>82</v>
      </c>
      <c r="F115" s="82" t="s">
        <v>83</v>
      </c>
      <c r="G115" s="82" t="s">
        <v>243</v>
      </c>
      <c r="H115" s="82" t="s">
        <v>212</v>
      </c>
      <c r="I115" s="82" t="s">
        <v>212</v>
      </c>
      <c r="J115" s="82" t="s">
        <v>203</v>
      </c>
      <c r="K115" s="82" t="s">
        <v>370</v>
      </c>
      <c r="L115" s="83">
        <v>10500</v>
      </c>
      <c r="M115" s="82" t="s">
        <v>213</v>
      </c>
      <c r="N115" s="82"/>
    </row>
    <row r="116" ht="31" spans="1:14">
      <c r="A116" s="82" t="s">
        <v>29</v>
      </c>
      <c r="B116" s="82">
        <v>4</v>
      </c>
      <c r="C116" s="82" t="s">
        <v>175</v>
      </c>
      <c r="D116" s="82" t="s">
        <v>109</v>
      </c>
      <c r="E116" s="82" t="s">
        <v>68</v>
      </c>
      <c r="F116" s="82" t="s">
        <v>69</v>
      </c>
      <c r="G116" s="82" t="s">
        <v>243</v>
      </c>
      <c r="H116" s="82"/>
      <c r="I116" s="82" t="s">
        <v>208</v>
      </c>
      <c r="J116" s="82" t="s">
        <v>199</v>
      </c>
      <c r="K116" s="82" t="s">
        <v>486</v>
      </c>
      <c r="L116" s="83">
        <v>13000</v>
      </c>
      <c r="M116" s="82" t="s">
        <v>487</v>
      </c>
      <c r="N116" s="82" t="s">
        <v>387</v>
      </c>
    </row>
    <row r="117" spans="1:14">
      <c r="A117" s="82" t="s">
        <v>29</v>
      </c>
      <c r="B117" s="82">
        <v>5</v>
      </c>
      <c r="C117" s="82" t="s">
        <v>175</v>
      </c>
      <c r="D117" s="82" t="s">
        <v>109</v>
      </c>
      <c r="E117" s="82" t="s">
        <v>84</v>
      </c>
      <c r="F117" s="82" t="s">
        <v>110</v>
      </c>
      <c r="G117" s="82" t="s">
        <v>243</v>
      </c>
      <c r="H117" s="82" t="s">
        <v>202</v>
      </c>
      <c r="I117" s="82" t="s">
        <v>202</v>
      </c>
      <c r="J117" s="82" t="s">
        <v>203</v>
      </c>
      <c r="K117" s="82" t="s">
        <v>468</v>
      </c>
      <c r="L117" s="83">
        <v>14400</v>
      </c>
      <c r="M117" s="82" t="s">
        <v>488</v>
      </c>
      <c r="N117" s="82"/>
    </row>
    <row r="118" spans="1:14">
      <c r="A118" s="82" t="s">
        <v>29</v>
      </c>
      <c r="B118" s="82">
        <v>6</v>
      </c>
      <c r="C118" s="82" t="s">
        <v>175</v>
      </c>
      <c r="D118" s="82" t="s">
        <v>109</v>
      </c>
      <c r="E118" s="82" t="s">
        <v>96</v>
      </c>
      <c r="F118" s="82" t="s">
        <v>97</v>
      </c>
      <c r="G118" s="82" t="s">
        <v>243</v>
      </c>
      <c r="H118" s="82" t="s">
        <v>250</v>
      </c>
      <c r="I118" s="82" t="s">
        <v>208</v>
      </c>
      <c r="J118" s="82" t="s">
        <v>199</v>
      </c>
      <c r="K118" s="82" t="s">
        <v>482</v>
      </c>
      <c r="L118" s="83">
        <v>3600</v>
      </c>
      <c r="M118" s="82" t="s">
        <v>489</v>
      </c>
      <c r="N118" s="82"/>
    </row>
    <row r="119" ht="46" spans="1:14">
      <c r="A119" s="82" t="s">
        <v>29</v>
      </c>
      <c r="B119" s="82">
        <v>8</v>
      </c>
      <c r="C119" s="82" t="s">
        <v>175</v>
      </c>
      <c r="D119" s="82" t="s">
        <v>109</v>
      </c>
      <c r="E119" s="82" t="s">
        <v>111</v>
      </c>
      <c r="F119" s="82" t="s">
        <v>112</v>
      </c>
      <c r="G119" s="82" t="s">
        <v>243</v>
      </c>
      <c r="H119" s="82" t="s">
        <v>253</v>
      </c>
      <c r="I119" s="82" t="s">
        <v>253</v>
      </c>
      <c r="J119" s="82" t="s">
        <v>203</v>
      </c>
      <c r="K119" s="82" t="s">
        <v>442</v>
      </c>
      <c r="L119" s="83">
        <v>11660</v>
      </c>
      <c r="M119" s="82" t="s">
        <v>490</v>
      </c>
      <c r="N119" s="82" t="s">
        <v>255</v>
      </c>
    </row>
    <row r="120" ht="31" spans="1:14">
      <c r="A120" s="82" t="s">
        <v>29</v>
      </c>
      <c r="B120" s="82">
        <v>9</v>
      </c>
      <c r="C120" s="82" t="s">
        <v>175</v>
      </c>
      <c r="D120" s="82" t="s">
        <v>109</v>
      </c>
      <c r="E120" s="82" t="s">
        <v>66</v>
      </c>
      <c r="F120" s="82" t="s">
        <v>67</v>
      </c>
      <c r="G120" s="82" t="s">
        <v>243</v>
      </c>
      <c r="H120" s="82" t="s">
        <v>244</v>
      </c>
      <c r="I120" s="82" t="s">
        <v>208</v>
      </c>
      <c r="J120" s="82" t="s">
        <v>192</v>
      </c>
      <c r="K120" s="82" t="s">
        <v>360</v>
      </c>
      <c r="L120" s="83">
        <v>2400</v>
      </c>
      <c r="M120" s="82" t="s">
        <v>246</v>
      </c>
      <c r="N120" s="82"/>
    </row>
    <row r="121" spans="1:14">
      <c r="A121" s="78" t="s">
        <v>329</v>
      </c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</row>
    <row r="122" spans="1:14">
      <c r="A122" s="80" t="s">
        <v>51</v>
      </c>
      <c r="B122" s="80" t="s">
        <v>52</v>
      </c>
      <c r="C122" s="80" t="s">
        <v>178</v>
      </c>
      <c r="D122" s="80" t="s">
        <v>357</v>
      </c>
      <c r="E122" s="80" t="s">
        <v>53</v>
      </c>
      <c r="F122" s="80" t="s">
        <v>54</v>
      </c>
      <c r="G122" s="80" t="s">
        <v>179</v>
      </c>
      <c r="H122" s="80" t="s">
        <v>180</v>
      </c>
      <c r="I122" s="80" t="s">
        <v>181</v>
      </c>
      <c r="J122" s="80" t="s">
        <v>182</v>
      </c>
      <c r="K122" s="80" t="s">
        <v>358</v>
      </c>
      <c r="L122" s="81" t="s">
        <v>185</v>
      </c>
      <c r="M122" s="80" t="s">
        <v>187</v>
      </c>
      <c r="N122" s="80" t="s">
        <v>188</v>
      </c>
    </row>
    <row r="123" ht="31" spans="1:14">
      <c r="A123" s="82" t="s">
        <v>30</v>
      </c>
      <c r="B123" s="82">
        <v>2</v>
      </c>
      <c r="C123" s="82" t="s">
        <v>175</v>
      </c>
      <c r="D123" s="82" t="s">
        <v>113</v>
      </c>
      <c r="E123" s="82" t="s">
        <v>66</v>
      </c>
      <c r="F123" s="82" t="s">
        <v>67</v>
      </c>
      <c r="G123" s="82" t="s">
        <v>258</v>
      </c>
      <c r="H123" s="82" t="s">
        <v>244</v>
      </c>
      <c r="I123" s="82" t="s">
        <v>195</v>
      </c>
      <c r="J123" s="82" t="s">
        <v>192</v>
      </c>
      <c r="K123" s="82" t="s">
        <v>360</v>
      </c>
      <c r="L123" s="83">
        <v>2400</v>
      </c>
      <c r="M123" s="82" t="s">
        <v>246</v>
      </c>
      <c r="N123" s="82"/>
    </row>
    <row r="124" ht="31" spans="1:14">
      <c r="A124" s="82" t="s">
        <v>30</v>
      </c>
      <c r="B124" s="82">
        <v>3</v>
      </c>
      <c r="C124" s="82" t="s">
        <v>175</v>
      </c>
      <c r="D124" s="82" t="s">
        <v>113</v>
      </c>
      <c r="E124" s="82" t="s">
        <v>114</v>
      </c>
      <c r="F124" s="82" t="s">
        <v>115</v>
      </c>
      <c r="G124" s="82" t="s">
        <v>258</v>
      </c>
      <c r="H124" s="82" t="s">
        <v>259</v>
      </c>
      <c r="I124" s="82" t="s">
        <v>259</v>
      </c>
      <c r="J124" s="82" t="s">
        <v>203</v>
      </c>
      <c r="K124" s="82" t="s">
        <v>491</v>
      </c>
      <c r="L124" s="83">
        <v>50400</v>
      </c>
      <c r="M124" s="82" t="s">
        <v>492</v>
      </c>
      <c r="N124" s="82"/>
    </row>
    <row r="125" ht="31" spans="1:14">
      <c r="A125" s="82" t="s">
        <v>30</v>
      </c>
      <c r="B125" s="82">
        <v>4</v>
      </c>
      <c r="C125" s="82" t="s">
        <v>175</v>
      </c>
      <c r="D125" s="82" t="s">
        <v>113</v>
      </c>
      <c r="E125" s="82" t="s">
        <v>66</v>
      </c>
      <c r="F125" s="82" t="s">
        <v>67</v>
      </c>
      <c r="G125" s="82" t="s">
        <v>258</v>
      </c>
      <c r="H125" s="82" t="s">
        <v>244</v>
      </c>
      <c r="I125" s="82" t="s">
        <v>208</v>
      </c>
      <c r="J125" s="82" t="s">
        <v>192</v>
      </c>
      <c r="K125" s="82" t="s">
        <v>360</v>
      </c>
      <c r="L125" s="83">
        <v>2400</v>
      </c>
      <c r="M125" s="82" t="s">
        <v>246</v>
      </c>
      <c r="N125" s="82"/>
    </row>
    <row r="126" spans="1:14">
      <c r="A126" s="78" t="s">
        <v>330</v>
      </c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</row>
    <row r="127" spans="1:14">
      <c r="A127" s="80" t="s">
        <v>51</v>
      </c>
      <c r="B127" s="80" t="s">
        <v>52</v>
      </c>
      <c r="C127" s="80" t="s">
        <v>178</v>
      </c>
      <c r="D127" s="80" t="s">
        <v>357</v>
      </c>
      <c r="E127" s="80" t="s">
        <v>53</v>
      </c>
      <c r="F127" s="80" t="s">
        <v>54</v>
      </c>
      <c r="G127" s="80" t="s">
        <v>179</v>
      </c>
      <c r="H127" s="80" t="s">
        <v>180</v>
      </c>
      <c r="I127" s="80" t="s">
        <v>181</v>
      </c>
      <c r="J127" s="80" t="s">
        <v>182</v>
      </c>
      <c r="K127" s="80" t="s">
        <v>358</v>
      </c>
      <c r="L127" s="81" t="s">
        <v>185</v>
      </c>
      <c r="M127" s="80" t="s">
        <v>187</v>
      </c>
      <c r="N127" s="80" t="s">
        <v>188</v>
      </c>
    </row>
    <row r="128" ht="31" spans="1:14">
      <c r="A128" s="82" t="s">
        <v>31</v>
      </c>
      <c r="B128" s="82">
        <v>2</v>
      </c>
      <c r="C128" s="82" t="s">
        <v>175</v>
      </c>
      <c r="D128" s="82" t="s">
        <v>116</v>
      </c>
      <c r="E128" s="82" t="s">
        <v>66</v>
      </c>
      <c r="F128" s="82" t="s">
        <v>67</v>
      </c>
      <c r="G128" s="82" t="s">
        <v>263</v>
      </c>
      <c r="H128" s="82" t="s">
        <v>244</v>
      </c>
      <c r="I128" s="82" t="s">
        <v>195</v>
      </c>
      <c r="J128" s="82" t="s">
        <v>192</v>
      </c>
      <c r="K128" s="82" t="s">
        <v>360</v>
      </c>
      <c r="L128" s="83">
        <v>2400</v>
      </c>
      <c r="M128" s="82" t="s">
        <v>246</v>
      </c>
      <c r="N128" s="82"/>
    </row>
    <row r="129" ht="31" spans="1:14">
      <c r="A129" s="82" t="s">
        <v>31</v>
      </c>
      <c r="B129" s="82">
        <v>3</v>
      </c>
      <c r="C129" s="82" t="s">
        <v>175</v>
      </c>
      <c r="D129" s="82" t="s">
        <v>116</v>
      </c>
      <c r="E129" s="82" t="s">
        <v>117</v>
      </c>
      <c r="F129" s="82" t="s">
        <v>118</v>
      </c>
      <c r="G129" s="82" t="s">
        <v>263</v>
      </c>
      <c r="H129" s="82" t="s">
        <v>264</v>
      </c>
      <c r="I129" s="82" t="s">
        <v>264</v>
      </c>
      <c r="J129" s="82" t="s">
        <v>203</v>
      </c>
      <c r="K129" s="82" t="s">
        <v>493</v>
      </c>
      <c r="L129" s="83">
        <v>57600</v>
      </c>
      <c r="M129" s="82" t="s">
        <v>494</v>
      </c>
      <c r="N129" s="82"/>
    </row>
    <row r="130" ht="31" spans="1:14">
      <c r="A130" s="82" t="s">
        <v>31</v>
      </c>
      <c r="B130" s="82">
        <v>4</v>
      </c>
      <c r="C130" s="82" t="s">
        <v>175</v>
      </c>
      <c r="D130" s="82" t="s">
        <v>116</v>
      </c>
      <c r="E130" s="82" t="s">
        <v>66</v>
      </c>
      <c r="F130" s="82" t="s">
        <v>67</v>
      </c>
      <c r="G130" s="82" t="s">
        <v>263</v>
      </c>
      <c r="H130" s="82" t="s">
        <v>244</v>
      </c>
      <c r="I130" s="82" t="s">
        <v>208</v>
      </c>
      <c r="J130" s="82" t="s">
        <v>192</v>
      </c>
      <c r="K130" s="82" t="s">
        <v>360</v>
      </c>
      <c r="L130" s="83">
        <v>2400</v>
      </c>
      <c r="M130" s="82" t="s">
        <v>246</v>
      </c>
      <c r="N130" s="82"/>
    </row>
    <row r="131" spans="1:14">
      <c r="A131" s="78" t="s">
        <v>415</v>
      </c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</row>
    <row r="132" spans="1:14">
      <c r="A132" s="80" t="s">
        <v>51</v>
      </c>
      <c r="B132" s="80" t="s">
        <v>52</v>
      </c>
      <c r="C132" s="80" t="s">
        <v>178</v>
      </c>
      <c r="D132" s="80" t="s">
        <v>357</v>
      </c>
      <c r="E132" s="80" t="s">
        <v>53</v>
      </c>
      <c r="F132" s="80" t="s">
        <v>54</v>
      </c>
      <c r="G132" s="80" t="s">
        <v>179</v>
      </c>
      <c r="H132" s="80" t="s">
        <v>180</v>
      </c>
      <c r="I132" s="80" t="s">
        <v>181</v>
      </c>
      <c r="J132" s="80" t="s">
        <v>182</v>
      </c>
      <c r="K132" s="80" t="s">
        <v>358</v>
      </c>
      <c r="L132" s="81" t="s">
        <v>185</v>
      </c>
      <c r="M132" s="80" t="s">
        <v>187</v>
      </c>
      <c r="N132" s="80" t="s">
        <v>188</v>
      </c>
    </row>
    <row r="133" ht="31" spans="1:14">
      <c r="A133" s="82" t="s">
        <v>32</v>
      </c>
      <c r="B133" s="82">
        <v>2</v>
      </c>
      <c r="C133" s="82" t="s">
        <v>175</v>
      </c>
      <c r="D133" s="82" t="s">
        <v>394</v>
      </c>
      <c r="E133" s="82" t="s">
        <v>66</v>
      </c>
      <c r="F133" s="82" t="s">
        <v>67</v>
      </c>
      <c r="G133" s="82" t="s">
        <v>268</v>
      </c>
      <c r="H133" s="82" t="s">
        <v>244</v>
      </c>
      <c r="I133" s="82" t="s">
        <v>195</v>
      </c>
      <c r="J133" s="82" t="s">
        <v>192</v>
      </c>
      <c r="K133" s="82" t="s">
        <v>360</v>
      </c>
      <c r="L133" s="83">
        <v>2400</v>
      </c>
      <c r="M133" s="82" t="s">
        <v>246</v>
      </c>
      <c r="N133" s="82"/>
    </row>
    <row r="134" ht="31" spans="1:14">
      <c r="A134" s="82" t="s">
        <v>32</v>
      </c>
      <c r="B134" s="82">
        <v>3</v>
      </c>
      <c r="C134" s="82" t="s">
        <v>175</v>
      </c>
      <c r="D134" s="82" t="s">
        <v>394</v>
      </c>
      <c r="E134" s="82" t="s">
        <v>120</v>
      </c>
      <c r="F134" s="82" t="s">
        <v>121</v>
      </c>
      <c r="G134" s="82" t="s">
        <v>268</v>
      </c>
      <c r="H134" s="82" t="s">
        <v>271</v>
      </c>
      <c r="I134" s="82" t="s">
        <v>271</v>
      </c>
      <c r="J134" s="82" t="s">
        <v>203</v>
      </c>
      <c r="K134" s="82" t="s">
        <v>406</v>
      </c>
      <c r="L134" s="83">
        <v>55935</v>
      </c>
      <c r="M134" s="82" t="s">
        <v>495</v>
      </c>
      <c r="N134" s="82"/>
    </row>
    <row r="135" ht="31" spans="1:14">
      <c r="A135" s="82" t="s">
        <v>32</v>
      </c>
      <c r="B135" s="82">
        <v>4</v>
      </c>
      <c r="C135" s="82" t="s">
        <v>175</v>
      </c>
      <c r="D135" s="82" t="s">
        <v>394</v>
      </c>
      <c r="E135" s="82" t="s">
        <v>66</v>
      </c>
      <c r="F135" s="82" t="s">
        <v>67</v>
      </c>
      <c r="G135" s="82" t="s">
        <v>268</v>
      </c>
      <c r="H135" s="82" t="s">
        <v>244</v>
      </c>
      <c r="I135" s="82" t="s">
        <v>208</v>
      </c>
      <c r="J135" s="82" t="s">
        <v>192</v>
      </c>
      <c r="K135" s="82" t="s">
        <v>360</v>
      </c>
      <c r="L135" s="83">
        <v>2400</v>
      </c>
      <c r="M135" s="82" t="s">
        <v>246</v>
      </c>
      <c r="N135" s="82"/>
    </row>
    <row r="136" ht="46" spans="1:14">
      <c r="A136" s="82" t="s">
        <v>32</v>
      </c>
      <c r="B136" s="82">
        <v>6</v>
      </c>
      <c r="C136" s="82" t="s">
        <v>175</v>
      </c>
      <c r="D136" s="82" t="s">
        <v>394</v>
      </c>
      <c r="E136" s="82" t="s">
        <v>123</v>
      </c>
      <c r="F136" s="82" t="s">
        <v>123</v>
      </c>
      <c r="G136" s="82" t="s">
        <v>268</v>
      </c>
      <c r="H136" s="82" t="s">
        <v>333</v>
      </c>
      <c r="I136" s="82" t="s">
        <v>275</v>
      </c>
      <c r="J136" s="82" t="s">
        <v>192</v>
      </c>
      <c r="K136" s="82" t="s">
        <v>420</v>
      </c>
      <c r="L136" s="83">
        <v>23100</v>
      </c>
      <c r="M136" s="82" t="s">
        <v>496</v>
      </c>
      <c r="N136" s="82" t="s">
        <v>277</v>
      </c>
    </row>
    <row r="137" spans="1:14">
      <c r="A137" s="78" t="s">
        <v>466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</row>
    <row r="138" spans="1:14">
      <c r="A138" s="80" t="s">
        <v>51</v>
      </c>
      <c r="B138" s="80" t="s">
        <v>52</v>
      </c>
      <c r="C138" s="80" t="s">
        <v>178</v>
      </c>
      <c r="D138" s="80" t="s">
        <v>357</v>
      </c>
      <c r="E138" s="80" t="s">
        <v>53</v>
      </c>
      <c r="F138" s="80" t="s">
        <v>54</v>
      </c>
      <c r="G138" s="80" t="s">
        <v>179</v>
      </c>
      <c r="H138" s="80" t="s">
        <v>180</v>
      </c>
      <c r="I138" s="80" t="s">
        <v>181</v>
      </c>
      <c r="J138" s="80" t="s">
        <v>182</v>
      </c>
      <c r="K138" s="80" t="s">
        <v>358</v>
      </c>
      <c r="L138" s="81" t="s">
        <v>185</v>
      </c>
      <c r="M138" s="80" t="s">
        <v>187</v>
      </c>
      <c r="N138" s="80" t="s">
        <v>188</v>
      </c>
    </row>
    <row r="139" ht="31" spans="1:14">
      <c r="A139" s="82" t="s">
        <v>34</v>
      </c>
      <c r="B139" s="82">
        <v>2</v>
      </c>
      <c r="C139" s="82" t="s">
        <v>175</v>
      </c>
      <c r="D139" s="82" t="s">
        <v>399</v>
      </c>
      <c r="E139" s="82" t="s">
        <v>66</v>
      </c>
      <c r="F139" s="82" t="s">
        <v>67</v>
      </c>
      <c r="G139" s="82" t="s">
        <v>280</v>
      </c>
      <c r="H139" s="82" t="s">
        <v>244</v>
      </c>
      <c r="I139" s="82" t="s">
        <v>195</v>
      </c>
      <c r="J139" s="82" t="s">
        <v>192</v>
      </c>
      <c r="K139" s="82" t="s">
        <v>360</v>
      </c>
      <c r="L139" s="83">
        <v>2400</v>
      </c>
      <c r="M139" s="82" t="s">
        <v>246</v>
      </c>
      <c r="N139" s="82"/>
    </row>
    <row r="140" ht="31" spans="1:14">
      <c r="A140" s="82" t="s">
        <v>34</v>
      </c>
      <c r="B140" s="82">
        <v>3</v>
      </c>
      <c r="C140" s="82" t="s">
        <v>175</v>
      </c>
      <c r="D140" s="82" t="s">
        <v>399</v>
      </c>
      <c r="E140" s="82" t="s">
        <v>125</v>
      </c>
      <c r="F140" s="82" t="s">
        <v>126</v>
      </c>
      <c r="G140" s="82" t="s">
        <v>280</v>
      </c>
      <c r="H140" s="82" t="s">
        <v>207</v>
      </c>
      <c r="I140" s="82" t="s">
        <v>208</v>
      </c>
      <c r="J140" s="82" t="s">
        <v>199</v>
      </c>
      <c r="K140" s="82" t="s">
        <v>427</v>
      </c>
      <c r="L140" s="83">
        <v>5000</v>
      </c>
      <c r="M140" s="82" t="s">
        <v>428</v>
      </c>
      <c r="N140" s="82"/>
    </row>
    <row r="141" ht="31" spans="1:14">
      <c r="A141" s="82" t="s">
        <v>34</v>
      </c>
      <c r="B141" s="82">
        <v>4</v>
      </c>
      <c r="C141" s="82" t="s">
        <v>175</v>
      </c>
      <c r="D141" s="82" t="s">
        <v>399</v>
      </c>
      <c r="E141" s="82" t="s">
        <v>66</v>
      </c>
      <c r="F141" s="82" t="s">
        <v>67</v>
      </c>
      <c r="G141" s="82" t="s">
        <v>280</v>
      </c>
      <c r="H141" s="82" t="s">
        <v>244</v>
      </c>
      <c r="I141" s="82" t="s">
        <v>208</v>
      </c>
      <c r="J141" s="82" t="s">
        <v>192</v>
      </c>
      <c r="K141" s="82" t="s">
        <v>360</v>
      </c>
      <c r="L141" s="83">
        <v>2400</v>
      </c>
      <c r="M141" s="82" t="s">
        <v>246</v>
      </c>
      <c r="N141" s="82"/>
    </row>
    <row r="142" spans="1:14">
      <c r="A142" s="78" t="s">
        <v>335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</row>
    <row r="143" spans="1:14">
      <c r="A143" s="80" t="s">
        <v>51</v>
      </c>
      <c r="B143" s="80" t="s">
        <v>52</v>
      </c>
      <c r="C143" s="80" t="s">
        <v>178</v>
      </c>
      <c r="D143" s="80" t="s">
        <v>357</v>
      </c>
      <c r="E143" s="80" t="s">
        <v>53</v>
      </c>
      <c r="F143" s="80" t="s">
        <v>54</v>
      </c>
      <c r="G143" s="80" t="s">
        <v>179</v>
      </c>
      <c r="H143" s="80" t="s">
        <v>180</v>
      </c>
      <c r="I143" s="80" t="s">
        <v>181</v>
      </c>
      <c r="J143" s="80" t="s">
        <v>182</v>
      </c>
      <c r="K143" s="80" t="s">
        <v>358</v>
      </c>
      <c r="L143" s="81" t="s">
        <v>185</v>
      </c>
      <c r="M143" s="80" t="s">
        <v>187</v>
      </c>
      <c r="N143" s="80" t="s">
        <v>188</v>
      </c>
    </row>
    <row r="144" ht="31" spans="1:14">
      <c r="A144" s="82" t="s">
        <v>36</v>
      </c>
      <c r="B144" s="82">
        <v>2</v>
      </c>
      <c r="C144" s="82" t="s">
        <v>175</v>
      </c>
      <c r="D144" s="82" t="s">
        <v>127</v>
      </c>
      <c r="E144" s="82" t="s">
        <v>66</v>
      </c>
      <c r="F144" s="82" t="s">
        <v>67</v>
      </c>
      <c r="G144" s="82" t="s">
        <v>283</v>
      </c>
      <c r="H144" s="82" t="s">
        <v>244</v>
      </c>
      <c r="I144" s="82" t="s">
        <v>195</v>
      </c>
      <c r="J144" s="82" t="s">
        <v>192</v>
      </c>
      <c r="K144" s="82" t="s">
        <v>360</v>
      </c>
      <c r="L144" s="83">
        <v>2400</v>
      </c>
      <c r="M144" s="82" t="s">
        <v>246</v>
      </c>
      <c r="N144" s="82"/>
    </row>
    <row r="145" ht="31" spans="1:14">
      <c r="A145" s="82" t="s">
        <v>36</v>
      </c>
      <c r="B145" s="82">
        <v>3</v>
      </c>
      <c r="C145" s="82" t="s">
        <v>175</v>
      </c>
      <c r="D145" s="82" t="s">
        <v>127</v>
      </c>
      <c r="E145" s="82" t="s">
        <v>128</v>
      </c>
      <c r="F145" s="82" t="s">
        <v>129</v>
      </c>
      <c r="G145" s="82" t="s">
        <v>283</v>
      </c>
      <c r="H145" s="82" t="s">
        <v>284</v>
      </c>
      <c r="I145" s="82" t="s">
        <v>284</v>
      </c>
      <c r="J145" s="82" t="s">
        <v>203</v>
      </c>
      <c r="K145" s="82" t="s">
        <v>364</v>
      </c>
      <c r="L145" s="83">
        <v>30000</v>
      </c>
      <c r="M145" s="82" t="s">
        <v>497</v>
      </c>
      <c r="N145" s="82"/>
    </row>
    <row r="146" ht="31" spans="1:14">
      <c r="A146" s="82" t="s">
        <v>36</v>
      </c>
      <c r="B146" s="82">
        <v>4</v>
      </c>
      <c r="C146" s="82" t="s">
        <v>175</v>
      </c>
      <c r="D146" s="82" t="s">
        <v>127</v>
      </c>
      <c r="E146" s="82" t="s">
        <v>66</v>
      </c>
      <c r="F146" s="82" t="s">
        <v>67</v>
      </c>
      <c r="G146" s="82" t="s">
        <v>283</v>
      </c>
      <c r="H146" s="82" t="s">
        <v>244</v>
      </c>
      <c r="I146" s="82" t="s">
        <v>208</v>
      </c>
      <c r="J146" s="82" t="s">
        <v>192</v>
      </c>
      <c r="K146" s="82" t="s">
        <v>360</v>
      </c>
      <c r="L146" s="83">
        <v>2400</v>
      </c>
      <c r="M146" s="82" t="s">
        <v>246</v>
      </c>
      <c r="N146" s="82"/>
    </row>
    <row r="147" spans="1:14">
      <c r="A147" s="78" t="s">
        <v>336</v>
      </c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</row>
    <row r="148" spans="1:14">
      <c r="A148" s="80" t="s">
        <v>51</v>
      </c>
      <c r="B148" s="80" t="s">
        <v>52</v>
      </c>
      <c r="C148" s="80" t="s">
        <v>178</v>
      </c>
      <c r="D148" s="80" t="s">
        <v>357</v>
      </c>
      <c r="E148" s="80" t="s">
        <v>53</v>
      </c>
      <c r="F148" s="80" t="s">
        <v>54</v>
      </c>
      <c r="G148" s="80" t="s">
        <v>179</v>
      </c>
      <c r="H148" s="80" t="s">
        <v>180</v>
      </c>
      <c r="I148" s="80" t="s">
        <v>181</v>
      </c>
      <c r="J148" s="80" t="s">
        <v>182</v>
      </c>
      <c r="K148" s="80" t="s">
        <v>358</v>
      </c>
      <c r="L148" s="81" t="s">
        <v>185</v>
      </c>
      <c r="M148" s="80" t="s">
        <v>187</v>
      </c>
      <c r="N148" s="80" t="s">
        <v>188</v>
      </c>
    </row>
    <row r="149" ht="31" spans="1:14">
      <c r="A149" s="82" t="s">
        <v>37</v>
      </c>
      <c r="B149" s="82">
        <v>2</v>
      </c>
      <c r="C149" s="82" t="s">
        <v>175</v>
      </c>
      <c r="D149" s="82" t="s">
        <v>130</v>
      </c>
      <c r="E149" s="82" t="s">
        <v>66</v>
      </c>
      <c r="F149" s="82" t="s">
        <v>67</v>
      </c>
      <c r="G149" s="82" t="s">
        <v>288</v>
      </c>
      <c r="H149" s="82" t="s">
        <v>244</v>
      </c>
      <c r="I149" s="82" t="s">
        <v>195</v>
      </c>
      <c r="J149" s="82" t="s">
        <v>192</v>
      </c>
      <c r="K149" s="82" t="s">
        <v>360</v>
      </c>
      <c r="L149" s="83">
        <v>2400</v>
      </c>
      <c r="M149" s="82" t="s">
        <v>246</v>
      </c>
      <c r="N149" s="82"/>
    </row>
    <row r="150" ht="31" spans="1:14">
      <c r="A150" s="82" t="s">
        <v>37</v>
      </c>
      <c r="B150" s="82">
        <v>3</v>
      </c>
      <c r="C150" s="82" t="s">
        <v>175</v>
      </c>
      <c r="D150" s="82" t="s">
        <v>130</v>
      </c>
      <c r="E150" s="82" t="s">
        <v>131</v>
      </c>
      <c r="F150" s="82" t="s">
        <v>132</v>
      </c>
      <c r="G150" s="82" t="s">
        <v>288</v>
      </c>
      <c r="H150" s="82" t="s">
        <v>284</v>
      </c>
      <c r="I150" s="82" t="s">
        <v>284</v>
      </c>
      <c r="J150" s="82" t="s">
        <v>203</v>
      </c>
      <c r="K150" s="82" t="s">
        <v>364</v>
      </c>
      <c r="L150" s="83">
        <v>30000</v>
      </c>
      <c r="M150" s="82" t="s">
        <v>497</v>
      </c>
      <c r="N150" s="82"/>
    </row>
    <row r="151" ht="31" spans="1:14">
      <c r="A151" s="82" t="s">
        <v>37</v>
      </c>
      <c r="B151" s="82">
        <v>4</v>
      </c>
      <c r="C151" s="82" t="s">
        <v>175</v>
      </c>
      <c r="D151" s="82" t="s">
        <v>130</v>
      </c>
      <c r="E151" s="82" t="s">
        <v>66</v>
      </c>
      <c r="F151" s="82" t="s">
        <v>67</v>
      </c>
      <c r="G151" s="82" t="s">
        <v>288</v>
      </c>
      <c r="H151" s="82" t="s">
        <v>244</v>
      </c>
      <c r="I151" s="82" t="s">
        <v>208</v>
      </c>
      <c r="J151" s="82" t="s">
        <v>192</v>
      </c>
      <c r="K151" s="82" t="s">
        <v>360</v>
      </c>
      <c r="L151" s="83">
        <v>2400</v>
      </c>
      <c r="M151" s="82" t="s">
        <v>246</v>
      </c>
      <c r="N151" s="82"/>
    </row>
    <row r="152" spans="1:14">
      <c r="A152" s="78" t="s">
        <v>337</v>
      </c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</row>
    <row r="153" spans="1:14">
      <c r="A153" s="80" t="s">
        <v>51</v>
      </c>
      <c r="B153" s="80" t="s">
        <v>52</v>
      </c>
      <c r="C153" s="80" t="s">
        <v>178</v>
      </c>
      <c r="D153" s="80" t="s">
        <v>357</v>
      </c>
      <c r="E153" s="80" t="s">
        <v>53</v>
      </c>
      <c r="F153" s="80" t="s">
        <v>54</v>
      </c>
      <c r="G153" s="80" t="s">
        <v>179</v>
      </c>
      <c r="H153" s="80" t="s">
        <v>180</v>
      </c>
      <c r="I153" s="80" t="s">
        <v>181</v>
      </c>
      <c r="J153" s="80" t="s">
        <v>182</v>
      </c>
      <c r="K153" s="80" t="s">
        <v>358</v>
      </c>
      <c r="L153" s="81" t="s">
        <v>185</v>
      </c>
      <c r="M153" s="80" t="s">
        <v>187</v>
      </c>
      <c r="N153" s="80" t="s">
        <v>188</v>
      </c>
    </row>
    <row r="154" ht="31" spans="1:14">
      <c r="A154" s="82" t="s">
        <v>38</v>
      </c>
      <c r="B154" s="82">
        <v>2</v>
      </c>
      <c r="C154" s="82" t="s">
        <v>175</v>
      </c>
      <c r="D154" s="82" t="s">
        <v>133</v>
      </c>
      <c r="E154" s="82" t="s">
        <v>66</v>
      </c>
      <c r="F154" s="82" t="s">
        <v>67</v>
      </c>
      <c r="G154" s="82" t="s">
        <v>291</v>
      </c>
      <c r="H154" s="82" t="s">
        <v>244</v>
      </c>
      <c r="I154" s="82" t="s">
        <v>195</v>
      </c>
      <c r="J154" s="82" t="s">
        <v>192</v>
      </c>
      <c r="K154" s="82" t="s">
        <v>360</v>
      </c>
      <c r="L154" s="83">
        <v>2400</v>
      </c>
      <c r="M154" s="82" t="s">
        <v>246</v>
      </c>
      <c r="N154" s="82"/>
    </row>
    <row r="155" ht="31" spans="1:14">
      <c r="A155" s="82" t="s">
        <v>38</v>
      </c>
      <c r="B155" s="82">
        <v>3</v>
      </c>
      <c r="C155" s="82" t="s">
        <v>175</v>
      </c>
      <c r="D155" s="82" t="s">
        <v>133</v>
      </c>
      <c r="E155" s="82" t="s">
        <v>131</v>
      </c>
      <c r="F155" s="82" t="s">
        <v>134</v>
      </c>
      <c r="G155" s="82" t="s">
        <v>291</v>
      </c>
      <c r="H155" s="82" t="s">
        <v>292</v>
      </c>
      <c r="I155" s="82" t="s">
        <v>292</v>
      </c>
      <c r="J155" s="82" t="s">
        <v>203</v>
      </c>
      <c r="K155" s="82" t="s">
        <v>364</v>
      </c>
      <c r="L155" s="83">
        <v>33000</v>
      </c>
      <c r="M155" s="82" t="s">
        <v>498</v>
      </c>
      <c r="N155" s="82"/>
    </row>
    <row r="156" ht="31" spans="1:14">
      <c r="A156" s="82" t="s">
        <v>38</v>
      </c>
      <c r="B156" s="82">
        <v>4</v>
      </c>
      <c r="C156" s="82" t="s">
        <v>175</v>
      </c>
      <c r="D156" s="82" t="s">
        <v>133</v>
      </c>
      <c r="E156" s="82" t="s">
        <v>66</v>
      </c>
      <c r="F156" s="82" t="s">
        <v>67</v>
      </c>
      <c r="G156" s="82" t="s">
        <v>291</v>
      </c>
      <c r="H156" s="82" t="s">
        <v>244</v>
      </c>
      <c r="I156" s="82" t="s">
        <v>208</v>
      </c>
      <c r="J156" s="82" t="s">
        <v>192</v>
      </c>
      <c r="K156" s="82" t="s">
        <v>360</v>
      </c>
      <c r="L156" s="83">
        <v>2400</v>
      </c>
      <c r="M156" s="82" t="s">
        <v>246</v>
      </c>
      <c r="N156" s="82"/>
    </row>
    <row r="157" spans="1:14">
      <c r="A157" s="78" t="s">
        <v>338</v>
      </c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</row>
    <row r="158" spans="1:14">
      <c r="A158" s="80" t="s">
        <v>51</v>
      </c>
      <c r="B158" s="80" t="s">
        <v>52</v>
      </c>
      <c r="C158" s="80" t="s">
        <v>178</v>
      </c>
      <c r="D158" s="80" t="s">
        <v>357</v>
      </c>
      <c r="E158" s="80" t="s">
        <v>53</v>
      </c>
      <c r="F158" s="80" t="s">
        <v>54</v>
      </c>
      <c r="G158" s="80" t="s">
        <v>179</v>
      </c>
      <c r="H158" s="80" t="s">
        <v>180</v>
      </c>
      <c r="I158" s="80" t="s">
        <v>181</v>
      </c>
      <c r="J158" s="80" t="s">
        <v>182</v>
      </c>
      <c r="K158" s="80" t="s">
        <v>358</v>
      </c>
      <c r="L158" s="81" t="s">
        <v>185</v>
      </c>
      <c r="M158" s="80" t="s">
        <v>187</v>
      </c>
      <c r="N158" s="80" t="s">
        <v>188</v>
      </c>
    </row>
    <row r="159" ht="31" spans="1:14">
      <c r="A159" s="82" t="s">
        <v>40</v>
      </c>
      <c r="B159" s="82">
        <v>2</v>
      </c>
      <c r="C159" s="82" t="s">
        <v>175</v>
      </c>
      <c r="D159" s="82" t="s">
        <v>136</v>
      </c>
      <c r="E159" s="82" t="s">
        <v>66</v>
      </c>
      <c r="F159" s="82" t="s">
        <v>67</v>
      </c>
      <c r="G159" s="82" t="s">
        <v>339</v>
      </c>
      <c r="H159" s="82" t="s">
        <v>340</v>
      </c>
      <c r="I159" s="82" t="s">
        <v>195</v>
      </c>
      <c r="J159" s="82" t="s">
        <v>192</v>
      </c>
      <c r="K159" s="82" t="s">
        <v>360</v>
      </c>
      <c r="L159" s="83">
        <v>6000</v>
      </c>
      <c r="M159" s="82" t="s">
        <v>343</v>
      </c>
      <c r="N159" s="82"/>
    </row>
    <row r="160" spans="1:14">
      <c r="A160" s="82" t="s">
        <v>40</v>
      </c>
      <c r="B160" s="82">
        <v>3</v>
      </c>
      <c r="C160" s="82" t="s">
        <v>175</v>
      </c>
      <c r="D160" s="82" t="s">
        <v>136</v>
      </c>
      <c r="E160" s="82" t="s">
        <v>139</v>
      </c>
      <c r="F160" s="82" t="s">
        <v>140</v>
      </c>
      <c r="G160" s="82" t="s">
        <v>339</v>
      </c>
      <c r="H160" s="82" t="s">
        <v>344</v>
      </c>
      <c r="I160" s="82" t="s">
        <v>344</v>
      </c>
      <c r="J160" s="82" t="s">
        <v>203</v>
      </c>
      <c r="K160" s="82" t="s">
        <v>504</v>
      </c>
      <c r="L160" s="83">
        <v>12000</v>
      </c>
      <c r="M160" s="82" t="s">
        <v>505</v>
      </c>
      <c r="N160" s="82"/>
    </row>
    <row r="161" spans="1:14">
      <c r="A161" s="82" t="s">
        <v>40</v>
      </c>
      <c r="B161" s="82">
        <v>4</v>
      </c>
      <c r="C161" s="82" t="s">
        <v>175</v>
      </c>
      <c r="D161" s="82" t="s">
        <v>136</v>
      </c>
      <c r="E161" s="82" t="s">
        <v>139</v>
      </c>
      <c r="F161" s="82" t="s">
        <v>141</v>
      </c>
      <c r="G161" s="82" t="s">
        <v>339</v>
      </c>
      <c r="H161" s="82" t="s">
        <v>344</v>
      </c>
      <c r="I161" s="82" t="s">
        <v>344</v>
      </c>
      <c r="J161" s="82" t="s">
        <v>203</v>
      </c>
      <c r="K161" s="82" t="s">
        <v>504</v>
      </c>
      <c r="L161" s="83">
        <v>12000</v>
      </c>
      <c r="M161" s="82" t="s">
        <v>505</v>
      </c>
      <c r="N161" s="82"/>
    </row>
    <row r="162" spans="1:14">
      <c r="A162" s="82" t="s">
        <v>40</v>
      </c>
      <c r="B162" s="82">
        <v>5</v>
      </c>
      <c r="C162" s="82" t="s">
        <v>175</v>
      </c>
      <c r="D162" s="82" t="s">
        <v>136</v>
      </c>
      <c r="E162" s="82" t="s">
        <v>139</v>
      </c>
      <c r="F162" s="82" t="s">
        <v>142</v>
      </c>
      <c r="G162" s="82" t="s">
        <v>339</v>
      </c>
      <c r="H162" s="82" t="s">
        <v>344</v>
      </c>
      <c r="I162" s="82" t="s">
        <v>344</v>
      </c>
      <c r="J162" s="82" t="s">
        <v>203</v>
      </c>
      <c r="K162" s="82" t="s">
        <v>504</v>
      </c>
      <c r="L162" s="83">
        <v>12000</v>
      </c>
      <c r="M162" s="82" t="s">
        <v>505</v>
      </c>
      <c r="N162" s="82"/>
    </row>
    <row r="163" spans="1:14">
      <c r="A163" s="82" t="s">
        <v>40</v>
      </c>
      <c r="B163" s="82">
        <v>6</v>
      </c>
      <c r="C163" s="82" t="s">
        <v>175</v>
      </c>
      <c r="D163" s="82" t="s">
        <v>136</v>
      </c>
      <c r="E163" s="82" t="s">
        <v>139</v>
      </c>
      <c r="F163" s="82" t="s">
        <v>143</v>
      </c>
      <c r="G163" s="82" t="s">
        <v>339</v>
      </c>
      <c r="H163" s="82" t="s">
        <v>344</v>
      </c>
      <c r="I163" s="82" t="s">
        <v>344</v>
      </c>
      <c r="J163" s="82" t="s">
        <v>203</v>
      </c>
      <c r="K163" s="82" t="s">
        <v>504</v>
      </c>
      <c r="L163" s="83">
        <v>12000</v>
      </c>
      <c r="M163" s="82" t="s">
        <v>505</v>
      </c>
      <c r="N163" s="82"/>
    </row>
    <row r="164" spans="1:14">
      <c r="A164" s="82" t="s">
        <v>40</v>
      </c>
      <c r="B164" s="82">
        <v>7</v>
      </c>
      <c r="C164" s="82" t="s">
        <v>175</v>
      </c>
      <c r="D164" s="82" t="s">
        <v>136</v>
      </c>
      <c r="E164" s="82" t="s">
        <v>139</v>
      </c>
      <c r="F164" s="82" t="s">
        <v>144</v>
      </c>
      <c r="G164" s="82" t="s">
        <v>339</v>
      </c>
      <c r="H164" s="82" t="s">
        <v>344</v>
      </c>
      <c r="I164" s="82" t="s">
        <v>344</v>
      </c>
      <c r="J164" s="82" t="s">
        <v>203</v>
      </c>
      <c r="K164" s="82" t="s">
        <v>504</v>
      </c>
      <c r="L164" s="83">
        <v>12000</v>
      </c>
      <c r="M164" s="82" t="s">
        <v>505</v>
      </c>
      <c r="N164" s="82"/>
    </row>
    <row r="165" ht="31" spans="1:14">
      <c r="A165" s="82" t="s">
        <v>40</v>
      </c>
      <c r="B165" s="82">
        <v>8</v>
      </c>
      <c r="C165" s="82" t="s">
        <v>175</v>
      </c>
      <c r="D165" s="82" t="s">
        <v>136</v>
      </c>
      <c r="E165" s="82" t="s">
        <v>66</v>
      </c>
      <c r="F165" s="82" t="s">
        <v>67</v>
      </c>
      <c r="G165" s="82" t="s">
        <v>339</v>
      </c>
      <c r="H165" s="82" t="s">
        <v>346</v>
      </c>
      <c r="I165" s="82" t="s">
        <v>195</v>
      </c>
      <c r="J165" s="82" t="s">
        <v>192</v>
      </c>
      <c r="K165" s="82" t="s">
        <v>360</v>
      </c>
      <c r="L165" s="83">
        <v>3600</v>
      </c>
      <c r="M165" s="82" t="s">
        <v>347</v>
      </c>
      <c r="N165" s="82"/>
    </row>
    <row r="166" spans="1:14">
      <c r="A166" s="78" t="s">
        <v>135</v>
      </c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</row>
    <row r="167" spans="1:14">
      <c r="A167" s="80" t="s">
        <v>51</v>
      </c>
      <c r="B167" s="80" t="s">
        <v>52</v>
      </c>
      <c r="C167" s="80" t="s">
        <v>178</v>
      </c>
      <c r="D167" s="80" t="s">
        <v>357</v>
      </c>
      <c r="E167" s="80" t="s">
        <v>53</v>
      </c>
      <c r="F167" s="80" t="s">
        <v>54</v>
      </c>
      <c r="G167" s="80" t="s">
        <v>179</v>
      </c>
      <c r="H167" s="80" t="s">
        <v>180</v>
      </c>
      <c r="I167" s="80" t="s">
        <v>181</v>
      </c>
      <c r="J167" s="80" t="s">
        <v>182</v>
      </c>
      <c r="K167" s="80" t="s">
        <v>358</v>
      </c>
      <c r="L167" s="81" t="s">
        <v>185</v>
      </c>
      <c r="M167" s="80" t="s">
        <v>187</v>
      </c>
      <c r="N167" s="80" t="s">
        <v>188</v>
      </c>
    </row>
    <row r="168" ht="31" spans="1:14">
      <c r="A168" s="82" t="s">
        <v>39</v>
      </c>
      <c r="B168" s="82">
        <v>2</v>
      </c>
      <c r="C168" s="82" t="s">
        <v>175</v>
      </c>
      <c r="D168" s="82" t="s">
        <v>405</v>
      </c>
      <c r="E168" s="82" t="s">
        <v>66</v>
      </c>
      <c r="F168" s="82" t="s">
        <v>67</v>
      </c>
      <c r="G168" s="82" t="s">
        <v>350</v>
      </c>
      <c r="H168" s="82" t="s">
        <v>244</v>
      </c>
      <c r="I168" s="82" t="s">
        <v>195</v>
      </c>
      <c r="J168" s="82" t="s">
        <v>192</v>
      </c>
      <c r="K168" s="82" t="s">
        <v>360</v>
      </c>
      <c r="L168" s="83">
        <v>2400</v>
      </c>
      <c r="M168" s="82" t="s">
        <v>246</v>
      </c>
      <c r="N168" s="82"/>
    </row>
    <row r="169" spans="1:14">
      <c r="A169" s="82" t="s">
        <v>39</v>
      </c>
      <c r="B169" s="82">
        <v>3</v>
      </c>
      <c r="C169" s="82" t="s">
        <v>175</v>
      </c>
      <c r="D169" s="82" t="s">
        <v>405</v>
      </c>
      <c r="E169" s="82" t="s">
        <v>137</v>
      </c>
      <c r="F169" s="82" t="s">
        <v>297</v>
      </c>
      <c r="G169" s="82" t="s">
        <v>350</v>
      </c>
      <c r="H169" s="82" t="s">
        <v>198</v>
      </c>
      <c r="I169" s="82" t="s">
        <v>198</v>
      </c>
      <c r="J169" s="82" t="s">
        <v>203</v>
      </c>
      <c r="K169" s="82" t="s">
        <v>406</v>
      </c>
      <c r="L169" s="83">
        <v>6600</v>
      </c>
      <c r="M169" s="82" t="s">
        <v>298</v>
      </c>
      <c r="N169" s="82"/>
    </row>
    <row r="170" ht="31" spans="1:14">
      <c r="A170" s="82" t="s">
        <v>39</v>
      </c>
      <c r="B170" s="82">
        <v>4</v>
      </c>
      <c r="C170" s="82" t="s">
        <v>175</v>
      </c>
      <c r="D170" s="82" t="s">
        <v>405</v>
      </c>
      <c r="E170" s="82" t="s">
        <v>66</v>
      </c>
      <c r="F170" s="82" t="s">
        <v>67</v>
      </c>
      <c r="G170" s="82" t="s">
        <v>350</v>
      </c>
      <c r="H170" s="82" t="s">
        <v>244</v>
      </c>
      <c r="I170" s="82" t="s">
        <v>208</v>
      </c>
      <c r="J170" s="82" t="s">
        <v>192</v>
      </c>
      <c r="K170" s="82" t="s">
        <v>360</v>
      </c>
      <c r="L170" s="83">
        <v>2400</v>
      </c>
      <c r="M170" s="82" t="s">
        <v>246</v>
      </c>
      <c r="N170" s="82"/>
    </row>
    <row r="171" spans="1:14">
      <c r="A171" s="78" t="s">
        <v>352</v>
      </c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</row>
    <row r="172" spans="1:14">
      <c r="A172" s="80" t="s">
        <v>51</v>
      </c>
      <c r="B172" s="80" t="s">
        <v>52</v>
      </c>
      <c r="C172" s="80" t="s">
        <v>178</v>
      </c>
      <c r="D172" s="80" t="s">
        <v>357</v>
      </c>
      <c r="E172" s="80" t="s">
        <v>53</v>
      </c>
      <c r="F172" s="80" t="s">
        <v>54</v>
      </c>
      <c r="G172" s="80" t="s">
        <v>179</v>
      </c>
      <c r="H172" s="80" t="s">
        <v>180</v>
      </c>
      <c r="I172" s="80" t="s">
        <v>181</v>
      </c>
      <c r="J172" s="80" t="s">
        <v>182</v>
      </c>
      <c r="K172" s="80" t="s">
        <v>358</v>
      </c>
      <c r="L172" s="81" t="s">
        <v>185</v>
      </c>
      <c r="M172" s="80" t="s">
        <v>187</v>
      </c>
      <c r="N172" s="80" t="s">
        <v>188</v>
      </c>
    </row>
    <row r="173" spans="1:14">
      <c r="A173" s="82" t="s">
        <v>407</v>
      </c>
      <c r="B173" s="89">
        <v>1</v>
      </c>
      <c r="C173" s="82" t="s">
        <v>175</v>
      </c>
      <c r="D173" s="82" t="s">
        <v>408</v>
      </c>
      <c r="E173" s="82" t="s">
        <v>221</v>
      </c>
      <c r="F173" s="82" t="s">
        <v>221</v>
      </c>
      <c r="G173" s="82"/>
      <c r="H173" s="82" t="s">
        <v>315</v>
      </c>
      <c r="I173" s="82"/>
      <c r="J173" s="82" t="s">
        <v>316</v>
      </c>
      <c r="K173" s="82" t="s">
        <v>499</v>
      </c>
      <c r="L173" s="83">
        <v>7200</v>
      </c>
      <c r="M173" s="82" t="s">
        <v>500</v>
      </c>
      <c r="N173" s="82" t="s">
        <v>501</v>
      </c>
    </row>
    <row r="174" spans="1:14">
      <c r="A174" s="82" t="s">
        <v>407</v>
      </c>
      <c r="B174" s="89">
        <v>2</v>
      </c>
      <c r="C174" s="82" t="s">
        <v>175</v>
      </c>
      <c r="D174" s="82" t="s">
        <v>408</v>
      </c>
      <c r="E174" s="82" t="s">
        <v>224</v>
      </c>
      <c r="F174" s="82" t="s">
        <v>224</v>
      </c>
      <c r="G174" s="82"/>
      <c r="H174" s="82" t="s">
        <v>353</v>
      </c>
      <c r="I174" s="82"/>
      <c r="J174" s="82" t="s">
        <v>321</v>
      </c>
      <c r="K174" s="82" t="s">
        <v>502</v>
      </c>
      <c r="L174" s="83">
        <v>2100</v>
      </c>
      <c r="M174" s="82" t="s">
        <v>354</v>
      </c>
      <c r="N174" s="82" t="s">
        <v>503</v>
      </c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2:N82"/>
    <mergeCell ref="B86:N86"/>
    <mergeCell ref="A87:N87"/>
    <mergeCell ref="A106:N106"/>
    <mergeCell ref="A112:N112"/>
    <mergeCell ref="A121:N121"/>
    <mergeCell ref="A126:N126"/>
    <mergeCell ref="A131:N131"/>
    <mergeCell ref="A137:N137"/>
    <mergeCell ref="A142:N142"/>
    <mergeCell ref="A147:N147"/>
    <mergeCell ref="A152:N152"/>
    <mergeCell ref="A157:N157"/>
    <mergeCell ref="A166:N166"/>
    <mergeCell ref="A171:N171"/>
  </mergeCells>
  <conditionalFormatting sqref="L9:L85 L87:L166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{b98eaa61-ef31-4a8a-aa9d-f2064bc85db8}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8eaa61-ef31-4a8a-aa9d-f2064bc85db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L9:L85 L87:L166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showGridLines="0" workbookViewId="0">
      <selection activeCell="D13" sqref="D13"/>
    </sheetView>
  </sheetViews>
  <sheetFormatPr defaultColWidth="9.64285714285714" defaultRowHeight="17.6"/>
  <cols>
    <col min="1" max="1" width="14" style="24" customWidth="1"/>
    <col min="2" max="3" width="10" style="24" customWidth="1"/>
    <col min="4" max="4" width="34" style="24" customWidth="1"/>
    <col min="5" max="7" width="12" style="24" customWidth="1"/>
    <col min="8" max="9" width="14" style="24" customWidth="1"/>
    <col min="10" max="10" width="12" style="24" customWidth="1"/>
    <col min="11" max="14" width="13" style="24" customWidth="1"/>
    <col min="15" max="15" width="15" style="24" customWidth="1"/>
    <col min="16" max="16" width="13" style="24" customWidth="1"/>
    <col min="17" max="17" width="12" style="24" customWidth="1"/>
    <col min="18" max="18" width="42" style="24" customWidth="1"/>
    <col min="19" max="24" width="12" style="24" hidden="1" customWidth="1"/>
  </cols>
  <sheetData>
    <row r="1" ht="20.4" spans="1:24">
      <c r="A1" s="25" t="s">
        <v>151</v>
      </c>
      <c r="E1" s="26"/>
      <c r="F1" s="25" t="s">
        <v>506</v>
      </c>
      <c r="G1" s="25"/>
      <c r="H1" s="25"/>
      <c r="I1" s="25"/>
      <c r="J1" s="25"/>
      <c r="K1" s="27"/>
      <c r="L1" s="28" t="s">
        <v>507</v>
      </c>
      <c r="P1" s="29" t="s">
        <v>508</v>
      </c>
      <c r="S1" s="26" t="s">
        <v>509</v>
      </c>
      <c r="T1" s="26" t="s">
        <v>510</v>
      </c>
      <c r="U1" s="26" t="s">
        <v>511</v>
      </c>
      <c r="V1" s="26"/>
      <c r="W1" s="26"/>
      <c r="X1" s="26"/>
    </row>
    <row r="2" ht="31" spans="1:24">
      <c r="A2" s="30" t="s">
        <v>152</v>
      </c>
      <c r="B2" s="31" t="s">
        <v>153</v>
      </c>
      <c r="C2" s="30" t="s">
        <v>154</v>
      </c>
      <c r="D2" s="31" t="s">
        <v>155</v>
      </c>
      <c r="E2" s="26"/>
      <c r="F2" s="32" t="s">
        <v>512</v>
      </c>
      <c r="G2" s="32" t="s">
        <v>513</v>
      </c>
      <c r="H2" s="32" t="s">
        <v>514</v>
      </c>
      <c r="I2" s="32" t="s">
        <v>515</v>
      </c>
      <c r="J2" s="32" t="s">
        <v>511</v>
      </c>
      <c r="K2" s="26"/>
      <c r="L2" s="26"/>
      <c r="M2" s="26"/>
      <c r="N2" s="26"/>
      <c r="O2" s="26"/>
      <c r="P2" s="33" t="s">
        <v>516</v>
      </c>
      <c r="Q2" s="33" t="s">
        <v>517</v>
      </c>
      <c r="R2" s="34" t="s">
        <v>518</v>
      </c>
      <c r="S2" s="26" t="s">
        <v>172</v>
      </c>
      <c r="T2" s="26" t="s">
        <v>519</v>
      </c>
      <c r="U2" s="26">
        <f>J3/10000</f>
        <v>61.0535</v>
      </c>
      <c r="V2" s="26"/>
      <c r="W2" s="26"/>
      <c r="X2" s="26"/>
    </row>
    <row r="3" ht="36" spans="1:24">
      <c r="A3" s="30" t="s">
        <v>158</v>
      </c>
      <c r="B3" s="31" t="s">
        <v>159</v>
      </c>
      <c r="C3" s="30" t="s">
        <v>166</v>
      </c>
      <c r="D3" s="31" t="s">
        <v>167</v>
      </c>
      <c r="E3" s="26"/>
      <c r="F3" s="30" t="s">
        <v>172</v>
      </c>
      <c r="G3" s="35">
        <v>635228</v>
      </c>
      <c r="H3" s="35">
        <f>SUMIFS($E$11:$E$37,$C$11:$C$37,F3)</f>
        <v>676454</v>
      </c>
      <c r="I3" s="35">
        <f>SUMIFS($F$11:$F$37,$C$11:$C$37,F3)</f>
        <v>900342</v>
      </c>
      <c r="J3" s="35">
        <f>SUMIFS($G$11:$G$37,$C$11:$C$37,F3)</f>
        <v>610535</v>
      </c>
      <c r="K3" s="26"/>
      <c r="L3" s="26"/>
      <c r="M3" s="26"/>
      <c r="N3" s="26"/>
      <c r="O3" s="26"/>
      <c r="P3" s="36" t="s">
        <v>520</v>
      </c>
      <c r="Q3" s="37" t="s">
        <v>521</v>
      </c>
      <c r="R3" s="38" t="s">
        <v>522</v>
      </c>
      <c r="S3" s="26" t="s">
        <v>172</v>
      </c>
      <c r="T3" s="26" t="s">
        <v>523</v>
      </c>
      <c r="U3" s="26">
        <f>G3/10000</f>
        <v>63.5228</v>
      </c>
      <c r="V3" s="26"/>
      <c r="W3" s="26"/>
      <c r="X3" s="26"/>
    </row>
    <row r="4" ht="36" spans="1:24">
      <c r="A4" s="30" t="s">
        <v>156</v>
      </c>
      <c r="B4" s="31" t="s">
        <v>157</v>
      </c>
      <c r="C4" s="30" t="s">
        <v>160</v>
      </c>
      <c r="D4" s="31" t="s">
        <v>161</v>
      </c>
      <c r="E4" s="26"/>
      <c r="F4" s="30" t="s">
        <v>175</v>
      </c>
      <c r="G4" s="35">
        <v>672028</v>
      </c>
      <c r="H4" s="35">
        <f>SUMIFS($E$11:$E$37,$C$11:$C$37,F4)</f>
        <v>724054</v>
      </c>
      <c r="I4" s="35">
        <f>SUMIFS($F$11:$F$37,$C$11:$C$37,F4)</f>
        <v>951642</v>
      </c>
      <c r="J4" s="35">
        <f>SUMIFS($G$11:$G$37,$C$11:$C$37,F4)</f>
        <v>686135</v>
      </c>
      <c r="K4" s="26"/>
      <c r="L4" s="26"/>
      <c r="M4" s="26"/>
      <c r="N4" s="26"/>
      <c r="O4" s="26"/>
      <c r="P4" s="36" t="s">
        <v>524</v>
      </c>
      <c r="Q4" s="37" t="s">
        <v>525</v>
      </c>
      <c r="R4" s="38" t="s">
        <v>526</v>
      </c>
      <c r="S4" s="26" t="s">
        <v>172</v>
      </c>
      <c r="T4" s="26" t="s">
        <v>527</v>
      </c>
      <c r="U4" s="26">
        <f>H3/10000</f>
        <v>67.6454</v>
      </c>
      <c r="V4" s="26"/>
      <c r="W4" s="26"/>
      <c r="X4" s="26"/>
    </row>
    <row r="5" ht="31" spans="1:24">
      <c r="A5" s="30" t="s">
        <v>162</v>
      </c>
      <c r="B5" s="31" t="s">
        <v>163</v>
      </c>
      <c r="C5" s="30" t="s">
        <v>164</v>
      </c>
      <c r="D5" s="31" t="s">
        <v>165</v>
      </c>
      <c r="E5" s="26"/>
      <c r="F5" s="30" t="s">
        <v>528</v>
      </c>
      <c r="G5" s="35">
        <v>1307256</v>
      </c>
      <c r="H5" s="35">
        <f>SUM(H3:H4)</f>
        <v>1400508</v>
      </c>
      <c r="I5" s="35">
        <f>SUM(I3:I4)</f>
        <v>1851984</v>
      </c>
      <c r="J5" s="35">
        <f>SUM(J3:J4)</f>
        <v>1296670</v>
      </c>
      <c r="K5" s="26"/>
      <c r="L5" s="26"/>
      <c r="M5" s="26"/>
      <c r="N5" s="26"/>
      <c r="O5" s="26"/>
      <c r="P5" s="36" t="s">
        <v>529</v>
      </c>
      <c r="Q5" s="37" t="s">
        <v>530</v>
      </c>
      <c r="R5" s="36" t="s">
        <v>531</v>
      </c>
      <c r="S5" s="26" t="s">
        <v>172</v>
      </c>
      <c r="T5" s="26" t="s">
        <v>532</v>
      </c>
      <c r="U5" s="26">
        <f>I3/10000</f>
        <v>90.0342</v>
      </c>
      <c r="V5" s="26"/>
      <c r="W5" s="26"/>
      <c r="X5" s="26"/>
    </row>
    <row r="6" spans="1:24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S6" s="26" t="s">
        <v>317</v>
      </c>
      <c r="T6" s="26" t="s">
        <v>317</v>
      </c>
      <c r="U6" s="26">
        <v>0</v>
      </c>
      <c r="V6" s="26"/>
      <c r="W6" s="26"/>
      <c r="X6" s="26"/>
    </row>
    <row r="7" ht="31" spans="1:24">
      <c r="A7" s="26"/>
      <c r="B7" s="26"/>
      <c r="C7" s="26"/>
      <c r="D7" s="26"/>
      <c r="E7" s="26"/>
      <c r="F7" s="39"/>
      <c r="G7" s="39"/>
      <c r="H7" s="39"/>
      <c r="I7" s="39"/>
      <c r="J7" s="39"/>
      <c r="K7" s="39"/>
      <c r="L7" s="39"/>
      <c r="M7" s="39"/>
      <c r="N7" s="39"/>
      <c r="O7" s="39"/>
      <c r="S7" s="26" t="s">
        <v>175</v>
      </c>
      <c r="T7" s="26" t="s">
        <v>533</v>
      </c>
      <c r="U7" s="26">
        <f>G4/10000</f>
        <v>67.2028</v>
      </c>
      <c r="V7" s="26"/>
      <c r="W7" s="26"/>
      <c r="X7" s="26"/>
    </row>
    <row r="8" ht="31" spans="1:24">
      <c r="A8" s="36" t="s">
        <v>168</v>
      </c>
      <c r="B8" s="37" t="s">
        <v>356</v>
      </c>
      <c r="S8" s="26" t="s">
        <v>175</v>
      </c>
      <c r="T8" s="26" t="s">
        <v>534</v>
      </c>
      <c r="U8" s="26">
        <f>J4/10000</f>
        <v>68.6135</v>
      </c>
      <c r="V8" s="26"/>
      <c r="W8" s="26"/>
      <c r="X8" s="26"/>
    </row>
    <row r="9" ht="31" spans="1:24">
      <c r="A9" s="40" t="s">
        <v>535</v>
      </c>
      <c r="S9" s="26" t="s">
        <v>175</v>
      </c>
      <c r="T9" s="26" t="s">
        <v>536</v>
      </c>
      <c r="U9" s="26">
        <f>H4/10000</f>
        <v>72.4054</v>
      </c>
      <c r="V9" s="26"/>
      <c r="W9" s="26"/>
      <c r="X9" s="26"/>
    </row>
    <row r="10" ht="31" spans="1:24">
      <c r="A10" s="32" t="s">
        <v>51</v>
      </c>
      <c r="B10" s="32" t="s">
        <v>52</v>
      </c>
      <c r="C10" s="32" t="s">
        <v>178</v>
      </c>
      <c r="D10" s="32" t="s">
        <v>357</v>
      </c>
      <c r="E10" s="32" t="s">
        <v>514</v>
      </c>
      <c r="F10" s="32" t="s">
        <v>515</v>
      </c>
      <c r="G10" s="32" t="s">
        <v>511</v>
      </c>
      <c r="H10" s="32" t="s">
        <v>537</v>
      </c>
      <c r="I10" s="32" t="s">
        <v>538</v>
      </c>
      <c r="J10" s="32" t="s">
        <v>539</v>
      </c>
      <c r="K10" s="32" t="s">
        <v>513</v>
      </c>
      <c r="L10" s="32" t="s">
        <v>540</v>
      </c>
      <c r="M10" s="32" t="s">
        <v>541</v>
      </c>
      <c r="N10" s="32" t="s">
        <v>542</v>
      </c>
      <c r="O10" s="32" t="s">
        <v>543</v>
      </c>
      <c r="P10" s="41"/>
      <c r="Q10" s="41"/>
      <c r="R10" s="41"/>
      <c r="S10" s="26" t="s">
        <v>175</v>
      </c>
      <c r="T10" s="26" t="s">
        <v>544</v>
      </c>
      <c r="U10" s="26">
        <f>I4/10000</f>
        <v>95.1642</v>
      </c>
      <c r="V10" s="26"/>
      <c r="W10" s="26"/>
      <c r="X10" s="26"/>
    </row>
    <row r="11" spans="1:24">
      <c r="A11" s="31" t="s">
        <v>26</v>
      </c>
      <c r="B11" s="31"/>
      <c r="C11" s="31" t="s">
        <v>172</v>
      </c>
      <c r="D11" s="42" t="s">
        <v>48</v>
      </c>
      <c r="E11" s="35">
        <v>272816</v>
      </c>
      <c r="F11" s="35">
        <v>273834</v>
      </c>
      <c r="G11" s="35">
        <v>196780</v>
      </c>
      <c r="H11" s="43" t="s">
        <v>511</v>
      </c>
      <c r="I11" s="44" t="s">
        <v>515</v>
      </c>
      <c r="J11" s="45">
        <v>77054</v>
      </c>
      <c r="K11" s="46">
        <v>222660</v>
      </c>
      <c r="L11" s="47">
        <v>50156</v>
      </c>
      <c r="M11" s="47">
        <v>51174</v>
      </c>
      <c r="N11" s="47">
        <v>-25880</v>
      </c>
      <c r="O11" s="47">
        <v>-25880</v>
      </c>
      <c r="P11" s="48"/>
      <c r="Q11" s="48"/>
      <c r="R11" s="49"/>
      <c r="S11" s="26" t="s">
        <v>317</v>
      </c>
      <c r="T11" s="26" t="s">
        <v>317</v>
      </c>
      <c r="U11" s="26">
        <v>0</v>
      </c>
      <c r="V11" s="26"/>
      <c r="W11" s="26"/>
      <c r="X11" s="26"/>
    </row>
    <row r="12" ht="31" spans="1:24">
      <c r="A12" s="50" t="s">
        <v>27</v>
      </c>
      <c r="B12" s="50"/>
      <c r="C12" s="50" t="s">
        <v>172</v>
      </c>
      <c r="D12" s="51" t="s">
        <v>102</v>
      </c>
      <c r="E12" s="52">
        <v>39790</v>
      </c>
      <c r="F12" s="52">
        <v>56600</v>
      </c>
      <c r="G12" s="52">
        <v>25760</v>
      </c>
      <c r="H12" s="53" t="s">
        <v>511</v>
      </c>
      <c r="I12" s="54" t="s">
        <v>515</v>
      </c>
      <c r="J12" s="55">
        <v>30840</v>
      </c>
      <c r="K12" s="46">
        <v>39790</v>
      </c>
      <c r="L12" s="52">
        <v>0</v>
      </c>
      <c r="M12" s="52">
        <v>16810</v>
      </c>
      <c r="N12" s="52">
        <v>-14030</v>
      </c>
      <c r="O12" s="52">
        <v>-14030</v>
      </c>
      <c r="P12" s="48"/>
      <c r="Q12" s="48"/>
      <c r="R12" s="49"/>
      <c r="S12" s="26" t="s">
        <v>528</v>
      </c>
      <c r="T12" s="26" t="s">
        <v>545</v>
      </c>
      <c r="U12" s="26">
        <f>J5/10000</f>
        <v>129.667</v>
      </c>
      <c r="V12" s="26"/>
      <c r="W12" s="26"/>
      <c r="X12" s="26"/>
    </row>
    <row r="13" ht="31" spans="1:24">
      <c r="A13" s="31" t="s">
        <v>29</v>
      </c>
      <c r="B13" s="31"/>
      <c r="C13" s="31" t="s">
        <v>172</v>
      </c>
      <c r="D13" s="42" t="s">
        <v>109</v>
      </c>
      <c r="E13" s="35">
        <v>39958</v>
      </c>
      <c r="F13" s="35">
        <v>37838</v>
      </c>
      <c r="G13" s="35">
        <v>57960</v>
      </c>
      <c r="H13" s="43" t="s">
        <v>515</v>
      </c>
      <c r="I13" s="44" t="s">
        <v>511</v>
      </c>
      <c r="J13" s="45">
        <v>20122</v>
      </c>
      <c r="K13" s="46">
        <v>34458</v>
      </c>
      <c r="L13" s="47">
        <v>5500</v>
      </c>
      <c r="M13" s="47">
        <v>3380</v>
      </c>
      <c r="N13" s="47">
        <v>23502</v>
      </c>
      <c r="O13" s="47">
        <v>3380</v>
      </c>
      <c r="P13" s="48"/>
      <c r="Q13" s="48"/>
      <c r="R13" s="49"/>
      <c r="S13" s="26" t="s">
        <v>528</v>
      </c>
      <c r="T13" s="26" t="s">
        <v>546</v>
      </c>
      <c r="U13" s="26">
        <f>G5/10000</f>
        <v>130.7256</v>
      </c>
      <c r="V13" s="26"/>
      <c r="W13" s="26"/>
      <c r="X13" s="26"/>
    </row>
    <row r="14" ht="31" spans="1:24">
      <c r="A14" s="50" t="s">
        <v>30</v>
      </c>
      <c r="B14" s="50"/>
      <c r="C14" s="50" t="s">
        <v>172</v>
      </c>
      <c r="D14" s="51" t="s">
        <v>113</v>
      </c>
      <c r="E14" s="52">
        <v>41760</v>
      </c>
      <c r="F14" s="52">
        <v>48720</v>
      </c>
      <c r="G14" s="52">
        <v>55200</v>
      </c>
      <c r="H14" s="53" t="s">
        <v>514</v>
      </c>
      <c r="I14" s="54" t="s">
        <v>511</v>
      </c>
      <c r="J14" s="55">
        <v>13440</v>
      </c>
      <c r="K14" s="46">
        <v>45120</v>
      </c>
      <c r="L14" s="52">
        <v>-3360</v>
      </c>
      <c r="M14" s="52">
        <v>3600</v>
      </c>
      <c r="N14" s="52">
        <v>10080</v>
      </c>
      <c r="O14" s="52">
        <v>-3360</v>
      </c>
      <c r="P14" s="48"/>
      <c r="Q14" s="48"/>
      <c r="R14" s="49"/>
      <c r="S14" s="26" t="s">
        <v>528</v>
      </c>
      <c r="T14" s="26" t="s">
        <v>547</v>
      </c>
      <c r="U14" s="26">
        <f>H5/10000</f>
        <v>140.0508</v>
      </c>
      <c r="V14" s="26"/>
      <c r="W14" s="26"/>
      <c r="X14" s="26"/>
    </row>
    <row r="15" ht="31" spans="1:24">
      <c r="A15" s="31" t="s">
        <v>31</v>
      </c>
      <c r="B15" s="31"/>
      <c r="C15" s="31" t="s">
        <v>172</v>
      </c>
      <c r="D15" s="42" t="s">
        <v>116</v>
      </c>
      <c r="E15" s="35">
        <v>109200</v>
      </c>
      <c r="F15" s="35">
        <v>296400</v>
      </c>
      <c r="G15" s="35">
        <v>62400</v>
      </c>
      <c r="H15" s="43" t="s">
        <v>511</v>
      </c>
      <c r="I15" s="44" t="s">
        <v>515</v>
      </c>
      <c r="J15" s="45">
        <v>234000</v>
      </c>
      <c r="K15" s="46">
        <v>109200</v>
      </c>
      <c r="L15" s="47">
        <v>0</v>
      </c>
      <c r="M15" s="47">
        <v>187200</v>
      </c>
      <c r="N15" s="47">
        <v>-46800</v>
      </c>
      <c r="O15" s="47">
        <v>-46800</v>
      </c>
      <c r="P15" s="48"/>
      <c r="Q15" s="48"/>
      <c r="R15" s="49"/>
      <c r="S15" s="26" t="s">
        <v>528</v>
      </c>
      <c r="T15" s="26" t="s">
        <v>548</v>
      </c>
      <c r="U15" s="26">
        <f>I5/10000</f>
        <v>185.1984</v>
      </c>
      <c r="V15" s="26"/>
      <c r="W15" s="26"/>
      <c r="X15" s="26"/>
    </row>
    <row r="16" spans="1:24">
      <c r="A16" s="50" t="s">
        <v>32</v>
      </c>
      <c r="B16" s="50"/>
      <c r="C16" s="50" t="s">
        <v>172</v>
      </c>
      <c r="D16" s="51" t="s">
        <v>394</v>
      </c>
      <c r="E16" s="52">
        <v>66930</v>
      </c>
      <c r="F16" s="52">
        <v>75750</v>
      </c>
      <c r="G16" s="52">
        <v>83835</v>
      </c>
      <c r="H16" s="53" t="s">
        <v>514</v>
      </c>
      <c r="I16" s="54" t="s">
        <v>511</v>
      </c>
      <c r="J16" s="55">
        <v>16905</v>
      </c>
      <c r="K16" s="46">
        <v>77100</v>
      </c>
      <c r="L16" s="52">
        <v>-10170</v>
      </c>
      <c r="M16" s="52">
        <v>-1350</v>
      </c>
      <c r="N16" s="52">
        <v>6735</v>
      </c>
      <c r="O16" s="52">
        <v>-10170</v>
      </c>
      <c r="P16" s="48"/>
      <c r="Q16" s="48"/>
      <c r="R16" s="49"/>
      <c r="S16" s="26"/>
      <c r="T16" s="26"/>
      <c r="U16" s="26"/>
      <c r="V16" s="26"/>
      <c r="W16" s="26"/>
      <c r="X16" s="26"/>
    </row>
    <row r="17" ht="31" spans="1:24">
      <c r="A17" s="31" t="s">
        <v>34</v>
      </c>
      <c r="B17" s="31"/>
      <c r="C17" s="31" t="s">
        <v>172</v>
      </c>
      <c r="D17" s="42" t="s">
        <v>399</v>
      </c>
      <c r="E17" s="35">
        <v>8900</v>
      </c>
      <c r="F17" s="35">
        <v>13400</v>
      </c>
      <c r="G17" s="35">
        <v>9800</v>
      </c>
      <c r="H17" s="43" t="s">
        <v>514</v>
      </c>
      <c r="I17" s="44" t="s">
        <v>515</v>
      </c>
      <c r="J17" s="45">
        <v>4500</v>
      </c>
      <c r="K17" s="46">
        <v>9800</v>
      </c>
      <c r="L17" s="47">
        <v>-900</v>
      </c>
      <c r="M17" s="47">
        <v>3600</v>
      </c>
      <c r="N17" s="47">
        <v>0</v>
      </c>
      <c r="O17" s="47">
        <v>-900</v>
      </c>
      <c r="P17" s="48"/>
      <c r="Q17" s="48"/>
      <c r="R17" s="49"/>
      <c r="S17" s="26"/>
      <c r="T17" s="26"/>
      <c r="U17" s="26"/>
      <c r="V17" s="26"/>
      <c r="W17" s="26"/>
      <c r="X17" s="26"/>
    </row>
    <row r="18" ht="31" spans="1:24">
      <c r="A18" s="50" t="s">
        <v>36</v>
      </c>
      <c r="B18" s="50"/>
      <c r="C18" s="50" t="s">
        <v>172</v>
      </c>
      <c r="D18" s="51" t="s">
        <v>127</v>
      </c>
      <c r="E18" s="52">
        <v>27800</v>
      </c>
      <c r="F18" s="52">
        <v>23400</v>
      </c>
      <c r="G18" s="52">
        <v>34800</v>
      </c>
      <c r="H18" s="53" t="s">
        <v>515</v>
      </c>
      <c r="I18" s="54" t="s">
        <v>511</v>
      </c>
      <c r="J18" s="55">
        <v>11400</v>
      </c>
      <c r="K18" s="46">
        <v>27800</v>
      </c>
      <c r="L18" s="52">
        <v>0</v>
      </c>
      <c r="M18" s="52">
        <v>-4400</v>
      </c>
      <c r="N18" s="52">
        <v>7000</v>
      </c>
      <c r="O18" s="52">
        <v>-4400</v>
      </c>
      <c r="P18" s="48"/>
      <c r="Q18" s="48"/>
      <c r="R18" s="49"/>
      <c r="S18" s="26"/>
      <c r="T18" s="26"/>
      <c r="U18" s="26"/>
      <c r="V18" s="26"/>
      <c r="W18" s="26"/>
      <c r="X18" s="26"/>
    </row>
    <row r="19" ht="31" spans="1:24">
      <c r="A19" s="31" t="s">
        <v>37</v>
      </c>
      <c r="B19" s="31"/>
      <c r="C19" s="31" t="s">
        <v>172</v>
      </c>
      <c r="D19" s="42" t="s">
        <v>130</v>
      </c>
      <c r="E19" s="35">
        <v>27800</v>
      </c>
      <c r="F19" s="35">
        <v>28400</v>
      </c>
      <c r="G19" s="35">
        <v>34800</v>
      </c>
      <c r="H19" s="43" t="s">
        <v>514</v>
      </c>
      <c r="I19" s="44" t="s">
        <v>511</v>
      </c>
      <c r="J19" s="45">
        <v>7000</v>
      </c>
      <c r="K19" s="46">
        <v>27800</v>
      </c>
      <c r="L19" s="47">
        <v>0</v>
      </c>
      <c r="M19" s="47">
        <v>600</v>
      </c>
      <c r="N19" s="47">
        <v>7000</v>
      </c>
      <c r="O19" s="47">
        <v>0</v>
      </c>
      <c r="P19" s="48"/>
      <c r="Q19" s="48"/>
      <c r="R19" s="49"/>
    </row>
    <row r="20" ht="31" spans="1:24">
      <c r="A20" s="50" t="s">
        <v>38</v>
      </c>
      <c r="B20" s="50"/>
      <c r="C20" s="50" t="s">
        <v>172</v>
      </c>
      <c r="D20" s="51" t="s">
        <v>133</v>
      </c>
      <c r="E20" s="52">
        <v>30100</v>
      </c>
      <c r="F20" s="52">
        <v>30400</v>
      </c>
      <c r="G20" s="52">
        <v>37800</v>
      </c>
      <c r="H20" s="53" t="s">
        <v>514</v>
      </c>
      <c r="I20" s="54" t="s">
        <v>511</v>
      </c>
      <c r="J20" s="55">
        <v>7700</v>
      </c>
      <c r="K20" s="46">
        <v>30100</v>
      </c>
      <c r="L20" s="52">
        <v>0</v>
      </c>
      <c r="M20" s="52">
        <v>300</v>
      </c>
      <c r="N20" s="52">
        <v>7700</v>
      </c>
      <c r="O20" s="52">
        <v>0</v>
      </c>
      <c r="P20" s="48"/>
      <c r="Q20" s="48"/>
      <c r="R20" s="49"/>
    </row>
    <row r="21" spans="1:24">
      <c r="A21" s="31" t="s">
        <v>39</v>
      </c>
      <c r="B21" s="31"/>
      <c r="C21" s="31" t="s">
        <v>172</v>
      </c>
      <c r="D21" s="42" t="s">
        <v>405</v>
      </c>
      <c r="E21" s="35">
        <v>11400</v>
      </c>
      <c r="F21" s="35">
        <v>15600</v>
      </c>
      <c r="G21" s="35">
        <v>11400</v>
      </c>
      <c r="H21" s="43" t="s">
        <v>514</v>
      </c>
      <c r="I21" s="44" t="s">
        <v>515</v>
      </c>
      <c r="J21" s="45">
        <v>4200</v>
      </c>
      <c r="K21" s="46">
        <v>11400</v>
      </c>
      <c r="L21" s="47">
        <v>0</v>
      </c>
      <c r="M21" s="47">
        <v>4200</v>
      </c>
      <c r="N21" s="47">
        <v>0</v>
      </c>
      <c r="O21" s="47">
        <v>0</v>
      </c>
      <c r="P21" s="48"/>
      <c r="Q21" s="48"/>
      <c r="R21" s="49"/>
    </row>
    <row r="22" spans="1:24">
      <c r="A22" s="33"/>
      <c r="B22" s="33"/>
      <c r="C22" s="33"/>
      <c r="D22" s="56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57"/>
      <c r="Q22" s="57"/>
      <c r="R22" s="57"/>
    </row>
    <row r="23" spans="1:24">
      <c r="A23" s="36" t="s">
        <v>324</v>
      </c>
      <c r="B23" s="37" t="s">
        <v>413</v>
      </c>
      <c r="P23" s="57"/>
      <c r="Q23" s="57"/>
      <c r="R23" s="57"/>
    </row>
    <row r="24" spans="1:24">
      <c r="A24" s="58" t="s">
        <v>549</v>
      </c>
      <c r="P24" s="57"/>
      <c r="Q24" s="57"/>
      <c r="R24" s="57"/>
    </row>
    <row r="25" spans="1:24">
      <c r="A25" s="32" t="s">
        <v>51</v>
      </c>
      <c r="B25" s="32" t="s">
        <v>52</v>
      </c>
      <c r="C25" s="32" t="s">
        <v>178</v>
      </c>
      <c r="D25" s="59" t="s">
        <v>357</v>
      </c>
      <c r="E25" s="32" t="s">
        <v>514</v>
      </c>
      <c r="F25" s="32" t="s">
        <v>515</v>
      </c>
      <c r="G25" s="32" t="s">
        <v>511</v>
      </c>
      <c r="H25" s="32" t="s">
        <v>537</v>
      </c>
      <c r="I25" s="32" t="s">
        <v>538</v>
      </c>
      <c r="J25" s="32" t="s">
        <v>539</v>
      </c>
      <c r="K25" s="32" t="s">
        <v>513</v>
      </c>
      <c r="L25" s="32" t="s">
        <v>540</v>
      </c>
      <c r="M25" s="32" t="s">
        <v>541</v>
      </c>
      <c r="N25" s="32" t="s">
        <v>542</v>
      </c>
      <c r="O25" s="32" t="s">
        <v>543</v>
      </c>
      <c r="P25" s="41"/>
      <c r="Q25" s="41"/>
      <c r="R25" s="41"/>
    </row>
    <row r="26" spans="1:24">
      <c r="A26" s="31" t="s">
        <v>26</v>
      </c>
      <c r="B26" s="31"/>
      <c r="C26" s="31" t="s">
        <v>175</v>
      </c>
      <c r="D26" s="42" t="s">
        <v>48</v>
      </c>
      <c r="E26" s="35">
        <v>278816</v>
      </c>
      <c r="F26" s="35">
        <v>284334</v>
      </c>
      <c r="G26" s="35">
        <v>202780</v>
      </c>
      <c r="H26" s="43" t="s">
        <v>511</v>
      </c>
      <c r="I26" s="44" t="s">
        <v>515</v>
      </c>
      <c r="J26" s="45">
        <v>81554</v>
      </c>
      <c r="K26" s="46">
        <v>222660</v>
      </c>
      <c r="L26" s="47">
        <v>56156</v>
      </c>
      <c r="M26" s="47">
        <v>61674</v>
      </c>
      <c r="N26" s="47">
        <v>-19880</v>
      </c>
      <c r="O26" s="47">
        <v>-19880</v>
      </c>
      <c r="P26" s="48"/>
      <c r="Q26" s="48"/>
      <c r="R26" s="49"/>
    </row>
    <row r="27" spans="1:24">
      <c r="A27" s="50" t="s">
        <v>27</v>
      </c>
      <c r="B27" s="50"/>
      <c r="C27" s="50" t="s">
        <v>175</v>
      </c>
      <c r="D27" s="51" t="s">
        <v>102</v>
      </c>
      <c r="E27" s="52">
        <v>39790</v>
      </c>
      <c r="F27" s="52">
        <v>56600</v>
      </c>
      <c r="G27" s="52">
        <v>25760</v>
      </c>
      <c r="H27" s="53" t="s">
        <v>511</v>
      </c>
      <c r="I27" s="54" t="s">
        <v>515</v>
      </c>
      <c r="J27" s="55">
        <v>30840</v>
      </c>
      <c r="K27" s="46">
        <v>39790</v>
      </c>
      <c r="L27" s="52">
        <v>0</v>
      </c>
      <c r="M27" s="52">
        <v>16810</v>
      </c>
      <c r="N27" s="52">
        <v>-14030</v>
      </c>
      <c r="O27" s="52">
        <v>-14030</v>
      </c>
      <c r="P27" s="48"/>
      <c r="Q27" s="48"/>
      <c r="R27" s="49"/>
    </row>
    <row r="28" spans="1:24">
      <c r="A28" s="31" t="s">
        <v>29</v>
      </c>
      <c r="B28" s="31"/>
      <c r="C28" s="31" t="s">
        <v>175</v>
      </c>
      <c r="D28" s="42" t="s">
        <v>109</v>
      </c>
      <c r="E28" s="35">
        <v>39958</v>
      </c>
      <c r="F28" s="35">
        <v>37838</v>
      </c>
      <c r="G28" s="35">
        <v>57960</v>
      </c>
      <c r="H28" s="43" t="s">
        <v>515</v>
      </c>
      <c r="I28" s="44" t="s">
        <v>511</v>
      </c>
      <c r="J28" s="45">
        <v>20122</v>
      </c>
      <c r="K28" s="46">
        <v>34458</v>
      </c>
      <c r="L28" s="47">
        <v>5500</v>
      </c>
      <c r="M28" s="47">
        <v>3380</v>
      </c>
      <c r="N28" s="47">
        <v>23502</v>
      </c>
      <c r="O28" s="47">
        <v>3380</v>
      </c>
      <c r="P28" s="48"/>
      <c r="Q28" s="48"/>
      <c r="R28" s="49"/>
    </row>
    <row r="29" ht="31" spans="1:24">
      <c r="A29" s="50" t="s">
        <v>30</v>
      </c>
      <c r="B29" s="50"/>
      <c r="C29" s="50" t="s">
        <v>175</v>
      </c>
      <c r="D29" s="51" t="s">
        <v>113</v>
      </c>
      <c r="E29" s="52">
        <v>41760</v>
      </c>
      <c r="F29" s="52">
        <v>48720</v>
      </c>
      <c r="G29" s="52">
        <v>55200</v>
      </c>
      <c r="H29" s="53" t="s">
        <v>514</v>
      </c>
      <c r="I29" s="54" t="s">
        <v>511</v>
      </c>
      <c r="J29" s="55">
        <v>13440</v>
      </c>
      <c r="K29" s="46">
        <v>45120</v>
      </c>
      <c r="L29" s="52">
        <v>-3360</v>
      </c>
      <c r="M29" s="52">
        <v>3600</v>
      </c>
      <c r="N29" s="52">
        <v>10080</v>
      </c>
      <c r="O29" s="52">
        <v>-3360</v>
      </c>
      <c r="P29" s="48"/>
      <c r="Q29" s="48"/>
      <c r="R29" s="49"/>
    </row>
    <row r="30" ht="31" spans="1:24">
      <c r="A30" s="31" t="s">
        <v>31</v>
      </c>
      <c r="B30" s="31"/>
      <c r="C30" s="31" t="s">
        <v>175</v>
      </c>
      <c r="D30" s="42" t="s">
        <v>116</v>
      </c>
      <c r="E30" s="35">
        <v>109200</v>
      </c>
      <c r="F30" s="35">
        <v>296400</v>
      </c>
      <c r="G30" s="35">
        <v>62400</v>
      </c>
      <c r="H30" s="43" t="s">
        <v>511</v>
      </c>
      <c r="I30" s="44" t="s">
        <v>515</v>
      </c>
      <c r="J30" s="45">
        <v>234000</v>
      </c>
      <c r="K30" s="46">
        <v>109200</v>
      </c>
      <c r="L30" s="47">
        <v>0</v>
      </c>
      <c r="M30" s="47">
        <v>187200</v>
      </c>
      <c r="N30" s="47">
        <v>-46800</v>
      </c>
      <c r="O30" s="47">
        <v>-46800</v>
      </c>
      <c r="P30" s="48"/>
      <c r="Q30" s="48"/>
      <c r="R30" s="49"/>
    </row>
    <row r="31" spans="1:24">
      <c r="A31" s="50" t="s">
        <v>32</v>
      </c>
      <c r="B31" s="50"/>
      <c r="C31" s="50" t="s">
        <v>175</v>
      </c>
      <c r="D31" s="51" t="s">
        <v>394</v>
      </c>
      <c r="E31" s="52">
        <v>66930</v>
      </c>
      <c r="F31" s="52">
        <v>75750</v>
      </c>
      <c r="G31" s="52">
        <v>83835</v>
      </c>
      <c r="H31" s="53" t="s">
        <v>514</v>
      </c>
      <c r="I31" s="54" t="s">
        <v>511</v>
      </c>
      <c r="J31" s="55">
        <v>16905</v>
      </c>
      <c r="K31" s="46">
        <v>77100</v>
      </c>
      <c r="L31" s="52">
        <v>-10170</v>
      </c>
      <c r="M31" s="52">
        <v>-1350</v>
      </c>
      <c r="N31" s="52">
        <v>6735</v>
      </c>
      <c r="O31" s="52">
        <v>-10170</v>
      </c>
      <c r="P31" s="48"/>
      <c r="Q31" s="48"/>
      <c r="R31" s="49"/>
    </row>
    <row r="32" ht="31" spans="1:24">
      <c r="A32" s="31" t="s">
        <v>34</v>
      </c>
      <c r="B32" s="31"/>
      <c r="C32" s="31" t="s">
        <v>175</v>
      </c>
      <c r="D32" s="42" t="s">
        <v>399</v>
      </c>
      <c r="E32" s="35">
        <v>8900</v>
      </c>
      <c r="F32" s="35">
        <v>13400</v>
      </c>
      <c r="G32" s="35">
        <v>9800</v>
      </c>
      <c r="H32" s="43" t="s">
        <v>514</v>
      </c>
      <c r="I32" s="44" t="s">
        <v>515</v>
      </c>
      <c r="J32" s="45">
        <v>4500</v>
      </c>
      <c r="K32" s="46">
        <v>9800</v>
      </c>
      <c r="L32" s="47">
        <v>-900</v>
      </c>
      <c r="M32" s="47">
        <v>3600</v>
      </c>
      <c r="N32" s="47">
        <v>0</v>
      </c>
      <c r="O32" s="47">
        <v>-900</v>
      </c>
      <c r="P32" s="48"/>
      <c r="Q32" s="48"/>
      <c r="R32" s="49"/>
    </row>
    <row r="33" ht="31" spans="1:18">
      <c r="A33" s="50" t="s">
        <v>36</v>
      </c>
      <c r="B33" s="50"/>
      <c r="C33" s="50" t="s">
        <v>175</v>
      </c>
      <c r="D33" s="51" t="s">
        <v>127</v>
      </c>
      <c r="E33" s="52">
        <v>27800</v>
      </c>
      <c r="F33" s="52">
        <v>23400</v>
      </c>
      <c r="G33" s="52">
        <v>34800</v>
      </c>
      <c r="H33" s="53" t="s">
        <v>515</v>
      </c>
      <c r="I33" s="54" t="s">
        <v>511</v>
      </c>
      <c r="J33" s="55">
        <v>11400</v>
      </c>
      <c r="K33" s="46">
        <v>27800</v>
      </c>
      <c r="L33" s="52">
        <v>0</v>
      </c>
      <c r="M33" s="52">
        <v>-4400</v>
      </c>
      <c r="N33" s="52">
        <v>7000</v>
      </c>
      <c r="O33" s="52">
        <v>-4400</v>
      </c>
      <c r="P33" s="48"/>
      <c r="Q33" s="48"/>
      <c r="R33" s="49"/>
    </row>
    <row r="34" ht="31" spans="1:18">
      <c r="A34" s="31" t="s">
        <v>37</v>
      </c>
      <c r="B34" s="31"/>
      <c r="C34" s="31" t="s">
        <v>175</v>
      </c>
      <c r="D34" s="42" t="s">
        <v>130</v>
      </c>
      <c r="E34" s="35">
        <v>27800</v>
      </c>
      <c r="F34" s="35">
        <v>28400</v>
      </c>
      <c r="G34" s="35">
        <v>34800</v>
      </c>
      <c r="H34" s="43" t="s">
        <v>514</v>
      </c>
      <c r="I34" s="44" t="s">
        <v>511</v>
      </c>
      <c r="J34" s="45">
        <v>7000</v>
      </c>
      <c r="K34" s="46">
        <v>27800</v>
      </c>
      <c r="L34" s="47">
        <v>0</v>
      </c>
      <c r="M34" s="47">
        <v>600</v>
      </c>
      <c r="N34" s="47">
        <v>7000</v>
      </c>
      <c r="O34" s="47">
        <v>0</v>
      </c>
      <c r="P34" s="48"/>
      <c r="Q34" s="48"/>
      <c r="R34" s="49"/>
    </row>
    <row r="35" ht="31" spans="1:18">
      <c r="A35" s="50" t="s">
        <v>38</v>
      </c>
      <c r="B35" s="50"/>
      <c r="C35" s="50" t="s">
        <v>175</v>
      </c>
      <c r="D35" s="51" t="s">
        <v>133</v>
      </c>
      <c r="E35" s="52">
        <v>30100</v>
      </c>
      <c r="F35" s="52">
        <v>30400</v>
      </c>
      <c r="G35" s="52">
        <v>37800</v>
      </c>
      <c r="H35" s="53" t="s">
        <v>514</v>
      </c>
      <c r="I35" s="54" t="s">
        <v>511</v>
      </c>
      <c r="J35" s="55">
        <v>7700</v>
      </c>
      <c r="K35" s="46">
        <v>30100</v>
      </c>
      <c r="L35" s="52">
        <v>0</v>
      </c>
      <c r="M35" s="52">
        <v>300</v>
      </c>
      <c r="N35" s="52">
        <v>7700</v>
      </c>
      <c r="O35" s="52">
        <v>0</v>
      </c>
      <c r="P35" s="48"/>
      <c r="Q35" s="48"/>
      <c r="R35" s="49"/>
    </row>
    <row r="36" spans="1:18">
      <c r="A36" s="31" t="s">
        <v>40</v>
      </c>
      <c r="B36" s="31"/>
      <c r="C36" s="31" t="s">
        <v>175</v>
      </c>
      <c r="D36" s="42" t="s">
        <v>136</v>
      </c>
      <c r="E36" s="35">
        <v>41600</v>
      </c>
      <c r="F36" s="35">
        <v>40800</v>
      </c>
      <c r="G36" s="35">
        <v>69600</v>
      </c>
      <c r="H36" s="43" t="s">
        <v>515</v>
      </c>
      <c r="I36" s="44" t="s">
        <v>511</v>
      </c>
      <c r="J36" s="45">
        <v>28800</v>
      </c>
      <c r="K36" s="46">
        <v>41600</v>
      </c>
      <c r="L36" s="47">
        <v>0</v>
      </c>
      <c r="M36" s="47">
        <v>-800</v>
      </c>
      <c r="N36" s="47">
        <v>28000</v>
      </c>
      <c r="O36" s="47">
        <v>-800</v>
      </c>
      <c r="P36" s="48"/>
      <c r="Q36" s="48"/>
      <c r="R36" s="49"/>
    </row>
    <row r="37" spans="1:18">
      <c r="A37" s="50" t="s">
        <v>39</v>
      </c>
      <c r="B37" s="50"/>
      <c r="C37" s="50" t="s">
        <v>175</v>
      </c>
      <c r="D37" s="51" t="s">
        <v>405</v>
      </c>
      <c r="E37" s="52">
        <v>11400</v>
      </c>
      <c r="F37" s="52">
        <v>15600</v>
      </c>
      <c r="G37" s="52">
        <v>11400</v>
      </c>
      <c r="H37" s="53" t="s">
        <v>514</v>
      </c>
      <c r="I37" s="54" t="s">
        <v>515</v>
      </c>
      <c r="J37" s="55">
        <v>4200</v>
      </c>
      <c r="K37" s="46">
        <v>11400</v>
      </c>
      <c r="L37" s="52">
        <v>0</v>
      </c>
      <c r="M37" s="52">
        <v>4200</v>
      </c>
      <c r="N37" s="52">
        <v>0</v>
      </c>
      <c r="O37" s="52">
        <v>0</v>
      </c>
      <c r="P37" s="48"/>
      <c r="Q37" s="48"/>
      <c r="R37" s="49"/>
    </row>
  </sheetData>
  <mergeCells count="8">
    <mergeCell ref="A1:D1"/>
    <mergeCell ref="F1:J1"/>
    <mergeCell ref="L1:O1"/>
    <mergeCell ref="P1:R1"/>
    <mergeCell ref="B8:O8"/>
    <mergeCell ref="A9:O9"/>
    <mergeCell ref="B23:O23"/>
    <mergeCell ref="A24:O24"/>
  </mergeCells>
  <conditionalFormatting sqref="J11:J21"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{797f1e05-45ee-4b7b-b3e5-f57ef9bddd00}</x14:id>
        </ext>
      </extLst>
    </cfRule>
  </conditionalFormatting>
  <conditionalFormatting sqref="J26:J37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{00359e2b-200a-4c53-829b-32439d912a65}</x14:id>
        </ext>
      </extLst>
    </cfRule>
  </conditionalFormatting>
  <conditionalFormatting sqref="L11:O21">
    <cfRule type="expression" dxfId="30" priority="5">
      <formula>L11&lt;0</formula>
    </cfRule>
    <cfRule type="expression" dxfId="31" priority="6">
      <formula>L11&gt;0</formula>
    </cfRule>
  </conditionalFormatting>
  <conditionalFormatting sqref="L26:O37">
    <cfRule type="expression" dxfId="30" priority="7">
      <formula>L26&lt;0</formula>
    </cfRule>
    <cfRule type="expression" dxfId="31" priority="8">
      <formula>L26&gt;0</formula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7f1e05-45ee-4b7b-b3e5-f57ef9bddd0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J11:J21</xm:sqref>
        </x14:conditionalFormatting>
        <x14:conditionalFormatting xmlns:xm="http://schemas.microsoft.com/office/excel/2006/main">
          <x14:cfRule type="dataBar" id="{00359e2b-200a-4c53-829b-32439d912a6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J26:J37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tabSelected="1" workbookViewId="0">
      <selection activeCell="H47" sqref="H47"/>
    </sheetView>
  </sheetViews>
  <sheetFormatPr defaultColWidth="9.64285714285714" defaultRowHeight="15.2"/>
  <cols>
    <col min="1" max="1" width="12.6428571428571" style="7" customWidth="1"/>
    <col min="2" max="2" width="8.03571428571429" style="7" customWidth="1"/>
    <col min="3" max="3" width="10.4107142857143" style="7" customWidth="1"/>
    <col min="4" max="4" width="15.3571428571429" style="7" customWidth="1"/>
    <col min="5" max="5" width="8.75" style="7" customWidth="1"/>
    <col min="6" max="6" width="13.3928571428571" style="7" customWidth="1"/>
    <col min="7" max="7" width="12.2053571428571" style="7" customWidth="1"/>
    <col min="8" max="8" width="10.2589285714286" style="7" customWidth="1"/>
    <col min="9" max="9" width="10.125" style="7" customWidth="1"/>
    <col min="10" max="10" width="11.4285714285714" style="7" customWidth="1"/>
    <col min="11" max="11" width="13.75" style="7" customWidth="1"/>
    <col min="12" max="12" width="13.5714285714286" style="7" customWidth="1"/>
    <col min="13" max="13" width="21.9642857142857" style="7" customWidth="1"/>
    <col min="14" max="16384" width="9.64285714285714" style="7"/>
  </cols>
  <sheetData>
    <row r="1" ht="23.2" customHeight="1" spans="1:13">
      <c r="A1" s="8" t="s">
        <v>151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ht="16" spans="1:13">
      <c r="A2" s="9" t="s">
        <v>152</v>
      </c>
      <c r="B2" s="10" t="s">
        <v>153</v>
      </c>
      <c r="C2" s="9" t="s">
        <v>154</v>
      </c>
      <c r="D2" s="10" t="s">
        <v>155</v>
      </c>
      <c r="E2" s="10"/>
      <c r="F2" s="10"/>
      <c r="G2" s="10"/>
      <c r="H2" s="10"/>
      <c r="I2" s="10"/>
      <c r="J2" s="10"/>
      <c r="K2" s="10"/>
      <c r="L2" s="10"/>
      <c r="M2" s="10"/>
    </row>
    <row r="3" ht="16" spans="1:13">
      <c r="A3" s="9" t="s">
        <v>158</v>
      </c>
      <c r="B3" s="10" t="s">
        <v>159</v>
      </c>
      <c r="C3" s="9" t="s">
        <v>166</v>
      </c>
      <c r="D3" s="10" t="s">
        <v>167</v>
      </c>
      <c r="E3" s="10"/>
      <c r="F3" s="10"/>
      <c r="G3" s="10"/>
      <c r="H3" s="10"/>
      <c r="I3" s="10"/>
      <c r="J3" s="10"/>
      <c r="K3" s="10"/>
      <c r="L3" s="10"/>
      <c r="M3" s="10"/>
    </row>
    <row r="4" ht="16" spans="1:13">
      <c r="A4" s="9" t="s">
        <v>156</v>
      </c>
      <c r="B4" s="10" t="s">
        <v>157</v>
      </c>
      <c r="C4" s="9" t="s">
        <v>160</v>
      </c>
      <c r="D4" s="10" t="s">
        <v>161</v>
      </c>
      <c r="E4" s="10"/>
      <c r="F4" s="10"/>
      <c r="G4" s="10"/>
      <c r="H4" s="10"/>
      <c r="I4" s="10"/>
      <c r="J4" s="10"/>
      <c r="K4" s="10"/>
      <c r="L4" s="10"/>
      <c r="M4" s="10"/>
    </row>
    <row r="5" ht="16" spans="1:13">
      <c r="A5" s="9" t="s">
        <v>162</v>
      </c>
      <c r="B5" s="10" t="s">
        <v>163</v>
      </c>
      <c r="C5" s="9" t="s">
        <v>164</v>
      </c>
      <c r="D5" s="10" t="s">
        <v>165</v>
      </c>
      <c r="E5" s="10"/>
      <c r="F5" s="10"/>
      <c r="G5" s="10"/>
      <c r="H5" s="10"/>
      <c r="I5" s="10"/>
      <c r="J5" s="10"/>
      <c r="K5" s="10"/>
      <c r="L5" s="10"/>
      <c r="M5" s="10"/>
    </row>
    <row r="6" ht="8" customHeight="1" spans="1:1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ht="8" customHeight="1" spans="1:1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ht="24" customHeight="1" spans="1:13">
      <c r="A8" s="11" t="s">
        <v>168</v>
      </c>
      <c r="B8" s="12" t="s">
        <v>550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ht="26" customHeight="1" spans="1:13">
      <c r="A9" s="13" t="s">
        <v>535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</row>
    <row r="10" ht="26" customHeight="1" spans="1:13">
      <c r="A10" s="13" t="s">
        <v>171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</row>
    <row r="11" ht="28" customHeight="1" spans="1:13">
      <c r="A11" s="16" t="s">
        <v>51</v>
      </c>
      <c r="B11" s="16" t="s">
        <v>52</v>
      </c>
      <c r="C11" s="16" t="s">
        <v>178</v>
      </c>
      <c r="D11" s="16" t="s">
        <v>357</v>
      </c>
      <c r="E11" s="16" t="s">
        <v>53</v>
      </c>
      <c r="F11" s="16" t="s">
        <v>54</v>
      </c>
      <c r="G11" s="16" t="s">
        <v>179</v>
      </c>
      <c r="H11" s="16" t="s">
        <v>180</v>
      </c>
      <c r="I11" s="16" t="s">
        <v>181</v>
      </c>
      <c r="J11" s="17" t="s">
        <v>551</v>
      </c>
      <c r="K11" s="16" t="s">
        <v>552</v>
      </c>
      <c r="L11" s="16" t="s">
        <v>187</v>
      </c>
      <c r="M11" s="16" t="s">
        <v>188</v>
      </c>
    </row>
    <row r="12" ht="60" customHeight="1" spans="1:13">
      <c r="A12" s="18" t="s">
        <v>26</v>
      </c>
      <c r="B12" s="18">
        <v>18</v>
      </c>
      <c r="C12" s="18" t="s">
        <v>172</v>
      </c>
      <c r="D12" s="18" t="s">
        <v>48</v>
      </c>
      <c r="E12" s="18" t="s">
        <v>98</v>
      </c>
      <c r="F12" s="18" t="s">
        <v>99</v>
      </c>
      <c r="G12" s="18" t="s">
        <v>197</v>
      </c>
      <c r="H12" s="18" t="s">
        <v>227</v>
      </c>
      <c r="I12" s="18" t="s">
        <v>198</v>
      </c>
      <c r="J12" s="19">
        <v>12000</v>
      </c>
      <c r="K12" s="18" t="s">
        <v>553</v>
      </c>
      <c r="L12" s="20" t="s">
        <v>229</v>
      </c>
      <c r="M12" s="18" t="s">
        <v>230</v>
      </c>
    </row>
    <row r="13" ht="26" customHeight="1" spans="1:13">
      <c r="A13" s="13" t="s">
        <v>242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</row>
    <row r="14" ht="28" customHeight="1" spans="1:13">
      <c r="A14" s="16" t="s">
        <v>51</v>
      </c>
      <c r="B14" s="16" t="s">
        <v>52</v>
      </c>
      <c r="C14" s="16" t="s">
        <v>178</v>
      </c>
      <c r="D14" s="16" t="s">
        <v>357</v>
      </c>
      <c r="E14" s="16" t="s">
        <v>53</v>
      </c>
      <c r="F14" s="16" t="s">
        <v>54</v>
      </c>
      <c r="G14" s="16" t="s">
        <v>179</v>
      </c>
      <c r="H14" s="16" t="s">
        <v>180</v>
      </c>
      <c r="I14" s="16" t="s">
        <v>181</v>
      </c>
      <c r="J14" s="17" t="s">
        <v>551</v>
      </c>
      <c r="K14" s="16" t="s">
        <v>552</v>
      </c>
      <c r="L14" s="16" t="s">
        <v>187</v>
      </c>
      <c r="M14" s="16" t="s">
        <v>188</v>
      </c>
    </row>
    <row r="15" ht="60" customHeight="1" spans="1:13">
      <c r="A15" s="18" t="s">
        <v>29</v>
      </c>
      <c r="B15" s="18">
        <v>7</v>
      </c>
      <c r="C15" s="18" t="s">
        <v>172</v>
      </c>
      <c r="D15" s="18" t="s">
        <v>109</v>
      </c>
      <c r="E15" s="18" t="s">
        <v>98</v>
      </c>
      <c r="F15" s="18" t="s">
        <v>99</v>
      </c>
      <c r="G15" s="18" t="s">
        <v>243</v>
      </c>
      <c r="H15" s="18" t="s">
        <v>250</v>
      </c>
      <c r="I15" s="18" t="s">
        <v>195</v>
      </c>
      <c r="J15" s="19">
        <v>6000</v>
      </c>
      <c r="K15" s="18" t="s">
        <v>553</v>
      </c>
      <c r="L15" s="20" t="s">
        <v>252</v>
      </c>
      <c r="M15" s="18" t="s">
        <v>230</v>
      </c>
    </row>
    <row r="16" ht="26" customHeight="1" spans="1:13">
      <c r="A16" s="13" t="s">
        <v>300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/>
    </row>
    <row r="17" ht="28" customHeight="1" spans="1:13">
      <c r="A17" s="16" t="s">
        <v>51</v>
      </c>
      <c r="B17" s="16" t="s">
        <v>52</v>
      </c>
      <c r="C17" s="16" t="s">
        <v>178</v>
      </c>
      <c r="D17" s="16" t="s">
        <v>357</v>
      </c>
      <c r="E17" s="16" t="s">
        <v>53</v>
      </c>
      <c r="F17" s="16" t="s">
        <v>54</v>
      </c>
      <c r="G17" s="16" t="s">
        <v>179</v>
      </c>
      <c r="H17" s="16" t="s">
        <v>180</v>
      </c>
      <c r="I17" s="16" t="s">
        <v>181</v>
      </c>
      <c r="J17" s="17" t="s">
        <v>551</v>
      </c>
      <c r="K17" s="16" t="s">
        <v>552</v>
      </c>
      <c r="L17" s="16" t="s">
        <v>187</v>
      </c>
      <c r="M17" s="16" t="s">
        <v>188</v>
      </c>
    </row>
    <row r="18" ht="60" customHeight="1" spans="1:13">
      <c r="A18" s="18" t="s">
        <v>41</v>
      </c>
      <c r="B18" s="18">
        <v>1</v>
      </c>
      <c r="C18" s="18" t="s">
        <v>172</v>
      </c>
      <c r="D18" s="18" t="s">
        <v>554</v>
      </c>
      <c r="E18" s="18" t="s">
        <v>146</v>
      </c>
      <c r="F18" s="18" t="s">
        <v>147</v>
      </c>
      <c r="G18" s="18" t="s">
        <v>555</v>
      </c>
      <c r="H18" s="18" t="s">
        <v>301</v>
      </c>
      <c r="I18" s="18" t="s">
        <v>302</v>
      </c>
      <c r="J18" s="19">
        <v>20000</v>
      </c>
      <c r="K18" s="18" t="s">
        <v>556</v>
      </c>
      <c r="L18" s="20" t="s">
        <v>304</v>
      </c>
      <c r="M18" s="18" t="s">
        <v>305</v>
      </c>
    </row>
    <row r="19" ht="26" customHeight="1" spans="1:13">
      <c r="A19" s="13" t="s">
        <v>307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</row>
    <row r="20" ht="28" customHeight="1" spans="1:13">
      <c r="A20" s="16" t="s">
        <v>51</v>
      </c>
      <c r="B20" s="16" t="s">
        <v>52</v>
      </c>
      <c r="C20" s="16" t="s">
        <v>178</v>
      </c>
      <c r="D20" s="16" t="s">
        <v>357</v>
      </c>
      <c r="E20" s="16" t="s">
        <v>53</v>
      </c>
      <c r="F20" s="16" t="s">
        <v>54</v>
      </c>
      <c r="G20" s="16" t="s">
        <v>179</v>
      </c>
      <c r="H20" s="16" t="s">
        <v>180</v>
      </c>
      <c r="I20" s="16" t="s">
        <v>181</v>
      </c>
      <c r="J20" s="17" t="s">
        <v>551</v>
      </c>
      <c r="K20" s="16" t="s">
        <v>552</v>
      </c>
      <c r="L20" s="16" t="s">
        <v>187</v>
      </c>
      <c r="M20" s="16" t="s">
        <v>188</v>
      </c>
    </row>
    <row r="21" ht="60" customHeight="1" spans="1:13">
      <c r="A21" s="18" t="s">
        <v>43</v>
      </c>
      <c r="B21" s="18">
        <v>1</v>
      </c>
      <c r="C21" s="18" t="s">
        <v>172</v>
      </c>
      <c r="D21" s="18" t="s">
        <v>557</v>
      </c>
      <c r="E21" s="18" t="s">
        <v>149</v>
      </c>
      <c r="F21" s="18" t="s">
        <v>150</v>
      </c>
      <c r="G21" s="18" t="s">
        <v>308</v>
      </c>
      <c r="H21" s="18" t="s">
        <v>309</v>
      </c>
      <c r="I21" s="18" t="s">
        <v>275</v>
      </c>
      <c r="J21" s="19">
        <v>42500</v>
      </c>
      <c r="K21" s="18" t="s">
        <v>558</v>
      </c>
      <c r="L21" s="20" t="s">
        <v>310</v>
      </c>
      <c r="M21" s="18" t="s">
        <v>311</v>
      </c>
    </row>
    <row r="22" ht="8" customHeight="1" spans="1:1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ht="24" customHeight="1" spans="1:13">
      <c r="A23" s="11" t="s">
        <v>324</v>
      </c>
      <c r="B23" s="12" t="s">
        <v>550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ht="26" customHeight="1" spans="1:13">
      <c r="A24" s="13" t="s">
        <v>549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5"/>
    </row>
    <row r="25" ht="26" customHeight="1" spans="1:13">
      <c r="A25" s="13" t="s">
        <v>326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/>
    </row>
    <row r="26" ht="28" customHeight="1" spans="1:13">
      <c r="A26" s="16" t="s">
        <v>51</v>
      </c>
      <c r="B26" s="16" t="s">
        <v>52</v>
      </c>
      <c r="C26" s="16" t="s">
        <v>178</v>
      </c>
      <c r="D26" s="16" t="s">
        <v>357</v>
      </c>
      <c r="E26" s="16" t="s">
        <v>53</v>
      </c>
      <c r="F26" s="16" t="s">
        <v>54</v>
      </c>
      <c r="G26" s="16" t="s">
        <v>179</v>
      </c>
      <c r="H26" s="16" t="s">
        <v>180</v>
      </c>
      <c r="I26" s="16" t="s">
        <v>181</v>
      </c>
      <c r="J26" s="17" t="s">
        <v>551</v>
      </c>
      <c r="K26" s="16" t="s">
        <v>552</v>
      </c>
      <c r="L26" s="16" t="s">
        <v>187</v>
      </c>
      <c r="M26" s="16" t="s">
        <v>188</v>
      </c>
    </row>
    <row r="27" ht="60" customHeight="1" spans="1:13">
      <c r="A27" s="18" t="s">
        <v>26</v>
      </c>
      <c r="B27" s="18">
        <v>18</v>
      </c>
      <c r="C27" s="18" t="s">
        <v>175</v>
      </c>
      <c r="D27" s="18" t="s">
        <v>48</v>
      </c>
      <c r="E27" s="18" t="s">
        <v>98</v>
      </c>
      <c r="F27" s="18" t="s">
        <v>99</v>
      </c>
      <c r="G27" s="18" t="s">
        <v>197</v>
      </c>
      <c r="H27" s="18" t="s">
        <v>227</v>
      </c>
      <c r="I27" s="18" t="s">
        <v>198</v>
      </c>
      <c r="J27" s="19">
        <v>12000</v>
      </c>
      <c r="K27" s="18" t="s">
        <v>553</v>
      </c>
      <c r="L27" s="20" t="s">
        <v>229</v>
      </c>
      <c r="M27" s="18" t="s">
        <v>230</v>
      </c>
    </row>
    <row r="28" ht="26" customHeight="1" spans="1:13">
      <c r="A28" s="13" t="s">
        <v>328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/>
    </row>
    <row r="29" ht="28" customHeight="1" spans="1:13">
      <c r="A29" s="16" t="s">
        <v>51</v>
      </c>
      <c r="B29" s="16" t="s">
        <v>52</v>
      </c>
      <c r="C29" s="16" t="s">
        <v>178</v>
      </c>
      <c r="D29" s="16" t="s">
        <v>357</v>
      </c>
      <c r="E29" s="16" t="s">
        <v>53</v>
      </c>
      <c r="F29" s="16" t="s">
        <v>54</v>
      </c>
      <c r="G29" s="16" t="s">
        <v>179</v>
      </c>
      <c r="H29" s="16" t="s">
        <v>180</v>
      </c>
      <c r="I29" s="16" t="s">
        <v>181</v>
      </c>
      <c r="J29" s="17" t="s">
        <v>551</v>
      </c>
      <c r="K29" s="16" t="s">
        <v>552</v>
      </c>
      <c r="L29" s="16" t="s">
        <v>187</v>
      </c>
      <c r="M29" s="16" t="s">
        <v>188</v>
      </c>
    </row>
    <row r="30" ht="60" customHeight="1" spans="1:13">
      <c r="A30" s="18" t="s">
        <v>29</v>
      </c>
      <c r="B30" s="18">
        <v>7</v>
      </c>
      <c r="C30" s="18" t="s">
        <v>175</v>
      </c>
      <c r="D30" s="18" t="s">
        <v>109</v>
      </c>
      <c r="E30" s="18" t="s">
        <v>98</v>
      </c>
      <c r="F30" s="18" t="s">
        <v>99</v>
      </c>
      <c r="G30" s="18" t="s">
        <v>243</v>
      </c>
      <c r="H30" s="18" t="s">
        <v>250</v>
      </c>
      <c r="I30" s="18" t="s">
        <v>195</v>
      </c>
      <c r="J30" s="19">
        <v>6000</v>
      </c>
      <c r="K30" s="18" t="s">
        <v>553</v>
      </c>
      <c r="L30" s="20" t="s">
        <v>252</v>
      </c>
      <c r="M30" s="18" t="s">
        <v>230</v>
      </c>
    </row>
    <row r="31" ht="26" customHeight="1" spans="1:13">
      <c r="A31" s="13" t="s">
        <v>145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5"/>
    </row>
    <row r="32" ht="28" customHeight="1" spans="1:13">
      <c r="A32" s="16" t="s">
        <v>51</v>
      </c>
      <c r="B32" s="16" t="s">
        <v>52</v>
      </c>
      <c r="C32" s="16" t="s">
        <v>178</v>
      </c>
      <c r="D32" s="16" t="s">
        <v>357</v>
      </c>
      <c r="E32" s="16" t="s">
        <v>53</v>
      </c>
      <c r="F32" s="16" t="s">
        <v>54</v>
      </c>
      <c r="G32" s="16" t="s">
        <v>179</v>
      </c>
      <c r="H32" s="16" t="s">
        <v>180</v>
      </c>
      <c r="I32" s="16" t="s">
        <v>181</v>
      </c>
      <c r="J32" s="17" t="s">
        <v>551</v>
      </c>
      <c r="K32" s="16" t="s">
        <v>552</v>
      </c>
      <c r="L32" s="16" t="s">
        <v>187</v>
      </c>
      <c r="M32" s="16" t="s">
        <v>188</v>
      </c>
    </row>
    <row r="33" ht="60" customHeight="1" spans="1:13">
      <c r="A33" s="18" t="s">
        <v>41</v>
      </c>
      <c r="B33" s="18">
        <v>1</v>
      </c>
      <c r="C33" s="18" t="s">
        <v>175</v>
      </c>
      <c r="D33" s="18" t="s">
        <v>554</v>
      </c>
      <c r="E33" s="18" t="s">
        <v>146</v>
      </c>
      <c r="F33" s="18" t="s">
        <v>147</v>
      </c>
      <c r="G33" s="18" t="s">
        <v>559</v>
      </c>
      <c r="H33" s="18" t="s">
        <v>301</v>
      </c>
      <c r="I33" s="18" t="s">
        <v>302</v>
      </c>
      <c r="J33" s="19">
        <v>20000</v>
      </c>
      <c r="K33" s="18" t="s">
        <v>556</v>
      </c>
      <c r="L33" s="20" t="s">
        <v>304</v>
      </c>
      <c r="M33" s="18" t="s">
        <v>305</v>
      </c>
    </row>
    <row r="34" ht="26" customHeight="1" spans="1:13">
      <c r="A34" s="13" t="s">
        <v>148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/>
    </row>
    <row r="35" ht="28" customHeight="1" spans="1:13">
      <c r="A35" s="16" t="s">
        <v>51</v>
      </c>
      <c r="B35" s="16" t="s">
        <v>52</v>
      </c>
      <c r="C35" s="16" t="s">
        <v>178</v>
      </c>
      <c r="D35" s="16" t="s">
        <v>357</v>
      </c>
      <c r="E35" s="16" t="s">
        <v>53</v>
      </c>
      <c r="F35" s="16" t="s">
        <v>54</v>
      </c>
      <c r="G35" s="16" t="s">
        <v>179</v>
      </c>
      <c r="H35" s="16" t="s">
        <v>180</v>
      </c>
      <c r="I35" s="16" t="s">
        <v>181</v>
      </c>
      <c r="J35" s="17" t="s">
        <v>551</v>
      </c>
      <c r="K35" s="16" t="s">
        <v>552</v>
      </c>
      <c r="L35" s="16" t="s">
        <v>187</v>
      </c>
      <c r="M35" s="16" t="s">
        <v>188</v>
      </c>
    </row>
    <row r="36" ht="60" customHeight="1" spans="1:13">
      <c r="A36" s="18" t="s">
        <v>43</v>
      </c>
      <c r="B36" s="18">
        <v>1</v>
      </c>
      <c r="C36" s="18" t="s">
        <v>175</v>
      </c>
      <c r="D36" s="18" t="s">
        <v>557</v>
      </c>
      <c r="E36" s="18" t="s">
        <v>149</v>
      </c>
      <c r="F36" s="18" t="s">
        <v>150</v>
      </c>
      <c r="G36" s="18" t="s">
        <v>351</v>
      </c>
      <c r="H36" s="18" t="s">
        <v>309</v>
      </c>
      <c r="I36" s="18" t="s">
        <v>275</v>
      </c>
      <c r="J36" s="19">
        <v>42500</v>
      </c>
      <c r="K36" s="18" t="s">
        <v>558</v>
      </c>
      <c r="L36" s="20" t="s">
        <v>310</v>
      </c>
      <c r="M36" s="18" t="s">
        <v>311</v>
      </c>
    </row>
    <row r="37" ht="8" customHeight="1" spans="1:1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ht="23.2" customHeight="1" spans="1:13">
      <c r="A38" s="8" t="s">
        <v>560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ht="26" customHeight="1" spans="1:13">
      <c r="A39" s="10" t="s">
        <v>561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ht="28" customHeight="1" spans="1:13">
      <c r="A40" s="16" t="s">
        <v>552</v>
      </c>
      <c r="B40" s="16"/>
      <c r="C40" s="16" t="s">
        <v>562</v>
      </c>
      <c r="D40" s="16"/>
      <c r="E40" s="16"/>
      <c r="F40" s="16"/>
      <c r="G40" s="17" t="s">
        <v>563</v>
      </c>
      <c r="H40" s="16" t="s">
        <v>564</v>
      </c>
      <c r="I40" s="16"/>
      <c r="J40" s="16"/>
      <c r="K40" s="16"/>
      <c r="L40" s="17" t="s">
        <v>565</v>
      </c>
      <c r="M40" s="17" t="s">
        <v>566</v>
      </c>
    </row>
    <row r="41" ht="78" customHeight="1" spans="1:13">
      <c r="A41" s="18" t="s">
        <v>553</v>
      </c>
      <c r="B41" s="18"/>
      <c r="C41" s="18" t="s">
        <v>567</v>
      </c>
      <c r="D41" s="18"/>
      <c r="E41" s="18"/>
      <c r="F41" s="18"/>
      <c r="G41" s="21">
        <v>18000</v>
      </c>
      <c r="H41" s="20" t="s">
        <v>567</v>
      </c>
      <c r="I41" s="20"/>
      <c r="J41" s="20"/>
      <c r="K41" s="20"/>
      <c r="L41" s="21">
        <v>18000</v>
      </c>
      <c r="M41" s="21">
        <v>36000</v>
      </c>
    </row>
    <row r="42" ht="78" customHeight="1" spans="1:13">
      <c r="A42" s="18" t="s">
        <v>568</v>
      </c>
      <c r="B42" s="18"/>
      <c r="C42" s="18" t="s">
        <v>147</v>
      </c>
      <c r="D42" s="18"/>
      <c r="E42" s="18"/>
      <c r="F42" s="18"/>
      <c r="G42" s="21">
        <v>20000</v>
      </c>
      <c r="H42" s="18" t="s">
        <v>147</v>
      </c>
      <c r="I42" s="18"/>
      <c r="J42" s="18"/>
      <c r="K42" s="18"/>
      <c r="L42" s="21">
        <v>20000</v>
      </c>
      <c r="M42" s="21">
        <v>40000</v>
      </c>
    </row>
    <row r="43" ht="78" customHeight="1" spans="1:13">
      <c r="A43" s="18" t="s">
        <v>514</v>
      </c>
      <c r="B43" s="18"/>
      <c r="C43" s="18" t="s">
        <v>569</v>
      </c>
      <c r="D43" s="18"/>
      <c r="E43" s="18"/>
      <c r="F43" s="18"/>
      <c r="G43" s="21">
        <v>42500</v>
      </c>
      <c r="H43" s="18" t="s">
        <v>569</v>
      </c>
      <c r="I43" s="18"/>
      <c r="J43" s="18"/>
      <c r="K43" s="18"/>
      <c r="L43" s="21">
        <v>42500</v>
      </c>
      <c r="M43" s="21">
        <v>85000</v>
      </c>
    </row>
    <row r="44" ht="32" customHeight="1" spans="1:13">
      <c r="A44" s="22" t="s">
        <v>570</v>
      </c>
      <c r="B44" s="23"/>
      <c r="C44" s="23"/>
      <c r="D44" s="23"/>
      <c r="E44" s="23"/>
      <c r="F44" s="23"/>
      <c r="G44" s="21">
        <f>SUM(G41:G43)</f>
        <v>80500</v>
      </c>
      <c r="H44" s="22" t="s">
        <v>571</v>
      </c>
      <c r="I44" s="22"/>
      <c r="J44" s="22"/>
      <c r="K44" s="22"/>
      <c r="L44" s="21">
        <f>SUM(L41:L43)</f>
        <v>80500</v>
      </c>
      <c r="M44" s="21">
        <f>SUM(M41:M43)</f>
        <v>161000</v>
      </c>
    </row>
  </sheetData>
  <mergeCells count="29">
    <mergeCell ref="A1:M1"/>
    <mergeCell ref="B8:M8"/>
    <mergeCell ref="A9:M9"/>
    <mergeCell ref="A10:M10"/>
    <mergeCell ref="A13:M13"/>
    <mergeCell ref="A16:M16"/>
    <mergeCell ref="A19:M19"/>
    <mergeCell ref="B23:M23"/>
    <mergeCell ref="A24:M24"/>
    <mergeCell ref="A25:M25"/>
    <mergeCell ref="A28:M28"/>
    <mergeCell ref="A31:M31"/>
    <mergeCell ref="A34:M34"/>
    <mergeCell ref="A38:M38"/>
    <mergeCell ref="A39:M39"/>
    <mergeCell ref="A40:B40"/>
    <mergeCell ref="C40:F40"/>
    <mergeCell ref="H40:K40"/>
    <mergeCell ref="A41:B41"/>
    <mergeCell ref="C41:F41"/>
    <mergeCell ref="H41:K41"/>
    <mergeCell ref="A42:B42"/>
    <mergeCell ref="C42:F42"/>
    <mergeCell ref="H42:K42"/>
    <mergeCell ref="A43:B43"/>
    <mergeCell ref="C43:F43"/>
    <mergeCell ref="H43:K43"/>
    <mergeCell ref="A44:F44"/>
    <mergeCell ref="H44:K4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0"/>
  <sheetViews>
    <sheetView topLeftCell="A230" workbookViewId="0">
      <selection activeCell="D12" sqref="D12"/>
    </sheetView>
  </sheetViews>
  <sheetFormatPr defaultColWidth="9" defaultRowHeight="15.2"/>
  <cols>
    <col min="1" max="1" width="10" style="1" customWidth="1"/>
    <col min="2" max="2" width="9" style="1" customWidth="1"/>
    <col min="3" max="3" width="8" style="1" customWidth="1"/>
    <col min="4" max="4" width="34" style="1" customWidth="1"/>
    <col min="5" max="5" width="12" style="1" customWidth="1"/>
    <col min="6" max="6" width="34" style="1" customWidth="1"/>
    <col min="7" max="7" width="10" style="1" customWidth="1"/>
    <col min="8" max="11" width="12" style="1" customWidth="1"/>
    <col min="12" max="12" width="10" style="1" customWidth="1"/>
    <col min="13" max="13" width="55" style="1" customWidth="1"/>
    <col min="14" max="16384" width="9" style="2"/>
  </cols>
  <sheetData>
    <row r="1" ht="36" customHeight="1" spans="1:13">
      <c r="A1" s="3" t="s">
        <v>572</v>
      </c>
      <c r="B1" s="3" t="s">
        <v>573</v>
      </c>
      <c r="C1" s="3" t="s">
        <v>178</v>
      </c>
      <c r="D1" s="3" t="s">
        <v>357</v>
      </c>
      <c r="E1" s="3" t="s">
        <v>53</v>
      </c>
      <c r="F1" s="3" t="s">
        <v>54</v>
      </c>
      <c r="G1" s="3" t="s">
        <v>179</v>
      </c>
      <c r="H1" s="3" t="s">
        <v>180</v>
      </c>
      <c r="I1" s="3" t="s">
        <v>574</v>
      </c>
      <c r="J1" s="3" t="s">
        <v>575</v>
      </c>
      <c r="K1" s="3" t="s">
        <v>576</v>
      </c>
      <c r="L1" s="3" t="s">
        <v>577</v>
      </c>
      <c r="M1" s="3" t="s">
        <v>578</v>
      </c>
    </row>
    <row r="2" ht="36" customHeight="1" spans="1:13">
      <c r="A2" s="4" t="s">
        <v>514</v>
      </c>
      <c r="B2" s="5">
        <v>9</v>
      </c>
      <c r="C2" s="4" t="s">
        <v>172</v>
      </c>
      <c r="D2" s="4" t="s">
        <v>48</v>
      </c>
      <c r="E2" s="4" t="s">
        <v>66</v>
      </c>
      <c r="F2" s="4" t="s">
        <v>67</v>
      </c>
      <c r="G2" s="4" t="s">
        <v>189</v>
      </c>
      <c r="H2" s="4" t="s">
        <v>190</v>
      </c>
      <c r="I2" s="6">
        <v>5600</v>
      </c>
      <c r="J2" s="6">
        <v>5600</v>
      </c>
      <c r="K2" s="6">
        <v>0</v>
      </c>
      <c r="L2" s="4" t="s">
        <v>579</v>
      </c>
      <c r="M2" s="4" t="s">
        <v>196</v>
      </c>
    </row>
    <row r="3" ht="18" customHeight="1" spans="1:13">
      <c r="A3" s="4" t="s">
        <v>514</v>
      </c>
      <c r="B3" s="5">
        <v>10</v>
      </c>
      <c r="C3" s="4" t="s">
        <v>172</v>
      </c>
      <c r="D3" s="4" t="s">
        <v>48</v>
      </c>
      <c r="E3" s="4" t="s">
        <v>68</v>
      </c>
      <c r="F3" s="4" t="s">
        <v>69</v>
      </c>
      <c r="G3" s="4" t="s">
        <v>197</v>
      </c>
      <c r="H3" s="5"/>
      <c r="I3" s="6">
        <v>13000</v>
      </c>
      <c r="J3" s="6">
        <v>13000</v>
      </c>
      <c r="K3" s="6">
        <v>0</v>
      </c>
      <c r="L3" s="4" t="s">
        <v>579</v>
      </c>
      <c r="M3" s="4" t="s">
        <v>362</v>
      </c>
    </row>
    <row r="4" ht="18" customHeight="1" spans="1:13">
      <c r="A4" s="4" t="s">
        <v>514</v>
      </c>
      <c r="B4" s="5">
        <v>11</v>
      </c>
      <c r="C4" s="4" t="s">
        <v>172</v>
      </c>
      <c r="D4" s="4" t="s">
        <v>48</v>
      </c>
      <c r="E4" s="4" t="s">
        <v>70</v>
      </c>
      <c r="F4" s="4" t="s">
        <v>71</v>
      </c>
      <c r="G4" s="4" t="s">
        <v>197</v>
      </c>
      <c r="H4" s="4" t="s">
        <v>202</v>
      </c>
      <c r="I4" s="6">
        <v>720</v>
      </c>
      <c r="J4" s="6">
        <v>720</v>
      </c>
      <c r="K4" s="6">
        <v>0</v>
      </c>
      <c r="L4" s="4" t="s">
        <v>579</v>
      </c>
      <c r="M4" s="4" t="s">
        <v>365</v>
      </c>
    </row>
    <row r="5" ht="18" customHeight="1" spans="1:13">
      <c r="A5" s="4" t="s">
        <v>514</v>
      </c>
      <c r="B5" s="5">
        <v>12</v>
      </c>
      <c r="C5" s="4" t="s">
        <v>172</v>
      </c>
      <c r="D5" s="4" t="s">
        <v>48</v>
      </c>
      <c r="E5" s="4" t="s">
        <v>72</v>
      </c>
      <c r="F5" s="4" t="s">
        <v>73</v>
      </c>
      <c r="G5" s="4" t="s">
        <v>197</v>
      </c>
      <c r="H5" s="4" t="s">
        <v>202</v>
      </c>
      <c r="I5" s="6">
        <v>720</v>
      </c>
      <c r="J5" s="6">
        <v>720</v>
      </c>
      <c r="K5" s="6">
        <v>0</v>
      </c>
      <c r="L5" s="4" t="s">
        <v>579</v>
      </c>
      <c r="M5" s="4" t="s">
        <v>365</v>
      </c>
    </row>
    <row r="6" ht="18" customHeight="1" spans="1:13">
      <c r="A6" s="4" t="s">
        <v>514</v>
      </c>
      <c r="B6" s="5">
        <v>13</v>
      </c>
      <c r="C6" s="4" t="s">
        <v>172</v>
      </c>
      <c r="D6" s="4" t="s">
        <v>48</v>
      </c>
      <c r="E6" s="4" t="s">
        <v>74</v>
      </c>
      <c r="F6" s="4" t="s">
        <v>75</v>
      </c>
      <c r="G6" s="4" t="s">
        <v>197</v>
      </c>
      <c r="H6" s="4" t="s">
        <v>202</v>
      </c>
      <c r="I6" s="6">
        <v>720</v>
      </c>
      <c r="J6" s="6">
        <v>720</v>
      </c>
      <c r="K6" s="6">
        <v>0</v>
      </c>
      <c r="L6" s="4" t="s">
        <v>579</v>
      </c>
      <c r="M6" s="4" t="s">
        <v>365</v>
      </c>
    </row>
    <row r="7" ht="18" customHeight="1" spans="1:13">
      <c r="A7" s="4" t="s">
        <v>514</v>
      </c>
      <c r="B7" s="5">
        <v>14</v>
      </c>
      <c r="C7" s="4" t="s">
        <v>172</v>
      </c>
      <c r="D7" s="4" t="s">
        <v>48</v>
      </c>
      <c r="E7" s="4" t="s">
        <v>76</v>
      </c>
      <c r="F7" s="4" t="s">
        <v>77</v>
      </c>
      <c r="G7" s="4" t="s">
        <v>197</v>
      </c>
      <c r="H7" s="4" t="s">
        <v>205</v>
      </c>
      <c r="I7" s="6">
        <v>2880</v>
      </c>
      <c r="J7" s="6">
        <v>2880</v>
      </c>
      <c r="K7" s="6">
        <v>0</v>
      </c>
      <c r="L7" s="4" t="s">
        <v>579</v>
      </c>
      <c r="M7" s="4" t="s">
        <v>366</v>
      </c>
    </row>
    <row r="8" ht="18" customHeight="1" spans="1:13">
      <c r="A8" s="4" t="s">
        <v>514</v>
      </c>
      <c r="B8" s="5">
        <v>15</v>
      </c>
      <c r="C8" s="4" t="s">
        <v>172</v>
      </c>
      <c r="D8" s="4" t="s">
        <v>48</v>
      </c>
      <c r="E8" s="4" t="s">
        <v>78</v>
      </c>
      <c r="F8" s="4" t="s">
        <v>79</v>
      </c>
      <c r="G8" s="4" t="s">
        <v>197</v>
      </c>
      <c r="H8" s="4" t="s">
        <v>207</v>
      </c>
      <c r="I8" s="6">
        <v>3360</v>
      </c>
      <c r="J8" s="6">
        <v>3360</v>
      </c>
      <c r="K8" s="6">
        <v>0</v>
      </c>
      <c r="L8" s="4" t="s">
        <v>579</v>
      </c>
      <c r="M8" s="4" t="s">
        <v>368</v>
      </c>
    </row>
    <row r="9" ht="18" customHeight="1" spans="1:13">
      <c r="A9" s="4" t="s">
        <v>514</v>
      </c>
      <c r="B9" s="5">
        <v>16</v>
      </c>
      <c r="C9" s="4" t="s">
        <v>172</v>
      </c>
      <c r="D9" s="4" t="s">
        <v>48</v>
      </c>
      <c r="E9" s="4" t="s">
        <v>80</v>
      </c>
      <c r="F9" s="4" t="s">
        <v>81</v>
      </c>
      <c r="G9" s="4" t="s">
        <v>197</v>
      </c>
      <c r="H9" s="4" t="s">
        <v>210</v>
      </c>
      <c r="I9" s="6">
        <v>7200</v>
      </c>
      <c r="J9" s="6">
        <v>7200</v>
      </c>
      <c r="K9" s="6">
        <v>0</v>
      </c>
      <c r="L9" s="4" t="s">
        <v>579</v>
      </c>
      <c r="M9" s="4" t="s">
        <v>369</v>
      </c>
    </row>
    <row r="10" ht="18" customHeight="1" spans="1:13">
      <c r="A10" s="4" t="s">
        <v>514</v>
      </c>
      <c r="B10" s="5">
        <v>17</v>
      </c>
      <c r="C10" s="4" t="s">
        <v>172</v>
      </c>
      <c r="D10" s="4" t="s">
        <v>48</v>
      </c>
      <c r="E10" s="4" t="s">
        <v>82</v>
      </c>
      <c r="F10" s="4" t="s">
        <v>83</v>
      </c>
      <c r="G10" s="4" t="s">
        <v>197</v>
      </c>
      <c r="H10" s="4" t="s">
        <v>212</v>
      </c>
      <c r="I10" s="6">
        <v>10500</v>
      </c>
      <c r="J10" s="6">
        <v>10500</v>
      </c>
      <c r="K10" s="6">
        <v>0</v>
      </c>
      <c r="L10" s="4" t="s">
        <v>579</v>
      </c>
      <c r="M10" s="4" t="s">
        <v>213</v>
      </c>
    </row>
    <row r="11" ht="18" customHeight="1" spans="1:13">
      <c r="A11" s="4" t="s">
        <v>514</v>
      </c>
      <c r="B11" s="5">
        <v>18</v>
      </c>
      <c r="C11" s="4" t="s">
        <v>172</v>
      </c>
      <c r="D11" s="4" t="s">
        <v>48</v>
      </c>
      <c r="E11" s="4" t="s">
        <v>84</v>
      </c>
      <c r="F11" s="4" t="s">
        <v>85</v>
      </c>
      <c r="G11" s="4" t="s">
        <v>197</v>
      </c>
      <c r="H11" s="4" t="s">
        <v>208</v>
      </c>
      <c r="I11" s="6">
        <v>24000</v>
      </c>
      <c r="J11" s="6">
        <v>24000</v>
      </c>
      <c r="K11" s="6">
        <v>0</v>
      </c>
      <c r="L11" s="4" t="s">
        <v>579</v>
      </c>
      <c r="M11" s="4" t="s">
        <v>215</v>
      </c>
    </row>
    <row r="12" ht="36" customHeight="1" spans="1:13">
      <c r="A12" s="4" t="s">
        <v>514</v>
      </c>
      <c r="B12" s="5">
        <v>19</v>
      </c>
      <c r="C12" s="4" t="s">
        <v>172</v>
      </c>
      <c r="D12" s="4" t="s">
        <v>48</v>
      </c>
      <c r="E12" s="4" t="s">
        <v>86</v>
      </c>
      <c r="F12" s="4" t="s">
        <v>87</v>
      </c>
      <c r="G12" s="4" t="s">
        <v>189</v>
      </c>
      <c r="H12" s="4" t="s">
        <v>190</v>
      </c>
      <c r="I12" s="6">
        <v>4200</v>
      </c>
      <c r="J12" s="6">
        <v>4200</v>
      </c>
      <c r="K12" s="6">
        <v>0</v>
      </c>
      <c r="L12" s="4" t="s">
        <v>579</v>
      </c>
      <c r="M12" s="4" t="s">
        <v>216</v>
      </c>
    </row>
    <row r="13" ht="18" customHeight="1" spans="1:13">
      <c r="A13" s="4" t="s">
        <v>514</v>
      </c>
      <c r="B13" s="5">
        <v>20</v>
      </c>
      <c r="C13" s="4" t="s">
        <v>172</v>
      </c>
      <c r="D13" s="4" t="s">
        <v>48</v>
      </c>
      <c r="E13" s="4" t="s">
        <v>88</v>
      </c>
      <c r="F13" s="4" t="s">
        <v>89</v>
      </c>
      <c r="G13" s="4" t="s">
        <v>197</v>
      </c>
      <c r="H13" s="4" t="s">
        <v>217</v>
      </c>
      <c r="I13" s="6">
        <v>3996</v>
      </c>
      <c r="J13" s="6">
        <v>3996</v>
      </c>
      <c r="K13" s="6">
        <v>0</v>
      </c>
      <c r="L13" s="4" t="s">
        <v>579</v>
      </c>
      <c r="M13" s="4" t="s">
        <v>374</v>
      </c>
    </row>
    <row r="14" ht="18" customHeight="1" spans="1:13">
      <c r="A14" s="4" t="s">
        <v>514</v>
      </c>
      <c r="B14" s="5">
        <v>21</v>
      </c>
      <c r="C14" s="4" t="s">
        <v>172</v>
      </c>
      <c r="D14" s="4" t="s">
        <v>48</v>
      </c>
      <c r="E14" s="4" t="s">
        <v>90</v>
      </c>
      <c r="F14" s="4" t="s">
        <v>91</v>
      </c>
      <c r="G14" s="4" t="s">
        <v>197</v>
      </c>
      <c r="H14" s="4" t="s">
        <v>217</v>
      </c>
      <c r="I14" s="6">
        <v>144000</v>
      </c>
      <c r="J14" s="6">
        <v>144000</v>
      </c>
      <c r="K14" s="6">
        <v>0</v>
      </c>
      <c r="L14" s="4" t="s">
        <v>579</v>
      </c>
      <c r="M14" s="4" t="s">
        <v>376</v>
      </c>
    </row>
    <row r="15" ht="18" customHeight="1" spans="1:13">
      <c r="A15" s="4" t="s">
        <v>514</v>
      </c>
      <c r="B15" s="5">
        <v>22</v>
      </c>
      <c r="C15" s="4" t="s">
        <v>172</v>
      </c>
      <c r="D15" s="4" t="s">
        <v>48</v>
      </c>
      <c r="E15" s="4" t="s">
        <v>92</v>
      </c>
      <c r="F15" s="4" t="s">
        <v>93</v>
      </c>
      <c r="G15" s="4" t="s">
        <v>197</v>
      </c>
      <c r="H15" s="4" t="s">
        <v>222</v>
      </c>
      <c r="I15" s="6">
        <v>7920</v>
      </c>
      <c r="J15" s="6">
        <v>7920</v>
      </c>
      <c r="K15" s="6">
        <v>0</v>
      </c>
      <c r="L15" s="4" t="s">
        <v>579</v>
      </c>
      <c r="M15" s="4" t="s">
        <v>377</v>
      </c>
    </row>
    <row r="16" ht="18" customHeight="1" spans="1:13">
      <c r="A16" s="4" t="s">
        <v>514</v>
      </c>
      <c r="B16" s="5">
        <v>23</v>
      </c>
      <c r="C16" s="4" t="s">
        <v>172</v>
      </c>
      <c r="D16" s="4" t="s">
        <v>48</v>
      </c>
      <c r="E16" s="4" t="s">
        <v>94</v>
      </c>
      <c r="F16" s="4" t="s">
        <v>95</v>
      </c>
      <c r="G16" s="4" t="s">
        <v>197</v>
      </c>
      <c r="H16" s="4" t="s">
        <v>217</v>
      </c>
      <c r="I16" s="6">
        <v>6000</v>
      </c>
      <c r="J16" s="6">
        <v>6000</v>
      </c>
      <c r="K16" s="6">
        <v>0</v>
      </c>
      <c r="L16" s="4" t="s">
        <v>579</v>
      </c>
      <c r="M16" s="4" t="s">
        <v>225</v>
      </c>
    </row>
    <row r="17" ht="18" customHeight="1" spans="1:13">
      <c r="A17" s="4" t="s">
        <v>514</v>
      </c>
      <c r="B17" s="5">
        <v>24</v>
      </c>
      <c r="C17" s="4" t="s">
        <v>172</v>
      </c>
      <c r="D17" s="4" t="s">
        <v>48</v>
      </c>
      <c r="E17" s="4" t="s">
        <v>96</v>
      </c>
      <c r="F17" s="4" t="s">
        <v>97</v>
      </c>
      <c r="G17" s="4" t="s">
        <v>197</v>
      </c>
      <c r="H17" s="4" t="s">
        <v>227</v>
      </c>
      <c r="I17" s="6">
        <v>6000</v>
      </c>
      <c r="J17" s="6">
        <v>6000</v>
      </c>
      <c r="K17" s="6">
        <v>0</v>
      </c>
      <c r="L17" s="4" t="s">
        <v>579</v>
      </c>
      <c r="M17" s="4" t="s">
        <v>380</v>
      </c>
    </row>
    <row r="18" ht="36" customHeight="1" spans="1:13">
      <c r="A18" s="4" t="s">
        <v>514</v>
      </c>
      <c r="B18" s="5">
        <v>25</v>
      </c>
      <c r="C18" s="4" t="s">
        <v>172</v>
      </c>
      <c r="D18" s="4" t="s">
        <v>48</v>
      </c>
      <c r="E18" s="4" t="s">
        <v>66</v>
      </c>
      <c r="F18" s="4" t="s">
        <v>67</v>
      </c>
      <c r="G18" s="4" t="s">
        <v>189</v>
      </c>
      <c r="H18" s="4" t="s">
        <v>190</v>
      </c>
      <c r="I18" s="6">
        <v>5600</v>
      </c>
      <c r="J18" s="6">
        <v>5600</v>
      </c>
      <c r="K18" s="6">
        <v>0</v>
      </c>
      <c r="L18" s="4" t="s">
        <v>579</v>
      </c>
      <c r="M18" s="4" t="s">
        <v>196</v>
      </c>
    </row>
    <row r="19" ht="36" customHeight="1" spans="1:13">
      <c r="A19" s="4" t="s">
        <v>514</v>
      </c>
      <c r="B19" s="5">
        <v>28</v>
      </c>
      <c r="C19" s="4" t="s">
        <v>172</v>
      </c>
      <c r="D19" s="4" t="s">
        <v>102</v>
      </c>
      <c r="E19" s="4" t="s">
        <v>66</v>
      </c>
      <c r="F19" s="4" t="s">
        <v>67</v>
      </c>
      <c r="G19" s="4" t="s">
        <v>234</v>
      </c>
      <c r="H19" s="4" t="s">
        <v>217</v>
      </c>
      <c r="I19" s="6">
        <v>4800</v>
      </c>
      <c r="J19" s="6">
        <v>4800</v>
      </c>
      <c r="K19" s="6">
        <v>0</v>
      </c>
      <c r="L19" s="4" t="s">
        <v>579</v>
      </c>
      <c r="M19" s="4" t="s">
        <v>236</v>
      </c>
    </row>
    <row r="20" ht="18" customHeight="1" spans="1:13">
      <c r="A20" s="4" t="s">
        <v>514</v>
      </c>
      <c r="B20" s="5">
        <v>29</v>
      </c>
      <c r="C20" s="4" t="s">
        <v>172</v>
      </c>
      <c r="D20" s="4" t="s">
        <v>102</v>
      </c>
      <c r="E20" s="4" t="s">
        <v>103</v>
      </c>
      <c r="F20" s="4" t="s">
        <v>104</v>
      </c>
      <c r="G20" s="4" t="s">
        <v>234</v>
      </c>
      <c r="H20" s="4" t="s">
        <v>195</v>
      </c>
      <c r="I20" s="6">
        <v>11190</v>
      </c>
      <c r="J20" s="6">
        <v>11190</v>
      </c>
      <c r="K20" s="6">
        <v>0</v>
      </c>
      <c r="L20" s="4" t="s">
        <v>579</v>
      </c>
      <c r="M20" s="4" t="s">
        <v>382</v>
      </c>
    </row>
    <row r="21" ht="36" customHeight="1" spans="1:13">
      <c r="A21" s="4" t="s">
        <v>514</v>
      </c>
      <c r="B21" s="5">
        <v>30</v>
      </c>
      <c r="C21" s="4" t="s">
        <v>172</v>
      </c>
      <c r="D21" s="4" t="s">
        <v>102</v>
      </c>
      <c r="E21" s="4" t="s">
        <v>106</v>
      </c>
      <c r="F21" s="4" t="s">
        <v>107</v>
      </c>
      <c r="G21" s="4" t="s">
        <v>234</v>
      </c>
      <c r="H21" s="4" t="s">
        <v>217</v>
      </c>
      <c r="I21" s="6">
        <v>19000</v>
      </c>
      <c r="J21" s="6">
        <v>19000</v>
      </c>
      <c r="K21" s="6">
        <v>0</v>
      </c>
      <c r="L21" s="4" t="s">
        <v>579</v>
      </c>
      <c r="M21" s="4" t="s">
        <v>384</v>
      </c>
    </row>
    <row r="22" ht="36" customHeight="1" spans="1:13">
      <c r="A22" s="4" t="s">
        <v>514</v>
      </c>
      <c r="B22" s="5">
        <v>31</v>
      </c>
      <c r="C22" s="4" t="s">
        <v>172</v>
      </c>
      <c r="D22" s="4" t="s">
        <v>102</v>
      </c>
      <c r="E22" s="4" t="s">
        <v>66</v>
      </c>
      <c r="F22" s="4" t="s">
        <v>67</v>
      </c>
      <c r="G22" s="4" t="s">
        <v>234</v>
      </c>
      <c r="H22" s="4" t="s">
        <v>217</v>
      </c>
      <c r="I22" s="6">
        <v>4800</v>
      </c>
      <c r="J22" s="6">
        <v>4800</v>
      </c>
      <c r="K22" s="6">
        <v>0</v>
      </c>
      <c r="L22" s="4" t="s">
        <v>579</v>
      </c>
      <c r="M22" s="4" t="s">
        <v>236</v>
      </c>
    </row>
    <row r="23" ht="36" customHeight="1" spans="1:13">
      <c r="A23" s="4" t="s">
        <v>514</v>
      </c>
      <c r="B23" s="5">
        <v>34</v>
      </c>
      <c r="C23" s="4" t="s">
        <v>172</v>
      </c>
      <c r="D23" s="4" t="s">
        <v>109</v>
      </c>
      <c r="E23" s="4" t="s">
        <v>66</v>
      </c>
      <c r="F23" s="4" t="s">
        <v>67</v>
      </c>
      <c r="G23" s="4" t="s">
        <v>243</v>
      </c>
      <c r="H23" s="4" t="s">
        <v>244</v>
      </c>
      <c r="I23" s="6">
        <v>2400</v>
      </c>
      <c r="J23" s="6">
        <v>2400</v>
      </c>
      <c r="K23" s="6">
        <v>0</v>
      </c>
      <c r="L23" s="4" t="s">
        <v>579</v>
      </c>
      <c r="M23" s="4" t="s">
        <v>246</v>
      </c>
    </row>
    <row r="24" ht="18" customHeight="1" spans="1:13">
      <c r="A24" s="4" t="s">
        <v>514</v>
      </c>
      <c r="B24" s="5">
        <v>35</v>
      </c>
      <c r="C24" s="4" t="s">
        <v>172</v>
      </c>
      <c r="D24" s="4" t="s">
        <v>109</v>
      </c>
      <c r="E24" s="4" t="s">
        <v>82</v>
      </c>
      <c r="F24" s="4" t="s">
        <v>83</v>
      </c>
      <c r="G24" s="4" t="s">
        <v>243</v>
      </c>
      <c r="H24" s="4" t="s">
        <v>212</v>
      </c>
      <c r="I24" s="6">
        <v>10500</v>
      </c>
      <c r="J24" s="6">
        <v>10500</v>
      </c>
      <c r="K24" s="6">
        <v>0</v>
      </c>
      <c r="L24" s="4" t="s">
        <v>579</v>
      </c>
      <c r="M24" s="4" t="s">
        <v>213</v>
      </c>
    </row>
    <row r="25" ht="36" customHeight="1" spans="1:13">
      <c r="A25" s="4" t="s">
        <v>514</v>
      </c>
      <c r="B25" s="5">
        <v>36</v>
      </c>
      <c r="C25" s="4" t="s">
        <v>172</v>
      </c>
      <c r="D25" s="4" t="s">
        <v>109</v>
      </c>
      <c r="E25" s="4" t="s">
        <v>68</v>
      </c>
      <c r="F25" s="4" t="s">
        <v>69</v>
      </c>
      <c r="G25" s="4" t="s">
        <v>243</v>
      </c>
      <c r="H25" s="5"/>
      <c r="I25" s="6">
        <v>2500</v>
      </c>
      <c r="J25" s="6">
        <v>2500</v>
      </c>
      <c r="K25" s="6">
        <v>0</v>
      </c>
      <c r="L25" s="4" t="s">
        <v>579</v>
      </c>
      <c r="M25" s="4" t="s">
        <v>386</v>
      </c>
    </row>
    <row r="26" ht="18" customHeight="1" spans="1:13">
      <c r="A26" s="4" t="s">
        <v>514</v>
      </c>
      <c r="B26" s="5">
        <v>37</v>
      </c>
      <c r="C26" s="4" t="s">
        <v>172</v>
      </c>
      <c r="D26" s="4" t="s">
        <v>109</v>
      </c>
      <c r="E26" s="4" t="s">
        <v>84</v>
      </c>
      <c r="F26" s="4" t="s">
        <v>110</v>
      </c>
      <c r="G26" s="4" t="s">
        <v>243</v>
      </c>
      <c r="H26" s="4" t="s">
        <v>202</v>
      </c>
      <c r="I26" s="6">
        <v>12000</v>
      </c>
      <c r="J26" s="6">
        <v>12000</v>
      </c>
      <c r="K26" s="6">
        <v>0</v>
      </c>
      <c r="L26" s="4" t="s">
        <v>579</v>
      </c>
      <c r="M26" s="4" t="s">
        <v>249</v>
      </c>
    </row>
    <row r="27" ht="18" customHeight="1" spans="1:13">
      <c r="A27" s="4" t="s">
        <v>514</v>
      </c>
      <c r="B27" s="5">
        <v>38</v>
      </c>
      <c r="C27" s="4" t="s">
        <v>172</v>
      </c>
      <c r="D27" s="4" t="s">
        <v>109</v>
      </c>
      <c r="E27" s="4" t="s">
        <v>96</v>
      </c>
      <c r="F27" s="4" t="s">
        <v>97</v>
      </c>
      <c r="G27" s="4" t="s">
        <v>243</v>
      </c>
      <c r="H27" s="4" t="s">
        <v>250</v>
      </c>
      <c r="I27" s="6">
        <v>3000</v>
      </c>
      <c r="J27" s="6">
        <v>3000</v>
      </c>
      <c r="K27" s="6">
        <v>0</v>
      </c>
      <c r="L27" s="4" t="s">
        <v>579</v>
      </c>
      <c r="M27" s="4" t="s">
        <v>388</v>
      </c>
    </row>
    <row r="28" ht="18" customHeight="1" spans="1:13">
      <c r="A28" s="4" t="s">
        <v>514</v>
      </c>
      <c r="B28" s="5">
        <v>39</v>
      </c>
      <c r="C28" s="4" t="s">
        <v>172</v>
      </c>
      <c r="D28" s="4" t="s">
        <v>109</v>
      </c>
      <c r="E28" s="4" t="s">
        <v>111</v>
      </c>
      <c r="F28" s="4" t="s">
        <v>112</v>
      </c>
      <c r="G28" s="4" t="s">
        <v>243</v>
      </c>
      <c r="H28" s="4" t="s">
        <v>253</v>
      </c>
      <c r="I28" s="6">
        <v>7158</v>
      </c>
      <c r="J28" s="6">
        <v>7158</v>
      </c>
      <c r="K28" s="6">
        <v>0</v>
      </c>
      <c r="L28" s="4" t="s">
        <v>579</v>
      </c>
      <c r="M28" s="4" t="s">
        <v>390</v>
      </c>
    </row>
    <row r="29" ht="36" customHeight="1" spans="1:13">
      <c r="A29" s="4" t="s">
        <v>514</v>
      </c>
      <c r="B29" s="5">
        <v>40</v>
      </c>
      <c r="C29" s="4" t="s">
        <v>172</v>
      </c>
      <c r="D29" s="4" t="s">
        <v>109</v>
      </c>
      <c r="E29" s="4" t="s">
        <v>66</v>
      </c>
      <c r="F29" s="4" t="s">
        <v>67</v>
      </c>
      <c r="G29" s="4" t="s">
        <v>243</v>
      </c>
      <c r="H29" s="4" t="s">
        <v>244</v>
      </c>
      <c r="I29" s="6">
        <v>2400</v>
      </c>
      <c r="J29" s="6">
        <v>2400</v>
      </c>
      <c r="K29" s="6">
        <v>0</v>
      </c>
      <c r="L29" s="4" t="s">
        <v>579</v>
      </c>
      <c r="M29" s="4" t="s">
        <v>246</v>
      </c>
    </row>
    <row r="30" ht="36" customHeight="1" spans="1:13">
      <c r="A30" s="4" t="s">
        <v>514</v>
      </c>
      <c r="B30" s="5">
        <v>43</v>
      </c>
      <c r="C30" s="4" t="s">
        <v>172</v>
      </c>
      <c r="D30" s="4" t="s">
        <v>113</v>
      </c>
      <c r="E30" s="4" t="s">
        <v>66</v>
      </c>
      <c r="F30" s="4" t="s">
        <v>67</v>
      </c>
      <c r="G30" s="4" t="s">
        <v>258</v>
      </c>
      <c r="H30" s="4" t="s">
        <v>244</v>
      </c>
      <c r="I30" s="6">
        <v>2400</v>
      </c>
      <c r="J30" s="6">
        <v>2400</v>
      </c>
      <c r="K30" s="6">
        <v>0</v>
      </c>
      <c r="L30" s="4" t="s">
        <v>579</v>
      </c>
      <c r="M30" s="4" t="s">
        <v>246</v>
      </c>
    </row>
    <row r="31" ht="36" customHeight="1" spans="1:13">
      <c r="A31" s="4" t="s">
        <v>514</v>
      </c>
      <c r="B31" s="5">
        <v>44</v>
      </c>
      <c r="C31" s="4" t="s">
        <v>172</v>
      </c>
      <c r="D31" s="4" t="s">
        <v>113</v>
      </c>
      <c r="E31" s="4" t="s">
        <v>114</v>
      </c>
      <c r="F31" s="4" t="s">
        <v>115</v>
      </c>
      <c r="G31" s="4" t="s">
        <v>258</v>
      </c>
      <c r="H31" s="4" t="s">
        <v>259</v>
      </c>
      <c r="I31" s="6">
        <v>36960</v>
      </c>
      <c r="J31" s="6">
        <v>36960</v>
      </c>
      <c r="K31" s="6">
        <v>0</v>
      </c>
      <c r="L31" s="4" t="s">
        <v>579</v>
      </c>
      <c r="M31" s="4" t="s">
        <v>392</v>
      </c>
    </row>
    <row r="32" ht="36" customHeight="1" spans="1:13">
      <c r="A32" s="4" t="s">
        <v>514</v>
      </c>
      <c r="B32" s="5">
        <v>45</v>
      </c>
      <c r="C32" s="4" t="s">
        <v>172</v>
      </c>
      <c r="D32" s="4" t="s">
        <v>113</v>
      </c>
      <c r="E32" s="4" t="s">
        <v>66</v>
      </c>
      <c r="F32" s="4" t="s">
        <v>67</v>
      </c>
      <c r="G32" s="4" t="s">
        <v>258</v>
      </c>
      <c r="H32" s="4" t="s">
        <v>244</v>
      </c>
      <c r="I32" s="6">
        <v>2400</v>
      </c>
      <c r="J32" s="6">
        <v>2400</v>
      </c>
      <c r="K32" s="6">
        <v>0</v>
      </c>
      <c r="L32" s="4" t="s">
        <v>579</v>
      </c>
      <c r="M32" s="4" t="s">
        <v>246</v>
      </c>
    </row>
    <row r="33" ht="36" customHeight="1" spans="1:13">
      <c r="A33" s="4" t="s">
        <v>514</v>
      </c>
      <c r="B33" s="5">
        <v>48</v>
      </c>
      <c r="C33" s="4" t="s">
        <v>172</v>
      </c>
      <c r="D33" s="4" t="s">
        <v>116</v>
      </c>
      <c r="E33" s="4" t="s">
        <v>66</v>
      </c>
      <c r="F33" s="4" t="s">
        <v>67</v>
      </c>
      <c r="G33" s="4" t="s">
        <v>263</v>
      </c>
      <c r="H33" s="4" t="s">
        <v>244</v>
      </c>
      <c r="I33" s="6">
        <v>2400</v>
      </c>
      <c r="J33" s="6">
        <v>2400</v>
      </c>
      <c r="K33" s="6">
        <v>0</v>
      </c>
      <c r="L33" s="4" t="s">
        <v>579</v>
      </c>
      <c r="M33" s="4" t="s">
        <v>246</v>
      </c>
    </row>
    <row r="34" ht="36" customHeight="1" spans="1:13">
      <c r="A34" s="4" t="s">
        <v>514</v>
      </c>
      <c r="B34" s="5">
        <v>49</v>
      </c>
      <c r="C34" s="4" t="s">
        <v>172</v>
      </c>
      <c r="D34" s="4" t="s">
        <v>116</v>
      </c>
      <c r="E34" s="4" t="s">
        <v>117</v>
      </c>
      <c r="F34" s="4" t="s">
        <v>118</v>
      </c>
      <c r="G34" s="4" t="s">
        <v>263</v>
      </c>
      <c r="H34" s="4" t="s">
        <v>264</v>
      </c>
      <c r="I34" s="6">
        <v>104400</v>
      </c>
      <c r="J34" s="6">
        <v>104400</v>
      </c>
      <c r="K34" s="6">
        <v>0</v>
      </c>
      <c r="L34" s="4" t="s">
        <v>579</v>
      </c>
      <c r="M34" s="4" t="s">
        <v>265</v>
      </c>
    </row>
    <row r="35" ht="36" customHeight="1" spans="1:13">
      <c r="A35" s="4" t="s">
        <v>514</v>
      </c>
      <c r="B35" s="5">
        <v>50</v>
      </c>
      <c r="C35" s="4" t="s">
        <v>172</v>
      </c>
      <c r="D35" s="4" t="s">
        <v>116</v>
      </c>
      <c r="E35" s="4" t="s">
        <v>66</v>
      </c>
      <c r="F35" s="4" t="s">
        <v>67</v>
      </c>
      <c r="G35" s="4" t="s">
        <v>263</v>
      </c>
      <c r="H35" s="4" t="s">
        <v>244</v>
      </c>
      <c r="I35" s="6">
        <v>2400</v>
      </c>
      <c r="J35" s="6">
        <v>2400</v>
      </c>
      <c r="K35" s="6">
        <v>0</v>
      </c>
      <c r="L35" s="4" t="s">
        <v>579</v>
      </c>
      <c r="M35" s="4" t="s">
        <v>246</v>
      </c>
    </row>
    <row r="36" ht="36" customHeight="1" spans="1:13">
      <c r="A36" s="4" t="s">
        <v>514</v>
      </c>
      <c r="B36" s="5">
        <v>53</v>
      </c>
      <c r="C36" s="4" t="s">
        <v>172</v>
      </c>
      <c r="D36" s="4" t="s">
        <v>394</v>
      </c>
      <c r="E36" s="4" t="s">
        <v>66</v>
      </c>
      <c r="F36" s="4" t="s">
        <v>67</v>
      </c>
      <c r="G36" s="4" t="s">
        <v>268</v>
      </c>
      <c r="H36" s="4" t="s">
        <v>244</v>
      </c>
      <c r="I36" s="6">
        <v>2400</v>
      </c>
      <c r="J36" s="6">
        <v>2400</v>
      </c>
      <c r="K36" s="6">
        <v>0</v>
      </c>
      <c r="L36" s="4" t="s">
        <v>579</v>
      </c>
      <c r="M36" s="4" t="s">
        <v>246</v>
      </c>
    </row>
    <row r="37" ht="18" customHeight="1" spans="1:13">
      <c r="A37" s="4" t="s">
        <v>514</v>
      </c>
      <c r="B37" s="5">
        <v>54</v>
      </c>
      <c r="C37" s="4" t="s">
        <v>172</v>
      </c>
      <c r="D37" s="4" t="s">
        <v>394</v>
      </c>
      <c r="E37" s="4" t="s">
        <v>120</v>
      </c>
      <c r="F37" s="4" t="s">
        <v>121</v>
      </c>
      <c r="G37" s="4" t="s">
        <v>268</v>
      </c>
      <c r="H37" s="4" t="s">
        <v>271</v>
      </c>
      <c r="I37" s="6">
        <v>40680</v>
      </c>
      <c r="J37" s="6">
        <v>40680</v>
      </c>
      <c r="K37" s="6">
        <v>0</v>
      </c>
      <c r="L37" s="4" t="s">
        <v>579</v>
      </c>
      <c r="M37" s="4" t="s">
        <v>396</v>
      </c>
    </row>
    <row r="38" ht="36" customHeight="1" spans="1:13">
      <c r="A38" s="4" t="s">
        <v>514</v>
      </c>
      <c r="B38" s="5">
        <v>55</v>
      </c>
      <c r="C38" s="4" t="s">
        <v>172</v>
      </c>
      <c r="D38" s="4" t="s">
        <v>394</v>
      </c>
      <c r="E38" s="4" t="s">
        <v>66</v>
      </c>
      <c r="F38" s="4" t="s">
        <v>67</v>
      </c>
      <c r="G38" s="4" t="s">
        <v>268</v>
      </c>
      <c r="H38" s="4" t="s">
        <v>244</v>
      </c>
      <c r="I38" s="6">
        <v>2400</v>
      </c>
      <c r="J38" s="6">
        <v>2400</v>
      </c>
      <c r="K38" s="6">
        <v>0</v>
      </c>
      <c r="L38" s="4" t="s">
        <v>579</v>
      </c>
      <c r="M38" s="4" t="s">
        <v>246</v>
      </c>
    </row>
    <row r="39" ht="53" customHeight="1" spans="1:13">
      <c r="A39" s="4" t="s">
        <v>514</v>
      </c>
      <c r="B39" s="5">
        <v>56</v>
      </c>
      <c r="C39" s="4" t="s">
        <v>172</v>
      </c>
      <c r="D39" s="4" t="s">
        <v>394</v>
      </c>
      <c r="E39" s="4" t="s">
        <v>123</v>
      </c>
      <c r="F39" s="4" t="s">
        <v>123</v>
      </c>
      <c r="G39" s="4" t="s">
        <v>268</v>
      </c>
      <c r="H39" s="4" t="s">
        <v>333</v>
      </c>
      <c r="I39" s="6">
        <v>21450</v>
      </c>
      <c r="J39" s="6">
        <v>21450</v>
      </c>
      <c r="K39" s="6">
        <v>0</v>
      </c>
      <c r="L39" s="4" t="s">
        <v>579</v>
      </c>
      <c r="M39" s="4" t="s">
        <v>276</v>
      </c>
    </row>
    <row r="40" ht="36" customHeight="1" spans="1:13">
      <c r="A40" s="4" t="s">
        <v>514</v>
      </c>
      <c r="B40" s="5">
        <v>59</v>
      </c>
      <c r="C40" s="4" t="s">
        <v>172</v>
      </c>
      <c r="D40" s="4" t="s">
        <v>399</v>
      </c>
      <c r="E40" s="4" t="s">
        <v>66</v>
      </c>
      <c r="F40" s="4" t="s">
        <v>67</v>
      </c>
      <c r="G40" s="4" t="s">
        <v>280</v>
      </c>
      <c r="H40" s="4" t="s">
        <v>244</v>
      </c>
      <c r="I40" s="6">
        <v>2400</v>
      </c>
      <c r="J40" s="6">
        <v>2400</v>
      </c>
      <c r="K40" s="6">
        <v>0</v>
      </c>
      <c r="L40" s="4" t="s">
        <v>579</v>
      </c>
      <c r="M40" s="4" t="s">
        <v>246</v>
      </c>
    </row>
    <row r="41" ht="36" customHeight="1" spans="1:13">
      <c r="A41" s="4" t="s">
        <v>514</v>
      </c>
      <c r="B41" s="5">
        <v>60</v>
      </c>
      <c r="C41" s="4" t="s">
        <v>172</v>
      </c>
      <c r="D41" s="4" t="s">
        <v>399</v>
      </c>
      <c r="E41" s="4" t="s">
        <v>125</v>
      </c>
      <c r="F41" s="4" t="s">
        <v>126</v>
      </c>
      <c r="G41" s="4" t="s">
        <v>280</v>
      </c>
      <c r="H41" s="4" t="s">
        <v>207</v>
      </c>
      <c r="I41" s="6">
        <v>4100</v>
      </c>
      <c r="J41" s="6">
        <v>4100</v>
      </c>
      <c r="K41" s="6">
        <v>0</v>
      </c>
      <c r="L41" s="4" t="s">
        <v>579</v>
      </c>
      <c r="M41" s="4" t="s">
        <v>401</v>
      </c>
    </row>
    <row r="42" ht="36" customHeight="1" spans="1:13">
      <c r="A42" s="4" t="s">
        <v>514</v>
      </c>
      <c r="B42" s="5">
        <v>61</v>
      </c>
      <c r="C42" s="4" t="s">
        <v>172</v>
      </c>
      <c r="D42" s="4" t="s">
        <v>399</v>
      </c>
      <c r="E42" s="4" t="s">
        <v>66</v>
      </c>
      <c r="F42" s="4" t="s">
        <v>67</v>
      </c>
      <c r="G42" s="4" t="s">
        <v>280</v>
      </c>
      <c r="H42" s="4" t="s">
        <v>244</v>
      </c>
      <c r="I42" s="6">
        <v>2400</v>
      </c>
      <c r="J42" s="6">
        <v>2400</v>
      </c>
      <c r="K42" s="6">
        <v>0</v>
      </c>
      <c r="L42" s="4" t="s">
        <v>579</v>
      </c>
      <c r="M42" s="4" t="s">
        <v>246</v>
      </c>
    </row>
    <row r="43" ht="36" customHeight="1" spans="1:13">
      <c r="A43" s="4" t="s">
        <v>514</v>
      </c>
      <c r="B43" s="5">
        <v>64</v>
      </c>
      <c r="C43" s="4" t="s">
        <v>172</v>
      </c>
      <c r="D43" s="4" t="s">
        <v>127</v>
      </c>
      <c r="E43" s="4" t="s">
        <v>66</v>
      </c>
      <c r="F43" s="4" t="s">
        <v>67</v>
      </c>
      <c r="G43" s="4" t="s">
        <v>283</v>
      </c>
      <c r="H43" s="4" t="s">
        <v>244</v>
      </c>
      <c r="I43" s="6">
        <v>2400</v>
      </c>
      <c r="J43" s="6">
        <v>2400</v>
      </c>
      <c r="K43" s="6">
        <v>0</v>
      </c>
      <c r="L43" s="4" t="s">
        <v>579</v>
      </c>
      <c r="M43" s="4" t="s">
        <v>246</v>
      </c>
    </row>
    <row r="44" ht="36" customHeight="1" spans="1:13">
      <c r="A44" s="4" t="s">
        <v>514</v>
      </c>
      <c r="B44" s="5">
        <v>65</v>
      </c>
      <c r="C44" s="4" t="s">
        <v>172</v>
      </c>
      <c r="D44" s="4" t="s">
        <v>127</v>
      </c>
      <c r="E44" s="4" t="s">
        <v>128</v>
      </c>
      <c r="F44" s="4" t="s">
        <v>129</v>
      </c>
      <c r="G44" s="4" t="s">
        <v>283</v>
      </c>
      <c r="H44" s="4" t="s">
        <v>284</v>
      </c>
      <c r="I44" s="6">
        <v>23000</v>
      </c>
      <c r="J44" s="6">
        <v>23000</v>
      </c>
      <c r="K44" s="6">
        <v>0</v>
      </c>
      <c r="L44" s="4" t="s">
        <v>579</v>
      </c>
      <c r="M44" s="4" t="s">
        <v>403</v>
      </c>
    </row>
    <row r="45" ht="36" customHeight="1" spans="1:13">
      <c r="A45" s="4" t="s">
        <v>514</v>
      </c>
      <c r="B45" s="5">
        <v>66</v>
      </c>
      <c r="C45" s="4" t="s">
        <v>172</v>
      </c>
      <c r="D45" s="4" t="s">
        <v>127</v>
      </c>
      <c r="E45" s="4" t="s">
        <v>66</v>
      </c>
      <c r="F45" s="4" t="s">
        <v>67</v>
      </c>
      <c r="G45" s="4" t="s">
        <v>283</v>
      </c>
      <c r="H45" s="4" t="s">
        <v>244</v>
      </c>
      <c r="I45" s="6">
        <v>2400</v>
      </c>
      <c r="J45" s="6">
        <v>2400</v>
      </c>
      <c r="K45" s="6">
        <v>0</v>
      </c>
      <c r="L45" s="4" t="s">
        <v>579</v>
      </c>
      <c r="M45" s="4" t="s">
        <v>246</v>
      </c>
    </row>
    <row r="46" ht="36" customHeight="1" spans="1:13">
      <c r="A46" s="4" t="s">
        <v>514</v>
      </c>
      <c r="B46" s="5">
        <v>69</v>
      </c>
      <c r="C46" s="4" t="s">
        <v>172</v>
      </c>
      <c r="D46" s="4" t="s">
        <v>130</v>
      </c>
      <c r="E46" s="4" t="s">
        <v>66</v>
      </c>
      <c r="F46" s="4" t="s">
        <v>67</v>
      </c>
      <c r="G46" s="4" t="s">
        <v>288</v>
      </c>
      <c r="H46" s="4" t="s">
        <v>244</v>
      </c>
      <c r="I46" s="6">
        <v>2400</v>
      </c>
      <c r="J46" s="6">
        <v>2400</v>
      </c>
      <c r="K46" s="6">
        <v>0</v>
      </c>
      <c r="L46" s="4" t="s">
        <v>579</v>
      </c>
      <c r="M46" s="4" t="s">
        <v>246</v>
      </c>
    </row>
    <row r="47" ht="36" customHeight="1" spans="1:13">
      <c r="A47" s="4" t="s">
        <v>514</v>
      </c>
      <c r="B47" s="5">
        <v>70</v>
      </c>
      <c r="C47" s="4" t="s">
        <v>172</v>
      </c>
      <c r="D47" s="4" t="s">
        <v>130</v>
      </c>
      <c r="E47" s="4" t="s">
        <v>131</v>
      </c>
      <c r="F47" s="4" t="s">
        <v>132</v>
      </c>
      <c r="G47" s="4" t="s">
        <v>288</v>
      </c>
      <c r="H47" s="4" t="s">
        <v>284</v>
      </c>
      <c r="I47" s="6">
        <v>23000</v>
      </c>
      <c r="J47" s="6">
        <v>23000</v>
      </c>
      <c r="K47" s="6">
        <v>0</v>
      </c>
      <c r="L47" s="4" t="s">
        <v>579</v>
      </c>
      <c r="M47" s="4" t="s">
        <v>403</v>
      </c>
    </row>
    <row r="48" ht="36" customHeight="1" spans="1:13">
      <c r="A48" s="4" t="s">
        <v>514</v>
      </c>
      <c r="B48" s="5">
        <v>71</v>
      </c>
      <c r="C48" s="4" t="s">
        <v>172</v>
      </c>
      <c r="D48" s="4" t="s">
        <v>130</v>
      </c>
      <c r="E48" s="4" t="s">
        <v>66</v>
      </c>
      <c r="F48" s="4" t="s">
        <v>67</v>
      </c>
      <c r="G48" s="4" t="s">
        <v>288</v>
      </c>
      <c r="H48" s="4" t="s">
        <v>244</v>
      </c>
      <c r="I48" s="6">
        <v>2400</v>
      </c>
      <c r="J48" s="6">
        <v>2400</v>
      </c>
      <c r="K48" s="6">
        <v>0</v>
      </c>
      <c r="L48" s="4" t="s">
        <v>579</v>
      </c>
      <c r="M48" s="4" t="s">
        <v>246</v>
      </c>
    </row>
    <row r="49" ht="36" customHeight="1" spans="1:13">
      <c r="A49" s="4" t="s">
        <v>514</v>
      </c>
      <c r="B49" s="5">
        <v>74</v>
      </c>
      <c r="C49" s="4" t="s">
        <v>172</v>
      </c>
      <c r="D49" s="4" t="s">
        <v>133</v>
      </c>
      <c r="E49" s="4" t="s">
        <v>66</v>
      </c>
      <c r="F49" s="4" t="s">
        <v>67</v>
      </c>
      <c r="G49" s="4" t="s">
        <v>291</v>
      </c>
      <c r="H49" s="4" t="s">
        <v>244</v>
      </c>
      <c r="I49" s="6">
        <v>2400</v>
      </c>
      <c r="J49" s="6">
        <v>2400</v>
      </c>
      <c r="K49" s="6">
        <v>0</v>
      </c>
      <c r="L49" s="4" t="s">
        <v>579</v>
      </c>
      <c r="M49" s="4" t="s">
        <v>246</v>
      </c>
    </row>
    <row r="50" ht="36" customHeight="1" spans="1:13">
      <c r="A50" s="4" t="s">
        <v>514</v>
      </c>
      <c r="B50" s="5">
        <v>75</v>
      </c>
      <c r="C50" s="4" t="s">
        <v>172</v>
      </c>
      <c r="D50" s="4" t="s">
        <v>133</v>
      </c>
      <c r="E50" s="4" t="s">
        <v>131</v>
      </c>
      <c r="F50" s="4" t="s">
        <v>134</v>
      </c>
      <c r="G50" s="4" t="s">
        <v>291</v>
      </c>
      <c r="H50" s="4" t="s">
        <v>292</v>
      </c>
      <c r="I50" s="6">
        <v>25300</v>
      </c>
      <c r="J50" s="6">
        <v>25300</v>
      </c>
      <c r="K50" s="6">
        <v>0</v>
      </c>
      <c r="L50" s="4" t="s">
        <v>579</v>
      </c>
      <c r="M50" s="4" t="s">
        <v>404</v>
      </c>
    </row>
    <row r="51" ht="36" customHeight="1" spans="1:13">
      <c r="A51" s="4" t="s">
        <v>514</v>
      </c>
      <c r="B51" s="5">
        <v>76</v>
      </c>
      <c r="C51" s="4" t="s">
        <v>172</v>
      </c>
      <c r="D51" s="4" t="s">
        <v>133</v>
      </c>
      <c r="E51" s="4" t="s">
        <v>66</v>
      </c>
      <c r="F51" s="4" t="s">
        <v>67</v>
      </c>
      <c r="G51" s="4" t="s">
        <v>291</v>
      </c>
      <c r="H51" s="4" t="s">
        <v>244</v>
      </c>
      <c r="I51" s="6">
        <v>2400</v>
      </c>
      <c r="J51" s="6">
        <v>2400</v>
      </c>
      <c r="K51" s="6">
        <v>0</v>
      </c>
      <c r="L51" s="4" t="s">
        <v>579</v>
      </c>
      <c r="M51" s="4" t="s">
        <v>246</v>
      </c>
    </row>
    <row r="52" ht="36" customHeight="1" spans="1:13">
      <c r="A52" s="4" t="s">
        <v>514</v>
      </c>
      <c r="B52" s="5">
        <v>79</v>
      </c>
      <c r="C52" s="4" t="s">
        <v>172</v>
      </c>
      <c r="D52" s="4" t="s">
        <v>405</v>
      </c>
      <c r="E52" s="4" t="s">
        <v>66</v>
      </c>
      <c r="F52" s="4" t="s">
        <v>67</v>
      </c>
      <c r="G52" s="4" t="s">
        <v>296</v>
      </c>
      <c r="H52" s="4" t="s">
        <v>244</v>
      </c>
      <c r="I52" s="6">
        <v>2400</v>
      </c>
      <c r="J52" s="6">
        <v>2400</v>
      </c>
      <c r="K52" s="6">
        <v>0</v>
      </c>
      <c r="L52" s="4" t="s">
        <v>579</v>
      </c>
      <c r="M52" s="4" t="s">
        <v>246</v>
      </c>
    </row>
    <row r="53" ht="18" customHeight="1" spans="1:13">
      <c r="A53" s="4" t="s">
        <v>514</v>
      </c>
      <c r="B53" s="5">
        <v>80</v>
      </c>
      <c r="C53" s="4" t="s">
        <v>172</v>
      </c>
      <c r="D53" s="4" t="s">
        <v>405</v>
      </c>
      <c r="E53" s="4" t="s">
        <v>137</v>
      </c>
      <c r="F53" s="4" t="s">
        <v>297</v>
      </c>
      <c r="G53" s="4" t="s">
        <v>296</v>
      </c>
      <c r="H53" s="4" t="s">
        <v>198</v>
      </c>
      <c r="I53" s="6">
        <v>6600</v>
      </c>
      <c r="J53" s="6">
        <v>6600</v>
      </c>
      <c r="K53" s="6">
        <v>0</v>
      </c>
      <c r="L53" s="4" t="s">
        <v>579</v>
      </c>
      <c r="M53" s="4" t="s">
        <v>298</v>
      </c>
    </row>
    <row r="54" ht="36" customHeight="1" spans="1:13">
      <c r="A54" s="4" t="s">
        <v>514</v>
      </c>
      <c r="B54" s="5">
        <v>81</v>
      </c>
      <c r="C54" s="4" t="s">
        <v>172</v>
      </c>
      <c r="D54" s="4" t="s">
        <v>405</v>
      </c>
      <c r="E54" s="4" t="s">
        <v>66</v>
      </c>
      <c r="F54" s="4" t="s">
        <v>67</v>
      </c>
      <c r="G54" s="4" t="s">
        <v>296</v>
      </c>
      <c r="H54" s="4" t="s">
        <v>244</v>
      </c>
      <c r="I54" s="6">
        <v>2400</v>
      </c>
      <c r="J54" s="6">
        <v>2400</v>
      </c>
      <c r="K54" s="6">
        <v>0</v>
      </c>
      <c r="L54" s="4" t="s">
        <v>579</v>
      </c>
      <c r="M54" s="4" t="s">
        <v>246</v>
      </c>
    </row>
    <row r="55" ht="36" customHeight="1" spans="1:13">
      <c r="A55" s="4" t="s">
        <v>514</v>
      </c>
      <c r="B55" s="5">
        <v>87</v>
      </c>
      <c r="C55" s="4" t="s">
        <v>175</v>
      </c>
      <c r="D55" s="4" t="s">
        <v>48</v>
      </c>
      <c r="E55" s="4" t="s">
        <v>66</v>
      </c>
      <c r="F55" s="4" t="s">
        <v>67</v>
      </c>
      <c r="G55" s="4" t="s">
        <v>189</v>
      </c>
      <c r="H55" s="4" t="s">
        <v>190</v>
      </c>
      <c r="I55" s="6">
        <v>5600</v>
      </c>
      <c r="J55" s="6">
        <v>5600</v>
      </c>
      <c r="K55" s="6">
        <v>0</v>
      </c>
      <c r="L55" s="4" t="s">
        <v>579</v>
      </c>
      <c r="M55" s="4" t="s">
        <v>196</v>
      </c>
    </row>
    <row r="56" ht="18" customHeight="1" spans="1:13">
      <c r="A56" s="4" t="s">
        <v>514</v>
      </c>
      <c r="B56" s="5">
        <v>88</v>
      </c>
      <c r="C56" s="4" t="s">
        <v>175</v>
      </c>
      <c r="D56" s="4" t="s">
        <v>48</v>
      </c>
      <c r="E56" s="4" t="s">
        <v>68</v>
      </c>
      <c r="F56" s="4" t="s">
        <v>69</v>
      </c>
      <c r="G56" s="4" t="s">
        <v>197</v>
      </c>
      <c r="H56" s="5"/>
      <c r="I56" s="6">
        <v>13000</v>
      </c>
      <c r="J56" s="6">
        <v>13000</v>
      </c>
      <c r="K56" s="6">
        <v>0</v>
      </c>
      <c r="L56" s="4" t="s">
        <v>579</v>
      </c>
      <c r="M56" s="4" t="s">
        <v>362</v>
      </c>
    </row>
    <row r="57" ht="18" customHeight="1" spans="1:13">
      <c r="A57" s="4" t="s">
        <v>514</v>
      </c>
      <c r="B57" s="5">
        <v>89</v>
      </c>
      <c r="C57" s="4" t="s">
        <v>175</v>
      </c>
      <c r="D57" s="4" t="s">
        <v>48</v>
      </c>
      <c r="E57" s="4" t="s">
        <v>70</v>
      </c>
      <c r="F57" s="4" t="s">
        <v>71</v>
      </c>
      <c r="G57" s="4" t="s">
        <v>197</v>
      </c>
      <c r="H57" s="4" t="s">
        <v>202</v>
      </c>
      <c r="I57" s="6">
        <v>720</v>
      </c>
      <c r="J57" s="6">
        <v>720</v>
      </c>
      <c r="K57" s="6">
        <v>0</v>
      </c>
      <c r="L57" s="4" t="s">
        <v>579</v>
      </c>
      <c r="M57" s="4" t="s">
        <v>365</v>
      </c>
    </row>
    <row r="58" ht="18" customHeight="1" spans="1:13">
      <c r="A58" s="4" t="s">
        <v>514</v>
      </c>
      <c r="B58" s="5">
        <v>90</v>
      </c>
      <c r="C58" s="4" t="s">
        <v>175</v>
      </c>
      <c r="D58" s="4" t="s">
        <v>48</v>
      </c>
      <c r="E58" s="4" t="s">
        <v>72</v>
      </c>
      <c r="F58" s="4" t="s">
        <v>73</v>
      </c>
      <c r="G58" s="4" t="s">
        <v>197</v>
      </c>
      <c r="H58" s="4" t="s">
        <v>202</v>
      </c>
      <c r="I58" s="6">
        <v>720</v>
      </c>
      <c r="J58" s="6">
        <v>720</v>
      </c>
      <c r="K58" s="6">
        <v>0</v>
      </c>
      <c r="L58" s="4" t="s">
        <v>579</v>
      </c>
      <c r="M58" s="4" t="s">
        <v>365</v>
      </c>
    </row>
    <row r="59" ht="18" customHeight="1" spans="1:13">
      <c r="A59" s="4" t="s">
        <v>514</v>
      </c>
      <c r="B59" s="5">
        <v>91</v>
      </c>
      <c r="C59" s="4" t="s">
        <v>175</v>
      </c>
      <c r="D59" s="4" t="s">
        <v>48</v>
      </c>
      <c r="E59" s="4" t="s">
        <v>74</v>
      </c>
      <c r="F59" s="4" t="s">
        <v>75</v>
      </c>
      <c r="G59" s="4" t="s">
        <v>197</v>
      </c>
      <c r="H59" s="4" t="s">
        <v>202</v>
      </c>
      <c r="I59" s="6">
        <v>720</v>
      </c>
      <c r="J59" s="6">
        <v>720</v>
      </c>
      <c r="K59" s="6">
        <v>0</v>
      </c>
      <c r="L59" s="4" t="s">
        <v>579</v>
      </c>
      <c r="M59" s="4" t="s">
        <v>365</v>
      </c>
    </row>
    <row r="60" ht="18" customHeight="1" spans="1:13">
      <c r="A60" s="4" t="s">
        <v>514</v>
      </c>
      <c r="B60" s="5">
        <v>92</v>
      </c>
      <c r="C60" s="4" t="s">
        <v>175</v>
      </c>
      <c r="D60" s="4" t="s">
        <v>48</v>
      </c>
      <c r="E60" s="4" t="s">
        <v>76</v>
      </c>
      <c r="F60" s="4" t="s">
        <v>77</v>
      </c>
      <c r="G60" s="4" t="s">
        <v>197</v>
      </c>
      <c r="H60" s="4" t="s">
        <v>205</v>
      </c>
      <c r="I60" s="6">
        <v>2880</v>
      </c>
      <c r="J60" s="6">
        <v>2880</v>
      </c>
      <c r="K60" s="6">
        <v>0</v>
      </c>
      <c r="L60" s="4" t="s">
        <v>579</v>
      </c>
      <c r="M60" s="4" t="s">
        <v>366</v>
      </c>
    </row>
    <row r="61" ht="18" customHeight="1" spans="1:13">
      <c r="A61" s="4" t="s">
        <v>514</v>
      </c>
      <c r="B61" s="5">
        <v>93</v>
      </c>
      <c r="C61" s="4" t="s">
        <v>175</v>
      </c>
      <c r="D61" s="4" t="s">
        <v>48</v>
      </c>
      <c r="E61" s="4" t="s">
        <v>78</v>
      </c>
      <c r="F61" s="4" t="s">
        <v>79</v>
      </c>
      <c r="G61" s="4" t="s">
        <v>197</v>
      </c>
      <c r="H61" s="4" t="s">
        <v>207</v>
      </c>
      <c r="I61" s="6">
        <v>3360</v>
      </c>
      <c r="J61" s="6">
        <v>3360</v>
      </c>
      <c r="K61" s="6">
        <v>0</v>
      </c>
      <c r="L61" s="4" t="s">
        <v>579</v>
      </c>
      <c r="M61" s="4" t="s">
        <v>368</v>
      </c>
    </row>
    <row r="62" ht="18" customHeight="1" spans="1:13">
      <c r="A62" s="4" t="s">
        <v>514</v>
      </c>
      <c r="B62" s="5">
        <v>94</v>
      </c>
      <c r="C62" s="4" t="s">
        <v>175</v>
      </c>
      <c r="D62" s="4" t="s">
        <v>48</v>
      </c>
      <c r="E62" s="4" t="s">
        <v>80</v>
      </c>
      <c r="F62" s="4" t="s">
        <v>81</v>
      </c>
      <c r="G62" s="4" t="s">
        <v>197</v>
      </c>
      <c r="H62" s="4" t="s">
        <v>210</v>
      </c>
      <c r="I62" s="6">
        <v>7200</v>
      </c>
      <c r="J62" s="6">
        <v>7200</v>
      </c>
      <c r="K62" s="6">
        <v>0</v>
      </c>
      <c r="L62" s="4" t="s">
        <v>579</v>
      </c>
      <c r="M62" s="4" t="s">
        <v>369</v>
      </c>
    </row>
    <row r="63" ht="18" customHeight="1" spans="1:13">
      <c r="A63" s="4" t="s">
        <v>514</v>
      </c>
      <c r="B63" s="5">
        <v>95</v>
      </c>
      <c r="C63" s="4" t="s">
        <v>175</v>
      </c>
      <c r="D63" s="4" t="s">
        <v>48</v>
      </c>
      <c r="E63" s="4" t="s">
        <v>82</v>
      </c>
      <c r="F63" s="4" t="s">
        <v>83</v>
      </c>
      <c r="G63" s="4" t="s">
        <v>197</v>
      </c>
      <c r="H63" s="4" t="s">
        <v>212</v>
      </c>
      <c r="I63" s="6">
        <v>10500</v>
      </c>
      <c r="J63" s="6">
        <v>10500</v>
      </c>
      <c r="K63" s="6">
        <v>0</v>
      </c>
      <c r="L63" s="4" t="s">
        <v>579</v>
      </c>
      <c r="M63" s="4" t="s">
        <v>213</v>
      </c>
    </row>
    <row r="64" ht="18" customHeight="1" spans="1:13">
      <c r="A64" s="4" t="s">
        <v>514</v>
      </c>
      <c r="B64" s="5">
        <v>96</v>
      </c>
      <c r="C64" s="4" t="s">
        <v>175</v>
      </c>
      <c r="D64" s="4" t="s">
        <v>48</v>
      </c>
      <c r="E64" s="4" t="s">
        <v>84</v>
      </c>
      <c r="F64" s="4" t="s">
        <v>85</v>
      </c>
      <c r="G64" s="4" t="s">
        <v>197</v>
      </c>
      <c r="H64" s="4" t="s">
        <v>208</v>
      </c>
      <c r="I64" s="6">
        <v>24000</v>
      </c>
      <c r="J64" s="6">
        <v>24000</v>
      </c>
      <c r="K64" s="6">
        <v>0</v>
      </c>
      <c r="L64" s="4" t="s">
        <v>579</v>
      </c>
      <c r="M64" s="4" t="s">
        <v>215</v>
      </c>
    </row>
    <row r="65" ht="36" customHeight="1" spans="1:13">
      <c r="A65" s="4" t="s">
        <v>514</v>
      </c>
      <c r="B65" s="5">
        <v>97</v>
      </c>
      <c r="C65" s="4" t="s">
        <v>175</v>
      </c>
      <c r="D65" s="4" t="s">
        <v>48</v>
      </c>
      <c r="E65" s="4" t="s">
        <v>86</v>
      </c>
      <c r="F65" s="4" t="s">
        <v>87</v>
      </c>
      <c r="G65" s="4" t="s">
        <v>189</v>
      </c>
      <c r="H65" s="4" t="s">
        <v>190</v>
      </c>
      <c r="I65" s="6">
        <v>4200</v>
      </c>
      <c r="J65" s="6">
        <v>4200</v>
      </c>
      <c r="K65" s="6">
        <v>0</v>
      </c>
      <c r="L65" s="4" t="s">
        <v>579</v>
      </c>
      <c r="M65" s="4" t="s">
        <v>216</v>
      </c>
    </row>
    <row r="66" ht="18" customHeight="1" spans="1:13">
      <c r="A66" s="4" t="s">
        <v>514</v>
      </c>
      <c r="B66" s="5">
        <v>98</v>
      </c>
      <c r="C66" s="4" t="s">
        <v>175</v>
      </c>
      <c r="D66" s="4" t="s">
        <v>48</v>
      </c>
      <c r="E66" s="4" t="s">
        <v>88</v>
      </c>
      <c r="F66" s="4" t="s">
        <v>89</v>
      </c>
      <c r="G66" s="4" t="s">
        <v>197</v>
      </c>
      <c r="H66" s="4" t="s">
        <v>217</v>
      </c>
      <c r="I66" s="6">
        <v>3996</v>
      </c>
      <c r="J66" s="6">
        <v>3996</v>
      </c>
      <c r="K66" s="6">
        <v>0</v>
      </c>
      <c r="L66" s="4" t="s">
        <v>579</v>
      </c>
      <c r="M66" s="4" t="s">
        <v>374</v>
      </c>
    </row>
    <row r="67" ht="18" customHeight="1" spans="1:13">
      <c r="A67" s="4" t="s">
        <v>514</v>
      </c>
      <c r="B67" s="5">
        <v>99</v>
      </c>
      <c r="C67" s="4" t="s">
        <v>175</v>
      </c>
      <c r="D67" s="4" t="s">
        <v>48</v>
      </c>
      <c r="E67" s="4" t="s">
        <v>90</v>
      </c>
      <c r="F67" s="4" t="s">
        <v>91</v>
      </c>
      <c r="G67" s="4" t="s">
        <v>197</v>
      </c>
      <c r="H67" s="4" t="s">
        <v>217</v>
      </c>
      <c r="I67" s="6">
        <v>144000</v>
      </c>
      <c r="J67" s="6">
        <v>144000</v>
      </c>
      <c r="K67" s="6">
        <v>0</v>
      </c>
      <c r="L67" s="4" t="s">
        <v>579</v>
      </c>
      <c r="M67" s="4" t="s">
        <v>376</v>
      </c>
    </row>
    <row r="68" ht="18" customHeight="1" spans="1:13">
      <c r="A68" s="4" t="s">
        <v>514</v>
      </c>
      <c r="B68" s="5">
        <v>100</v>
      </c>
      <c r="C68" s="4" t="s">
        <v>175</v>
      </c>
      <c r="D68" s="4" t="s">
        <v>48</v>
      </c>
      <c r="E68" s="4" t="s">
        <v>92</v>
      </c>
      <c r="F68" s="4" t="s">
        <v>93</v>
      </c>
      <c r="G68" s="4" t="s">
        <v>197</v>
      </c>
      <c r="H68" s="4" t="s">
        <v>222</v>
      </c>
      <c r="I68" s="6">
        <v>7920</v>
      </c>
      <c r="J68" s="6">
        <v>7920</v>
      </c>
      <c r="K68" s="6">
        <v>0</v>
      </c>
      <c r="L68" s="4" t="s">
        <v>579</v>
      </c>
      <c r="M68" s="4" t="s">
        <v>377</v>
      </c>
    </row>
    <row r="69" ht="18" customHeight="1" spans="1:13">
      <c r="A69" s="4" t="s">
        <v>514</v>
      </c>
      <c r="B69" s="5">
        <v>101</v>
      </c>
      <c r="C69" s="4" t="s">
        <v>175</v>
      </c>
      <c r="D69" s="4" t="s">
        <v>48</v>
      </c>
      <c r="E69" s="4" t="s">
        <v>94</v>
      </c>
      <c r="F69" s="4" t="s">
        <v>95</v>
      </c>
      <c r="G69" s="4" t="s">
        <v>197</v>
      </c>
      <c r="H69" s="4" t="s">
        <v>217</v>
      </c>
      <c r="I69" s="6">
        <v>6000</v>
      </c>
      <c r="J69" s="6">
        <v>6000</v>
      </c>
      <c r="K69" s="6">
        <v>0</v>
      </c>
      <c r="L69" s="4" t="s">
        <v>579</v>
      </c>
      <c r="M69" s="4" t="s">
        <v>225</v>
      </c>
    </row>
    <row r="70" ht="18" customHeight="1" spans="1:13">
      <c r="A70" s="4" t="s">
        <v>514</v>
      </c>
      <c r="B70" s="5">
        <v>102</v>
      </c>
      <c r="C70" s="4" t="s">
        <v>175</v>
      </c>
      <c r="D70" s="4" t="s">
        <v>48</v>
      </c>
      <c r="E70" s="4" t="s">
        <v>96</v>
      </c>
      <c r="F70" s="4" t="s">
        <v>97</v>
      </c>
      <c r="G70" s="4" t="s">
        <v>197</v>
      </c>
      <c r="H70" s="4" t="s">
        <v>227</v>
      </c>
      <c r="I70" s="6">
        <v>6000</v>
      </c>
      <c r="J70" s="6">
        <v>6000</v>
      </c>
      <c r="K70" s="6">
        <v>0</v>
      </c>
      <c r="L70" s="4" t="s">
        <v>579</v>
      </c>
      <c r="M70" s="4" t="s">
        <v>380</v>
      </c>
    </row>
    <row r="71" ht="36" customHeight="1" spans="1:13">
      <c r="A71" s="4" t="s">
        <v>514</v>
      </c>
      <c r="B71" s="5">
        <v>103</v>
      </c>
      <c r="C71" s="4" t="s">
        <v>175</v>
      </c>
      <c r="D71" s="4" t="s">
        <v>48</v>
      </c>
      <c r="E71" s="4" t="s">
        <v>66</v>
      </c>
      <c r="F71" s="4" t="s">
        <v>67</v>
      </c>
      <c r="G71" s="4" t="s">
        <v>189</v>
      </c>
      <c r="H71" s="4" t="s">
        <v>190</v>
      </c>
      <c r="I71" s="6">
        <v>5600</v>
      </c>
      <c r="J71" s="6">
        <v>5600</v>
      </c>
      <c r="K71" s="6">
        <v>0</v>
      </c>
      <c r="L71" s="4" t="s">
        <v>579</v>
      </c>
      <c r="M71" s="4" t="s">
        <v>196</v>
      </c>
    </row>
    <row r="72" ht="36" customHeight="1" spans="1:13">
      <c r="A72" s="4" t="s">
        <v>514</v>
      </c>
      <c r="B72" s="5">
        <v>106</v>
      </c>
      <c r="C72" s="4" t="s">
        <v>175</v>
      </c>
      <c r="D72" s="4" t="s">
        <v>102</v>
      </c>
      <c r="E72" s="4" t="s">
        <v>66</v>
      </c>
      <c r="F72" s="4" t="s">
        <v>67</v>
      </c>
      <c r="G72" s="4" t="s">
        <v>234</v>
      </c>
      <c r="H72" s="4" t="s">
        <v>217</v>
      </c>
      <c r="I72" s="6">
        <v>4800</v>
      </c>
      <c r="J72" s="6">
        <v>4800</v>
      </c>
      <c r="K72" s="6">
        <v>0</v>
      </c>
      <c r="L72" s="4" t="s">
        <v>579</v>
      </c>
      <c r="M72" s="4" t="s">
        <v>236</v>
      </c>
    </row>
    <row r="73" ht="18" customHeight="1" spans="1:13">
      <c r="A73" s="4" t="s">
        <v>514</v>
      </c>
      <c r="B73" s="5">
        <v>107</v>
      </c>
      <c r="C73" s="4" t="s">
        <v>175</v>
      </c>
      <c r="D73" s="4" t="s">
        <v>102</v>
      </c>
      <c r="E73" s="4" t="s">
        <v>103</v>
      </c>
      <c r="F73" s="4" t="s">
        <v>104</v>
      </c>
      <c r="G73" s="4" t="s">
        <v>234</v>
      </c>
      <c r="H73" s="4" t="s">
        <v>195</v>
      </c>
      <c r="I73" s="6">
        <v>11190</v>
      </c>
      <c r="J73" s="6">
        <v>11190</v>
      </c>
      <c r="K73" s="6">
        <v>0</v>
      </c>
      <c r="L73" s="4" t="s">
        <v>579</v>
      </c>
      <c r="M73" s="4" t="s">
        <v>382</v>
      </c>
    </row>
    <row r="74" ht="36" customHeight="1" spans="1:13">
      <c r="A74" s="4" t="s">
        <v>514</v>
      </c>
      <c r="B74" s="5">
        <v>108</v>
      </c>
      <c r="C74" s="4" t="s">
        <v>175</v>
      </c>
      <c r="D74" s="4" t="s">
        <v>102</v>
      </c>
      <c r="E74" s="4" t="s">
        <v>106</v>
      </c>
      <c r="F74" s="4" t="s">
        <v>107</v>
      </c>
      <c r="G74" s="4" t="s">
        <v>234</v>
      </c>
      <c r="H74" s="4" t="s">
        <v>217</v>
      </c>
      <c r="I74" s="6">
        <v>19000</v>
      </c>
      <c r="J74" s="6">
        <v>19000</v>
      </c>
      <c r="K74" s="6">
        <v>0</v>
      </c>
      <c r="L74" s="4" t="s">
        <v>579</v>
      </c>
      <c r="M74" s="4" t="s">
        <v>384</v>
      </c>
    </row>
    <row r="75" ht="36" customHeight="1" spans="1:13">
      <c r="A75" s="4" t="s">
        <v>514</v>
      </c>
      <c r="B75" s="5">
        <v>109</v>
      </c>
      <c r="C75" s="4" t="s">
        <v>175</v>
      </c>
      <c r="D75" s="4" t="s">
        <v>102</v>
      </c>
      <c r="E75" s="4" t="s">
        <v>66</v>
      </c>
      <c r="F75" s="4" t="s">
        <v>67</v>
      </c>
      <c r="G75" s="4" t="s">
        <v>234</v>
      </c>
      <c r="H75" s="4" t="s">
        <v>217</v>
      </c>
      <c r="I75" s="6">
        <v>4800</v>
      </c>
      <c r="J75" s="6">
        <v>4800</v>
      </c>
      <c r="K75" s="6">
        <v>0</v>
      </c>
      <c r="L75" s="4" t="s">
        <v>579</v>
      </c>
      <c r="M75" s="4" t="s">
        <v>236</v>
      </c>
    </row>
    <row r="76" ht="36" customHeight="1" spans="1:13">
      <c r="A76" s="4" t="s">
        <v>514</v>
      </c>
      <c r="B76" s="5">
        <v>112</v>
      </c>
      <c r="C76" s="4" t="s">
        <v>175</v>
      </c>
      <c r="D76" s="4" t="s">
        <v>109</v>
      </c>
      <c r="E76" s="4" t="s">
        <v>66</v>
      </c>
      <c r="F76" s="4" t="s">
        <v>67</v>
      </c>
      <c r="G76" s="4" t="s">
        <v>243</v>
      </c>
      <c r="H76" s="4" t="s">
        <v>244</v>
      </c>
      <c r="I76" s="6">
        <v>2400</v>
      </c>
      <c r="J76" s="6">
        <v>2400</v>
      </c>
      <c r="K76" s="6">
        <v>0</v>
      </c>
      <c r="L76" s="4" t="s">
        <v>579</v>
      </c>
      <c r="M76" s="4" t="s">
        <v>246</v>
      </c>
    </row>
    <row r="77" ht="18" customHeight="1" spans="1:13">
      <c r="A77" s="4" t="s">
        <v>514</v>
      </c>
      <c r="B77" s="5">
        <v>113</v>
      </c>
      <c r="C77" s="4" t="s">
        <v>175</v>
      </c>
      <c r="D77" s="4" t="s">
        <v>109</v>
      </c>
      <c r="E77" s="4" t="s">
        <v>82</v>
      </c>
      <c r="F77" s="4" t="s">
        <v>83</v>
      </c>
      <c r="G77" s="4" t="s">
        <v>243</v>
      </c>
      <c r="H77" s="4" t="s">
        <v>212</v>
      </c>
      <c r="I77" s="6">
        <v>10500</v>
      </c>
      <c r="J77" s="6">
        <v>10500</v>
      </c>
      <c r="K77" s="6">
        <v>0</v>
      </c>
      <c r="L77" s="4" t="s">
        <v>579</v>
      </c>
      <c r="M77" s="4" t="s">
        <v>213</v>
      </c>
    </row>
    <row r="78" ht="36" customHeight="1" spans="1:13">
      <c r="A78" s="4" t="s">
        <v>514</v>
      </c>
      <c r="B78" s="5">
        <v>114</v>
      </c>
      <c r="C78" s="4" t="s">
        <v>175</v>
      </c>
      <c r="D78" s="4" t="s">
        <v>109</v>
      </c>
      <c r="E78" s="4" t="s">
        <v>68</v>
      </c>
      <c r="F78" s="4" t="s">
        <v>69</v>
      </c>
      <c r="G78" s="4" t="s">
        <v>243</v>
      </c>
      <c r="H78" s="5"/>
      <c r="I78" s="6">
        <v>2500</v>
      </c>
      <c r="J78" s="6">
        <v>2500</v>
      </c>
      <c r="K78" s="6">
        <v>0</v>
      </c>
      <c r="L78" s="4" t="s">
        <v>579</v>
      </c>
      <c r="M78" s="4" t="s">
        <v>386</v>
      </c>
    </row>
    <row r="79" ht="18" customHeight="1" spans="1:13">
      <c r="A79" s="4" t="s">
        <v>514</v>
      </c>
      <c r="B79" s="5">
        <v>115</v>
      </c>
      <c r="C79" s="4" t="s">
        <v>175</v>
      </c>
      <c r="D79" s="4" t="s">
        <v>109</v>
      </c>
      <c r="E79" s="4" t="s">
        <v>84</v>
      </c>
      <c r="F79" s="4" t="s">
        <v>110</v>
      </c>
      <c r="G79" s="4" t="s">
        <v>243</v>
      </c>
      <c r="H79" s="4" t="s">
        <v>202</v>
      </c>
      <c r="I79" s="6">
        <v>12000</v>
      </c>
      <c r="J79" s="6">
        <v>12000</v>
      </c>
      <c r="K79" s="6">
        <v>0</v>
      </c>
      <c r="L79" s="4" t="s">
        <v>579</v>
      </c>
      <c r="M79" s="4" t="s">
        <v>249</v>
      </c>
    </row>
    <row r="80" ht="18" customHeight="1" spans="1:13">
      <c r="A80" s="4" t="s">
        <v>514</v>
      </c>
      <c r="B80" s="5">
        <v>116</v>
      </c>
      <c r="C80" s="4" t="s">
        <v>175</v>
      </c>
      <c r="D80" s="4" t="s">
        <v>109</v>
      </c>
      <c r="E80" s="4" t="s">
        <v>96</v>
      </c>
      <c r="F80" s="4" t="s">
        <v>97</v>
      </c>
      <c r="G80" s="4" t="s">
        <v>243</v>
      </c>
      <c r="H80" s="4" t="s">
        <v>250</v>
      </c>
      <c r="I80" s="6">
        <v>3000</v>
      </c>
      <c r="J80" s="6">
        <v>3000</v>
      </c>
      <c r="K80" s="6">
        <v>0</v>
      </c>
      <c r="L80" s="4" t="s">
        <v>579</v>
      </c>
      <c r="M80" s="4" t="s">
        <v>388</v>
      </c>
    </row>
    <row r="81" ht="18" customHeight="1" spans="1:13">
      <c r="A81" s="4" t="s">
        <v>514</v>
      </c>
      <c r="B81" s="5">
        <v>117</v>
      </c>
      <c r="C81" s="4" t="s">
        <v>175</v>
      </c>
      <c r="D81" s="4" t="s">
        <v>109</v>
      </c>
      <c r="E81" s="4" t="s">
        <v>111</v>
      </c>
      <c r="F81" s="4" t="s">
        <v>112</v>
      </c>
      <c r="G81" s="4" t="s">
        <v>243</v>
      </c>
      <c r="H81" s="4" t="s">
        <v>253</v>
      </c>
      <c r="I81" s="6">
        <v>7158</v>
      </c>
      <c r="J81" s="6">
        <v>7158</v>
      </c>
      <c r="K81" s="6">
        <v>0</v>
      </c>
      <c r="L81" s="4" t="s">
        <v>579</v>
      </c>
      <c r="M81" s="4" t="s">
        <v>390</v>
      </c>
    </row>
    <row r="82" ht="36" customHeight="1" spans="1:13">
      <c r="A82" s="4" t="s">
        <v>514</v>
      </c>
      <c r="B82" s="5">
        <v>118</v>
      </c>
      <c r="C82" s="4" t="s">
        <v>175</v>
      </c>
      <c r="D82" s="4" t="s">
        <v>109</v>
      </c>
      <c r="E82" s="4" t="s">
        <v>66</v>
      </c>
      <c r="F82" s="4" t="s">
        <v>67</v>
      </c>
      <c r="G82" s="4" t="s">
        <v>243</v>
      </c>
      <c r="H82" s="4" t="s">
        <v>244</v>
      </c>
      <c r="I82" s="6">
        <v>2400</v>
      </c>
      <c r="J82" s="6">
        <v>2400</v>
      </c>
      <c r="K82" s="6">
        <v>0</v>
      </c>
      <c r="L82" s="4" t="s">
        <v>579</v>
      </c>
      <c r="M82" s="4" t="s">
        <v>246</v>
      </c>
    </row>
    <row r="83" ht="36" customHeight="1" spans="1:13">
      <c r="A83" s="4" t="s">
        <v>514</v>
      </c>
      <c r="B83" s="5">
        <v>121</v>
      </c>
      <c r="C83" s="4" t="s">
        <v>175</v>
      </c>
      <c r="D83" s="4" t="s">
        <v>113</v>
      </c>
      <c r="E83" s="4" t="s">
        <v>66</v>
      </c>
      <c r="F83" s="4" t="s">
        <v>67</v>
      </c>
      <c r="G83" s="4" t="s">
        <v>258</v>
      </c>
      <c r="H83" s="4" t="s">
        <v>244</v>
      </c>
      <c r="I83" s="6">
        <v>2400</v>
      </c>
      <c r="J83" s="6">
        <v>2400</v>
      </c>
      <c r="K83" s="6">
        <v>0</v>
      </c>
      <c r="L83" s="4" t="s">
        <v>579</v>
      </c>
      <c r="M83" s="4" t="s">
        <v>246</v>
      </c>
    </row>
    <row r="84" ht="36" customHeight="1" spans="1:13">
      <c r="A84" s="4" t="s">
        <v>514</v>
      </c>
      <c r="B84" s="5">
        <v>122</v>
      </c>
      <c r="C84" s="4" t="s">
        <v>175</v>
      </c>
      <c r="D84" s="4" t="s">
        <v>113</v>
      </c>
      <c r="E84" s="4" t="s">
        <v>114</v>
      </c>
      <c r="F84" s="4" t="s">
        <v>115</v>
      </c>
      <c r="G84" s="4" t="s">
        <v>258</v>
      </c>
      <c r="H84" s="4" t="s">
        <v>259</v>
      </c>
      <c r="I84" s="6">
        <v>36960</v>
      </c>
      <c r="J84" s="6">
        <v>36960</v>
      </c>
      <c r="K84" s="6">
        <v>0</v>
      </c>
      <c r="L84" s="4" t="s">
        <v>579</v>
      </c>
      <c r="M84" s="4" t="s">
        <v>392</v>
      </c>
    </row>
    <row r="85" ht="36" customHeight="1" spans="1:13">
      <c r="A85" s="4" t="s">
        <v>514</v>
      </c>
      <c r="B85" s="5">
        <v>123</v>
      </c>
      <c r="C85" s="4" t="s">
        <v>175</v>
      </c>
      <c r="D85" s="4" t="s">
        <v>113</v>
      </c>
      <c r="E85" s="4" t="s">
        <v>66</v>
      </c>
      <c r="F85" s="4" t="s">
        <v>67</v>
      </c>
      <c r="G85" s="4" t="s">
        <v>258</v>
      </c>
      <c r="H85" s="4" t="s">
        <v>244</v>
      </c>
      <c r="I85" s="6">
        <v>2400</v>
      </c>
      <c r="J85" s="6">
        <v>2400</v>
      </c>
      <c r="K85" s="6">
        <v>0</v>
      </c>
      <c r="L85" s="4" t="s">
        <v>579</v>
      </c>
      <c r="M85" s="4" t="s">
        <v>246</v>
      </c>
    </row>
    <row r="86" ht="36" customHeight="1" spans="1:13">
      <c r="A86" s="4" t="s">
        <v>514</v>
      </c>
      <c r="B86" s="5">
        <v>126</v>
      </c>
      <c r="C86" s="4" t="s">
        <v>175</v>
      </c>
      <c r="D86" s="4" t="s">
        <v>116</v>
      </c>
      <c r="E86" s="4" t="s">
        <v>66</v>
      </c>
      <c r="F86" s="4" t="s">
        <v>67</v>
      </c>
      <c r="G86" s="4" t="s">
        <v>263</v>
      </c>
      <c r="H86" s="4" t="s">
        <v>244</v>
      </c>
      <c r="I86" s="6">
        <v>2400</v>
      </c>
      <c r="J86" s="6">
        <v>2400</v>
      </c>
      <c r="K86" s="6">
        <v>0</v>
      </c>
      <c r="L86" s="4" t="s">
        <v>579</v>
      </c>
      <c r="M86" s="4" t="s">
        <v>246</v>
      </c>
    </row>
    <row r="87" ht="36" customHeight="1" spans="1:13">
      <c r="A87" s="4" t="s">
        <v>514</v>
      </c>
      <c r="B87" s="5">
        <v>127</v>
      </c>
      <c r="C87" s="4" t="s">
        <v>175</v>
      </c>
      <c r="D87" s="4" t="s">
        <v>116</v>
      </c>
      <c r="E87" s="4" t="s">
        <v>117</v>
      </c>
      <c r="F87" s="4" t="s">
        <v>118</v>
      </c>
      <c r="G87" s="4" t="s">
        <v>263</v>
      </c>
      <c r="H87" s="4" t="s">
        <v>264</v>
      </c>
      <c r="I87" s="6">
        <v>104400</v>
      </c>
      <c r="J87" s="6">
        <v>104400</v>
      </c>
      <c r="K87" s="6">
        <v>0</v>
      </c>
      <c r="L87" s="4" t="s">
        <v>579</v>
      </c>
      <c r="M87" s="4" t="s">
        <v>265</v>
      </c>
    </row>
    <row r="88" ht="36" customHeight="1" spans="1:13">
      <c r="A88" s="4" t="s">
        <v>514</v>
      </c>
      <c r="B88" s="5">
        <v>128</v>
      </c>
      <c r="C88" s="4" t="s">
        <v>175</v>
      </c>
      <c r="D88" s="4" t="s">
        <v>116</v>
      </c>
      <c r="E88" s="4" t="s">
        <v>66</v>
      </c>
      <c r="F88" s="4" t="s">
        <v>67</v>
      </c>
      <c r="G88" s="4" t="s">
        <v>263</v>
      </c>
      <c r="H88" s="4" t="s">
        <v>244</v>
      </c>
      <c r="I88" s="6">
        <v>2400</v>
      </c>
      <c r="J88" s="6">
        <v>2400</v>
      </c>
      <c r="K88" s="6">
        <v>0</v>
      </c>
      <c r="L88" s="4" t="s">
        <v>579</v>
      </c>
      <c r="M88" s="4" t="s">
        <v>246</v>
      </c>
    </row>
    <row r="89" ht="36" customHeight="1" spans="1:13">
      <c r="A89" s="4" t="s">
        <v>514</v>
      </c>
      <c r="B89" s="5">
        <v>131</v>
      </c>
      <c r="C89" s="4" t="s">
        <v>175</v>
      </c>
      <c r="D89" s="4" t="s">
        <v>394</v>
      </c>
      <c r="E89" s="4" t="s">
        <v>66</v>
      </c>
      <c r="F89" s="4" t="s">
        <v>67</v>
      </c>
      <c r="G89" s="4" t="s">
        <v>268</v>
      </c>
      <c r="H89" s="4" t="s">
        <v>244</v>
      </c>
      <c r="I89" s="6">
        <v>2400</v>
      </c>
      <c r="J89" s="6">
        <v>2400</v>
      </c>
      <c r="K89" s="6">
        <v>0</v>
      </c>
      <c r="L89" s="4" t="s">
        <v>579</v>
      </c>
      <c r="M89" s="4" t="s">
        <v>246</v>
      </c>
    </row>
    <row r="90" ht="18" customHeight="1" spans="1:13">
      <c r="A90" s="4" t="s">
        <v>514</v>
      </c>
      <c r="B90" s="5">
        <v>132</v>
      </c>
      <c r="C90" s="4" t="s">
        <v>175</v>
      </c>
      <c r="D90" s="4" t="s">
        <v>394</v>
      </c>
      <c r="E90" s="4" t="s">
        <v>120</v>
      </c>
      <c r="F90" s="4" t="s">
        <v>121</v>
      </c>
      <c r="G90" s="4" t="s">
        <v>268</v>
      </c>
      <c r="H90" s="4" t="s">
        <v>271</v>
      </c>
      <c r="I90" s="6">
        <v>40680</v>
      </c>
      <c r="J90" s="6">
        <v>40680</v>
      </c>
      <c r="K90" s="6">
        <v>0</v>
      </c>
      <c r="L90" s="4" t="s">
        <v>579</v>
      </c>
      <c r="M90" s="4" t="s">
        <v>396</v>
      </c>
    </row>
    <row r="91" ht="36" customHeight="1" spans="1:13">
      <c r="A91" s="4" t="s">
        <v>514</v>
      </c>
      <c r="B91" s="5">
        <v>133</v>
      </c>
      <c r="C91" s="4" t="s">
        <v>175</v>
      </c>
      <c r="D91" s="4" t="s">
        <v>394</v>
      </c>
      <c r="E91" s="4" t="s">
        <v>66</v>
      </c>
      <c r="F91" s="4" t="s">
        <v>67</v>
      </c>
      <c r="G91" s="4" t="s">
        <v>268</v>
      </c>
      <c r="H91" s="4" t="s">
        <v>244</v>
      </c>
      <c r="I91" s="6">
        <v>2400</v>
      </c>
      <c r="J91" s="6">
        <v>2400</v>
      </c>
      <c r="K91" s="6">
        <v>0</v>
      </c>
      <c r="L91" s="4" t="s">
        <v>579</v>
      </c>
      <c r="M91" s="4" t="s">
        <v>246</v>
      </c>
    </row>
    <row r="92" ht="53" customHeight="1" spans="1:13">
      <c r="A92" s="4" t="s">
        <v>514</v>
      </c>
      <c r="B92" s="5">
        <v>134</v>
      </c>
      <c r="C92" s="4" t="s">
        <v>175</v>
      </c>
      <c r="D92" s="4" t="s">
        <v>394</v>
      </c>
      <c r="E92" s="4" t="s">
        <v>123</v>
      </c>
      <c r="F92" s="4" t="s">
        <v>123</v>
      </c>
      <c r="G92" s="4" t="s">
        <v>268</v>
      </c>
      <c r="H92" s="4" t="s">
        <v>333</v>
      </c>
      <c r="I92" s="6">
        <v>21450</v>
      </c>
      <c r="J92" s="6">
        <v>21450</v>
      </c>
      <c r="K92" s="6">
        <v>0</v>
      </c>
      <c r="L92" s="4" t="s">
        <v>579</v>
      </c>
      <c r="M92" s="4" t="s">
        <v>276</v>
      </c>
    </row>
    <row r="93" ht="36" customHeight="1" spans="1:13">
      <c r="A93" s="4" t="s">
        <v>514</v>
      </c>
      <c r="B93" s="5">
        <v>137</v>
      </c>
      <c r="C93" s="4" t="s">
        <v>175</v>
      </c>
      <c r="D93" s="4" t="s">
        <v>399</v>
      </c>
      <c r="E93" s="4" t="s">
        <v>66</v>
      </c>
      <c r="F93" s="4" t="s">
        <v>67</v>
      </c>
      <c r="G93" s="4" t="s">
        <v>280</v>
      </c>
      <c r="H93" s="4" t="s">
        <v>244</v>
      </c>
      <c r="I93" s="6">
        <v>2400</v>
      </c>
      <c r="J93" s="6">
        <v>2400</v>
      </c>
      <c r="K93" s="6">
        <v>0</v>
      </c>
      <c r="L93" s="4" t="s">
        <v>579</v>
      </c>
      <c r="M93" s="4" t="s">
        <v>246</v>
      </c>
    </row>
    <row r="94" ht="36" customHeight="1" spans="1:13">
      <c r="A94" s="4" t="s">
        <v>514</v>
      </c>
      <c r="B94" s="5">
        <v>138</v>
      </c>
      <c r="C94" s="4" t="s">
        <v>175</v>
      </c>
      <c r="D94" s="4" t="s">
        <v>399</v>
      </c>
      <c r="E94" s="4" t="s">
        <v>125</v>
      </c>
      <c r="F94" s="4" t="s">
        <v>126</v>
      </c>
      <c r="G94" s="4" t="s">
        <v>280</v>
      </c>
      <c r="H94" s="4" t="s">
        <v>207</v>
      </c>
      <c r="I94" s="6">
        <v>4100</v>
      </c>
      <c r="J94" s="6">
        <v>4100</v>
      </c>
      <c r="K94" s="6">
        <v>0</v>
      </c>
      <c r="L94" s="4" t="s">
        <v>579</v>
      </c>
      <c r="M94" s="4" t="s">
        <v>401</v>
      </c>
    </row>
    <row r="95" ht="36" customHeight="1" spans="1:13">
      <c r="A95" s="4" t="s">
        <v>514</v>
      </c>
      <c r="B95" s="5">
        <v>139</v>
      </c>
      <c r="C95" s="4" t="s">
        <v>175</v>
      </c>
      <c r="D95" s="4" t="s">
        <v>399</v>
      </c>
      <c r="E95" s="4" t="s">
        <v>66</v>
      </c>
      <c r="F95" s="4" t="s">
        <v>67</v>
      </c>
      <c r="G95" s="4" t="s">
        <v>280</v>
      </c>
      <c r="H95" s="4" t="s">
        <v>244</v>
      </c>
      <c r="I95" s="6">
        <v>2400</v>
      </c>
      <c r="J95" s="6">
        <v>2400</v>
      </c>
      <c r="K95" s="6">
        <v>0</v>
      </c>
      <c r="L95" s="4" t="s">
        <v>579</v>
      </c>
      <c r="M95" s="4" t="s">
        <v>246</v>
      </c>
    </row>
    <row r="96" ht="36" customHeight="1" spans="1:13">
      <c r="A96" s="4" t="s">
        <v>514</v>
      </c>
      <c r="B96" s="5">
        <v>142</v>
      </c>
      <c r="C96" s="4" t="s">
        <v>175</v>
      </c>
      <c r="D96" s="4" t="s">
        <v>127</v>
      </c>
      <c r="E96" s="4" t="s">
        <v>66</v>
      </c>
      <c r="F96" s="4" t="s">
        <v>67</v>
      </c>
      <c r="G96" s="4" t="s">
        <v>283</v>
      </c>
      <c r="H96" s="4" t="s">
        <v>244</v>
      </c>
      <c r="I96" s="6">
        <v>2400</v>
      </c>
      <c r="J96" s="6">
        <v>2400</v>
      </c>
      <c r="K96" s="6">
        <v>0</v>
      </c>
      <c r="L96" s="4" t="s">
        <v>579</v>
      </c>
      <c r="M96" s="4" t="s">
        <v>246</v>
      </c>
    </row>
    <row r="97" ht="36" customHeight="1" spans="1:13">
      <c r="A97" s="4" t="s">
        <v>514</v>
      </c>
      <c r="B97" s="5">
        <v>143</v>
      </c>
      <c r="C97" s="4" t="s">
        <v>175</v>
      </c>
      <c r="D97" s="4" t="s">
        <v>127</v>
      </c>
      <c r="E97" s="4" t="s">
        <v>128</v>
      </c>
      <c r="F97" s="4" t="s">
        <v>129</v>
      </c>
      <c r="G97" s="4" t="s">
        <v>283</v>
      </c>
      <c r="H97" s="4" t="s">
        <v>284</v>
      </c>
      <c r="I97" s="6">
        <v>23000</v>
      </c>
      <c r="J97" s="6">
        <v>23000</v>
      </c>
      <c r="K97" s="6">
        <v>0</v>
      </c>
      <c r="L97" s="4" t="s">
        <v>579</v>
      </c>
      <c r="M97" s="4" t="s">
        <v>403</v>
      </c>
    </row>
    <row r="98" ht="36" customHeight="1" spans="1:13">
      <c r="A98" s="4" t="s">
        <v>514</v>
      </c>
      <c r="B98" s="5">
        <v>144</v>
      </c>
      <c r="C98" s="4" t="s">
        <v>175</v>
      </c>
      <c r="D98" s="4" t="s">
        <v>127</v>
      </c>
      <c r="E98" s="4" t="s">
        <v>66</v>
      </c>
      <c r="F98" s="4" t="s">
        <v>67</v>
      </c>
      <c r="G98" s="4" t="s">
        <v>283</v>
      </c>
      <c r="H98" s="4" t="s">
        <v>244</v>
      </c>
      <c r="I98" s="6">
        <v>2400</v>
      </c>
      <c r="J98" s="6">
        <v>2400</v>
      </c>
      <c r="K98" s="6">
        <v>0</v>
      </c>
      <c r="L98" s="4" t="s">
        <v>579</v>
      </c>
      <c r="M98" s="4" t="s">
        <v>246</v>
      </c>
    </row>
    <row r="99" ht="36" customHeight="1" spans="1:13">
      <c r="A99" s="4" t="s">
        <v>514</v>
      </c>
      <c r="B99" s="5">
        <v>147</v>
      </c>
      <c r="C99" s="4" t="s">
        <v>175</v>
      </c>
      <c r="D99" s="4" t="s">
        <v>130</v>
      </c>
      <c r="E99" s="4" t="s">
        <v>66</v>
      </c>
      <c r="F99" s="4" t="s">
        <v>67</v>
      </c>
      <c r="G99" s="4" t="s">
        <v>288</v>
      </c>
      <c r="H99" s="4" t="s">
        <v>244</v>
      </c>
      <c r="I99" s="6">
        <v>2400</v>
      </c>
      <c r="J99" s="6">
        <v>2400</v>
      </c>
      <c r="K99" s="6">
        <v>0</v>
      </c>
      <c r="L99" s="4" t="s">
        <v>579</v>
      </c>
      <c r="M99" s="4" t="s">
        <v>246</v>
      </c>
    </row>
    <row r="100" ht="36" customHeight="1" spans="1:13">
      <c r="A100" s="4" t="s">
        <v>514</v>
      </c>
      <c r="B100" s="5">
        <v>148</v>
      </c>
      <c r="C100" s="4" t="s">
        <v>175</v>
      </c>
      <c r="D100" s="4" t="s">
        <v>130</v>
      </c>
      <c r="E100" s="4" t="s">
        <v>131</v>
      </c>
      <c r="F100" s="4" t="s">
        <v>132</v>
      </c>
      <c r="G100" s="4" t="s">
        <v>288</v>
      </c>
      <c r="H100" s="4" t="s">
        <v>284</v>
      </c>
      <c r="I100" s="6">
        <v>23000</v>
      </c>
      <c r="J100" s="6">
        <v>23000</v>
      </c>
      <c r="K100" s="6">
        <v>0</v>
      </c>
      <c r="L100" s="4" t="s">
        <v>579</v>
      </c>
      <c r="M100" s="4" t="s">
        <v>403</v>
      </c>
    </row>
    <row r="101" ht="36" customHeight="1" spans="1:13">
      <c r="A101" s="4" t="s">
        <v>514</v>
      </c>
      <c r="B101" s="5">
        <v>149</v>
      </c>
      <c r="C101" s="4" t="s">
        <v>175</v>
      </c>
      <c r="D101" s="4" t="s">
        <v>130</v>
      </c>
      <c r="E101" s="4" t="s">
        <v>66</v>
      </c>
      <c r="F101" s="4" t="s">
        <v>67</v>
      </c>
      <c r="G101" s="4" t="s">
        <v>288</v>
      </c>
      <c r="H101" s="4" t="s">
        <v>244</v>
      </c>
      <c r="I101" s="6">
        <v>2400</v>
      </c>
      <c r="J101" s="6">
        <v>2400</v>
      </c>
      <c r="K101" s="6">
        <v>0</v>
      </c>
      <c r="L101" s="4" t="s">
        <v>579</v>
      </c>
      <c r="M101" s="4" t="s">
        <v>246</v>
      </c>
    </row>
    <row r="102" ht="36" customHeight="1" spans="1:13">
      <c r="A102" s="4" t="s">
        <v>514</v>
      </c>
      <c r="B102" s="5">
        <v>152</v>
      </c>
      <c r="C102" s="4" t="s">
        <v>175</v>
      </c>
      <c r="D102" s="4" t="s">
        <v>133</v>
      </c>
      <c r="E102" s="4" t="s">
        <v>66</v>
      </c>
      <c r="F102" s="4" t="s">
        <v>67</v>
      </c>
      <c r="G102" s="4" t="s">
        <v>291</v>
      </c>
      <c r="H102" s="4" t="s">
        <v>244</v>
      </c>
      <c r="I102" s="6">
        <v>2400</v>
      </c>
      <c r="J102" s="6">
        <v>2400</v>
      </c>
      <c r="K102" s="6">
        <v>0</v>
      </c>
      <c r="L102" s="4" t="s">
        <v>579</v>
      </c>
      <c r="M102" s="4" t="s">
        <v>246</v>
      </c>
    </row>
    <row r="103" ht="36" customHeight="1" spans="1:13">
      <c r="A103" s="4" t="s">
        <v>514</v>
      </c>
      <c r="B103" s="5">
        <v>153</v>
      </c>
      <c r="C103" s="4" t="s">
        <v>175</v>
      </c>
      <c r="D103" s="4" t="s">
        <v>133</v>
      </c>
      <c r="E103" s="4" t="s">
        <v>131</v>
      </c>
      <c r="F103" s="4" t="s">
        <v>134</v>
      </c>
      <c r="G103" s="4" t="s">
        <v>291</v>
      </c>
      <c r="H103" s="4" t="s">
        <v>292</v>
      </c>
      <c r="I103" s="6">
        <v>25300</v>
      </c>
      <c r="J103" s="6">
        <v>25300</v>
      </c>
      <c r="K103" s="6">
        <v>0</v>
      </c>
      <c r="L103" s="4" t="s">
        <v>579</v>
      </c>
      <c r="M103" s="4" t="s">
        <v>404</v>
      </c>
    </row>
    <row r="104" ht="36" customHeight="1" spans="1:13">
      <c r="A104" s="4" t="s">
        <v>514</v>
      </c>
      <c r="B104" s="5">
        <v>154</v>
      </c>
      <c r="C104" s="4" t="s">
        <v>175</v>
      </c>
      <c r="D104" s="4" t="s">
        <v>133</v>
      </c>
      <c r="E104" s="4" t="s">
        <v>66</v>
      </c>
      <c r="F104" s="4" t="s">
        <v>67</v>
      </c>
      <c r="G104" s="4" t="s">
        <v>291</v>
      </c>
      <c r="H104" s="4" t="s">
        <v>244</v>
      </c>
      <c r="I104" s="6">
        <v>2400</v>
      </c>
      <c r="J104" s="6">
        <v>2400</v>
      </c>
      <c r="K104" s="6">
        <v>0</v>
      </c>
      <c r="L104" s="4" t="s">
        <v>579</v>
      </c>
      <c r="M104" s="4" t="s">
        <v>246</v>
      </c>
    </row>
    <row r="105" ht="36" customHeight="1" spans="1:13">
      <c r="A105" s="4" t="s">
        <v>514</v>
      </c>
      <c r="B105" s="5">
        <v>157</v>
      </c>
      <c r="C105" s="4" t="s">
        <v>175</v>
      </c>
      <c r="D105" s="4" t="s">
        <v>136</v>
      </c>
      <c r="E105" s="4" t="s">
        <v>66</v>
      </c>
      <c r="F105" s="4" t="s">
        <v>67</v>
      </c>
      <c r="G105" s="4" t="s">
        <v>339</v>
      </c>
      <c r="H105" s="4" t="s">
        <v>340</v>
      </c>
      <c r="I105" s="6">
        <v>6000</v>
      </c>
      <c r="J105" s="6">
        <v>6000</v>
      </c>
      <c r="K105" s="6">
        <v>0</v>
      </c>
      <c r="L105" s="4" t="s">
        <v>579</v>
      </c>
      <c r="M105" s="4" t="s">
        <v>343</v>
      </c>
    </row>
    <row r="106" ht="18" customHeight="1" spans="1:13">
      <c r="A106" s="4" t="s">
        <v>514</v>
      </c>
      <c r="B106" s="5">
        <v>158</v>
      </c>
      <c r="C106" s="4" t="s">
        <v>175</v>
      </c>
      <c r="D106" s="4" t="s">
        <v>136</v>
      </c>
      <c r="E106" s="4" t="s">
        <v>139</v>
      </c>
      <c r="F106" s="4" t="s">
        <v>140</v>
      </c>
      <c r="G106" s="4" t="s">
        <v>339</v>
      </c>
      <c r="H106" s="4" t="s">
        <v>344</v>
      </c>
      <c r="I106" s="6">
        <v>6400</v>
      </c>
      <c r="J106" s="6">
        <v>6400</v>
      </c>
      <c r="K106" s="6">
        <v>0</v>
      </c>
      <c r="L106" s="4" t="s">
        <v>579</v>
      </c>
      <c r="M106" s="4" t="s">
        <v>345</v>
      </c>
    </row>
    <row r="107" ht="18" customHeight="1" spans="1:13">
      <c r="A107" s="4" t="s">
        <v>514</v>
      </c>
      <c r="B107" s="5">
        <v>159</v>
      </c>
      <c r="C107" s="4" t="s">
        <v>175</v>
      </c>
      <c r="D107" s="4" t="s">
        <v>136</v>
      </c>
      <c r="E107" s="4" t="s">
        <v>139</v>
      </c>
      <c r="F107" s="4" t="s">
        <v>141</v>
      </c>
      <c r="G107" s="4" t="s">
        <v>339</v>
      </c>
      <c r="H107" s="4" t="s">
        <v>344</v>
      </c>
      <c r="I107" s="6">
        <v>6400</v>
      </c>
      <c r="J107" s="6">
        <v>6400</v>
      </c>
      <c r="K107" s="6">
        <v>0</v>
      </c>
      <c r="L107" s="4" t="s">
        <v>579</v>
      </c>
      <c r="M107" s="4" t="s">
        <v>345</v>
      </c>
    </row>
    <row r="108" ht="18" customHeight="1" spans="1:13">
      <c r="A108" s="4" t="s">
        <v>514</v>
      </c>
      <c r="B108" s="5">
        <v>160</v>
      </c>
      <c r="C108" s="4" t="s">
        <v>175</v>
      </c>
      <c r="D108" s="4" t="s">
        <v>136</v>
      </c>
      <c r="E108" s="4" t="s">
        <v>139</v>
      </c>
      <c r="F108" s="4" t="s">
        <v>142</v>
      </c>
      <c r="G108" s="4" t="s">
        <v>339</v>
      </c>
      <c r="H108" s="4" t="s">
        <v>344</v>
      </c>
      <c r="I108" s="6">
        <v>6400</v>
      </c>
      <c r="J108" s="6">
        <v>6400</v>
      </c>
      <c r="K108" s="6">
        <v>0</v>
      </c>
      <c r="L108" s="4" t="s">
        <v>579</v>
      </c>
      <c r="M108" s="4" t="s">
        <v>345</v>
      </c>
    </row>
    <row r="109" ht="18" customHeight="1" spans="1:13">
      <c r="A109" s="4" t="s">
        <v>514</v>
      </c>
      <c r="B109" s="5">
        <v>161</v>
      </c>
      <c r="C109" s="4" t="s">
        <v>175</v>
      </c>
      <c r="D109" s="4" t="s">
        <v>136</v>
      </c>
      <c r="E109" s="4" t="s">
        <v>139</v>
      </c>
      <c r="F109" s="4" t="s">
        <v>143</v>
      </c>
      <c r="G109" s="4" t="s">
        <v>339</v>
      </c>
      <c r="H109" s="4" t="s">
        <v>344</v>
      </c>
      <c r="I109" s="6">
        <v>6400</v>
      </c>
      <c r="J109" s="6">
        <v>6400</v>
      </c>
      <c r="K109" s="6">
        <v>0</v>
      </c>
      <c r="L109" s="4" t="s">
        <v>579</v>
      </c>
      <c r="M109" s="4" t="s">
        <v>345</v>
      </c>
    </row>
    <row r="110" ht="18" customHeight="1" spans="1:13">
      <c r="A110" s="4" t="s">
        <v>514</v>
      </c>
      <c r="B110" s="5">
        <v>162</v>
      </c>
      <c r="C110" s="4" t="s">
        <v>175</v>
      </c>
      <c r="D110" s="4" t="s">
        <v>136</v>
      </c>
      <c r="E110" s="4" t="s">
        <v>139</v>
      </c>
      <c r="F110" s="4" t="s">
        <v>144</v>
      </c>
      <c r="G110" s="4" t="s">
        <v>339</v>
      </c>
      <c r="H110" s="4" t="s">
        <v>344</v>
      </c>
      <c r="I110" s="6">
        <v>6400</v>
      </c>
      <c r="J110" s="6">
        <v>6400</v>
      </c>
      <c r="K110" s="6">
        <v>0</v>
      </c>
      <c r="L110" s="4" t="s">
        <v>579</v>
      </c>
      <c r="M110" s="4" t="s">
        <v>345</v>
      </c>
    </row>
    <row r="111" ht="36" customHeight="1" spans="1:13">
      <c r="A111" s="4" t="s">
        <v>514</v>
      </c>
      <c r="B111" s="5">
        <v>163</v>
      </c>
      <c r="C111" s="4" t="s">
        <v>175</v>
      </c>
      <c r="D111" s="4" t="s">
        <v>136</v>
      </c>
      <c r="E111" s="4" t="s">
        <v>66</v>
      </c>
      <c r="F111" s="4" t="s">
        <v>67</v>
      </c>
      <c r="G111" s="4" t="s">
        <v>339</v>
      </c>
      <c r="H111" s="4" t="s">
        <v>346</v>
      </c>
      <c r="I111" s="6">
        <v>3600</v>
      </c>
      <c r="J111" s="6">
        <v>3600</v>
      </c>
      <c r="K111" s="6">
        <v>0</v>
      </c>
      <c r="L111" s="4" t="s">
        <v>579</v>
      </c>
      <c r="M111" s="4" t="s">
        <v>347</v>
      </c>
    </row>
    <row r="112" ht="36" customHeight="1" spans="1:13">
      <c r="A112" s="4" t="s">
        <v>514</v>
      </c>
      <c r="B112" s="5">
        <v>166</v>
      </c>
      <c r="C112" s="4" t="s">
        <v>175</v>
      </c>
      <c r="D112" s="4" t="s">
        <v>405</v>
      </c>
      <c r="E112" s="4" t="s">
        <v>66</v>
      </c>
      <c r="F112" s="4" t="s">
        <v>67</v>
      </c>
      <c r="G112" s="4" t="s">
        <v>350</v>
      </c>
      <c r="H112" s="4" t="s">
        <v>244</v>
      </c>
      <c r="I112" s="6">
        <v>2400</v>
      </c>
      <c r="J112" s="6">
        <v>2400</v>
      </c>
      <c r="K112" s="6">
        <v>0</v>
      </c>
      <c r="L112" s="4" t="s">
        <v>579</v>
      </c>
      <c r="M112" s="4" t="s">
        <v>246</v>
      </c>
    </row>
    <row r="113" ht="18" customHeight="1" spans="1:13">
      <c r="A113" s="4" t="s">
        <v>514</v>
      </c>
      <c r="B113" s="5">
        <v>167</v>
      </c>
      <c r="C113" s="4" t="s">
        <v>175</v>
      </c>
      <c r="D113" s="4" t="s">
        <v>405</v>
      </c>
      <c r="E113" s="4" t="s">
        <v>137</v>
      </c>
      <c r="F113" s="4" t="s">
        <v>297</v>
      </c>
      <c r="G113" s="4" t="s">
        <v>350</v>
      </c>
      <c r="H113" s="4" t="s">
        <v>198</v>
      </c>
      <c r="I113" s="6">
        <v>6600</v>
      </c>
      <c r="J113" s="6">
        <v>6600</v>
      </c>
      <c r="K113" s="6">
        <v>0</v>
      </c>
      <c r="L113" s="4" t="s">
        <v>579</v>
      </c>
      <c r="M113" s="4" t="s">
        <v>298</v>
      </c>
    </row>
    <row r="114" ht="36" customHeight="1" spans="1:13">
      <c r="A114" s="4" t="s">
        <v>514</v>
      </c>
      <c r="B114" s="5">
        <v>168</v>
      </c>
      <c r="C114" s="4" t="s">
        <v>175</v>
      </c>
      <c r="D114" s="4" t="s">
        <v>405</v>
      </c>
      <c r="E114" s="4" t="s">
        <v>66</v>
      </c>
      <c r="F114" s="4" t="s">
        <v>67</v>
      </c>
      <c r="G114" s="4" t="s">
        <v>350</v>
      </c>
      <c r="H114" s="4" t="s">
        <v>244</v>
      </c>
      <c r="I114" s="6">
        <v>2400</v>
      </c>
      <c r="J114" s="6">
        <v>2400</v>
      </c>
      <c r="K114" s="6">
        <v>0</v>
      </c>
      <c r="L114" s="4" t="s">
        <v>579</v>
      </c>
      <c r="M114" s="4" t="s">
        <v>246</v>
      </c>
    </row>
    <row r="115" ht="36" customHeight="1" spans="1:13">
      <c r="A115" s="4" t="s">
        <v>515</v>
      </c>
      <c r="B115" s="5">
        <v>12</v>
      </c>
      <c r="C115" s="4" t="s">
        <v>172</v>
      </c>
      <c r="D115" s="4" t="s">
        <v>48</v>
      </c>
      <c r="E115" s="4" t="s">
        <v>66</v>
      </c>
      <c r="F115" s="4" t="s">
        <v>67</v>
      </c>
      <c r="G115" s="4" t="s">
        <v>189</v>
      </c>
      <c r="H115" s="4" t="s">
        <v>190</v>
      </c>
      <c r="I115" s="6">
        <v>9800</v>
      </c>
      <c r="J115" s="6">
        <v>9800</v>
      </c>
      <c r="K115" s="6">
        <v>0</v>
      </c>
      <c r="L115" s="4" t="s">
        <v>579</v>
      </c>
      <c r="M115" s="4" t="s">
        <v>421</v>
      </c>
    </row>
    <row r="116" ht="18" customHeight="1" spans="1:13">
      <c r="A116" s="4" t="s">
        <v>515</v>
      </c>
      <c r="B116" s="5">
        <v>13</v>
      </c>
      <c r="C116" s="4" t="s">
        <v>172</v>
      </c>
      <c r="D116" s="4" t="s">
        <v>48</v>
      </c>
      <c r="E116" s="4" t="s">
        <v>68</v>
      </c>
      <c r="F116" s="4" t="s">
        <v>69</v>
      </c>
      <c r="G116" s="4" t="s">
        <v>197</v>
      </c>
      <c r="H116" s="5"/>
      <c r="I116" s="6">
        <v>24000</v>
      </c>
      <c r="J116" s="6">
        <v>24000</v>
      </c>
      <c r="K116" s="6">
        <v>0</v>
      </c>
      <c r="L116" s="4" t="s">
        <v>579</v>
      </c>
      <c r="M116" s="4" t="s">
        <v>423</v>
      </c>
    </row>
    <row r="117" ht="18" customHeight="1" spans="1:13">
      <c r="A117" s="4" t="s">
        <v>515</v>
      </c>
      <c r="B117" s="5">
        <v>14</v>
      </c>
      <c r="C117" s="4" t="s">
        <v>172</v>
      </c>
      <c r="D117" s="4" t="s">
        <v>48</v>
      </c>
      <c r="E117" s="4" t="s">
        <v>70</v>
      </c>
      <c r="F117" s="4" t="s">
        <v>71</v>
      </c>
      <c r="G117" s="4" t="s">
        <v>197</v>
      </c>
      <c r="H117" s="4" t="s">
        <v>202</v>
      </c>
      <c r="I117" s="6">
        <v>600</v>
      </c>
      <c r="J117" s="6">
        <v>600</v>
      </c>
      <c r="K117" s="6">
        <v>0</v>
      </c>
      <c r="L117" s="4" t="s">
        <v>579</v>
      </c>
      <c r="M117" s="4" t="s">
        <v>425</v>
      </c>
    </row>
    <row r="118" ht="18" customHeight="1" spans="1:13">
      <c r="A118" s="4" t="s">
        <v>515</v>
      </c>
      <c r="B118" s="5">
        <v>15</v>
      </c>
      <c r="C118" s="4" t="s">
        <v>172</v>
      </c>
      <c r="D118" s="4" t="s">
        <v>48</v>
      </c>
      <c r="E118" s="4" t="s">
        <v>72</v>
      </c>
      <c r="F118" s="4" t="s">
        <v>73</v>
      </c>
      <c r="G118" s="4" t="s">
        <v>197</v>
      </c>
      <c r="H118" s="4" t="s">
        <v>202</v>
      </c>
      <c r="I118" s="6">
        <v>600</v>
      </c>
      <c r="J118" s="6">
        <v>600</v>
      </c>
      <c r="K118" s="6">
        <v>0</v>
      </c>
      <c r="L118" s="4" t="s">
        <v>579</v>
      </c>
      <c r="M118" s="4" t="s">
        <v>425</v>
      </c>
    </row>
    <row r="119" ht="18" customHeight="1" spans="1:13">
      <c r="A119" s="4" t="s">
        <v>515</v>
      </c>
      <c r="B119" s="5">
        <v>16</v>
      </c>
      <c r="C119" s="4" t="s">
        <v>172</v>
      </c>
      <c r="D119" s="4" t="s">
        <v>48</v>
      </c>
      <c r="E119" s="4" t="s">
        <v>74</v>
      </c>
      <c r="F119" s="4" t="s">
        <v>75</v>
      </c>
      <c r="G119" s="4" t="s">
        <v>197</v>
      </c>
      <c r="H119" s="4" t="s">
        <v>202</v>
      </c>
      <c r="I119" s="6">
        <v>600</v>
      </c>
      <c r="J119" s="6">
        <v>600</v>
      </c>
      <c r="K119" s="6">
        <v>0</v>
      </c>
      <c r="L119" s="4" t="s">
        <v>579</v>
      </c>
      <c r="M119" s="4" t="s">
        <v>425</v>
      </c>
    </row>
    <row r="120" ht="18" customHeight="1" spans="1:13">
      <c r="A120" s="4" t="s">
        <v>515</v>
      </c>
      <c r="B120" s="5">
        <v>17</v>
      </c>
      <c r="C120" s="4" t="s">
        <v>172</v>
      </c>
      <c r="D120" s="4" t="s">
        <v>48</v>
      </c>
      <c r="E120" s="4" t="s">
        <v>76</v>
      </c>
      <c r="F120" s="4" t="s">
        <v>77</v>
      </c>
      <c r="G120" s="4" t="s">
        <v>197</v>
      </c>
      <c r="H120" s="4" t="s">
        <v>205</v>
      </c>
      <c r="I120" s="6">
        <v>2400</v>
      </c>
      <c r="J120" s="6">
        <v>2400</v>
      </c>
      <c r="K120" s="6">
        <v>0</v>
      </c>
      <c r="L120" s="4" t="s">
        <v>579</v>
      </c>
      <c r="M120" s="4" t="s">
        <v>426</v>
      </c>
    </row>
    <row r="121" ht="18" customHeight="1" spans="1:13">
      <c r="A121" s="4" t="s">
        <v>515</v>
      </c>
      <c r="B121" s="5">
        <v>18</v>
      </c>
      <c r="C121" s="4" t="s">
        <v>172</v>
      </c>
      <c r="D121" s="4" t="s">
        <v>48</v>
      </c>
      <c r="E121" s="4" t="s">
        <v>78</v>
      </c>
      <c r="F121" s="4" t="s">
        <v>79</v>
      </c>
      <c r="G121" s="4" t="s">
        <v>197</v>
      </c>
      <c r="H121" s="4" t="s">
        <v>207</v>
      </c>
      <c r="I121" s="6">
        <v>5000</v>
      </c>
      <c r="J121" s="6">
        <v>5000</v>
      </c>
      <c r="K121" s="6">
        <v>0</v>
      </c>
      <c r="L121" s="4" t="s">
        <v>579</v>
      </c>
      <c r="M121" s="4" t="s">
        <v>428</v>
      </c>
    </row>
    <row r="122" ht="18" customHeight="1" spans="1:13">
      <c r="A122" s="4" t="s">
        <v>515</v>
      </c>
      <c r="B122" s="5">
        <v>19</v>
      </c>
      <c r="C122" s="4" t="s">
        <v>172</v>
      </c>
      <c r="D122" s="4" t="s">
        <v>48</v>
      </c>
      <c r="E122" s="4" t="s">
        <v>80</v>
      </c>
      <c r="F122" s="4" t="s">
        <v>81</v>
      </c>
      <c r="G122" s="4" t="s">
        <v>197</v>
      </c>
      <c r="H122" s="4" t="s">
        <v>210</v>
      </c>
      <c r="I122" s="6">
        <v>6000</v>
      </c>
      <c r="J122" s="6">
        <v>6000</v>
      </c>
      <c r="K122" s="6">
        <v>0</v>
      </c>
      <c r="L122" s="4" t="s">
        <v>579</v>
      </c>
      <c r="M122" s="4" t="s">
        <v>429</v>
      </c>
    </row>
    <row r="123" ht="18" customHeight="1" spans="1:13">
      <c r="A123" s="4" t="s">
        <v>515</v>
      </c>
      <c r="B123" s="5">
        <v>20</v>
      </c>
      <c r="C123" s="4" t="s">
        <v>172</v>
      </c>
      <c r="D123" s="4" t="s">
        <v>48</v>
      </c>
      <c r="E123" s="4" t="s">
        <v>82</v>
      </c>
      <c r="F123" s="4" t="s">
        <v>83</v>
      </c>
      <c r="G123" s="4" t="s">
        <v>197</v>
      </c>
      <c r="H123" s="4" t="s">
        <v>212</v>
      </c>
      <c r="I123" s="6">
        <v>7350</v>
      </c>
      <c r="J123" s="6">
        <v>7350</v>
      </c>
      <c r="K123" s="6">
        <v>0</v>
      </c>
      <c r="L123" s="4" t="s">
        <v>579</v>
      </c>
      <c r="M123" s="4" t="s">
        <v>431</v>
      </c>
    </row>
    <row r="124" ht="18" customHeight="1" spans="1:13">
      <c r="A124" s="4" t="s">
        <v>515</v>
      </c>
      <c r="B124" s="5">
        <v>21</v>
      </c>
      <c r="C124" s="4" t="s">
        <v>172</v>
      </c>
      <c r="D124" s="4" t="s">
        <v>48</v>
      </c>
      <c r="E124" s="4" t="s">
        <v>84</v>
      </c>
      <c r="F124" s="4" t="s">
        <v>85</v>
      </c>
      <c r="G124" s="4" t="s">
        <v>197</v>
      </c>
      <c r="H124" s="4" t="s">
        <v>208</v>
      </c>
      <c r="I124" s="6">
        <v>19200</v>
      </c>
      <c r="J124" s="6">
        <v>19200</v>
      </c>
      <c r="K124" s="6">
        <v>0</v>
      </c>
      <c r="L124" s="4" t="s">
        <v>579</v>
      </c>
      <c r="M124" s="4" t="s">
        <v>433</v>
      </c>
    </row>
    <row r="125" ht="36" customHeight="1" spans="1:13">
      <c r="A125" s="4" t="s">
        <v>515</v>
      </c>
      <c r="B125" s="5">
        <v>22</v>
      </c>
      <c r="C125" s="4" t="s">
        <v>172</v>
      </c>
      <c r="D125" s="4" t="s">
        <v>48</v>
      </c>
      <c r="E125" s="4" t="s">
        <v>86</v>
      </c>
      <c r="F125" s="4" t="s">
        <v>87</v>
      </c>
      <c r="G125" s="4" t="s">
        <v>189</v>
      </c>
      <c r="H125" s="4" t="s">
        <v>190</v>
      </c>
      <c r="I125" s="6">
        <v>1680</v>
      </c>
      <c r="J125" s="6">
        <v>1680</v>
      </c>
      <c r="K125" s="6">
        <v>0</v>
      </c>
      <c r="L125" s="4" t="s">
        <v>579</v>
      </c>
      <c r="M125" s="4" t="s">
        <v>435</v>
      </c>
    </row>
    <row r="126" ht="18" customHeight="1" spans="1:13">
      <c r="A126" s="4" t="s">
        <v>515</v>
      </c>
      <c r="B126" s="5">
        <v>23</v>
      </c>
      <c r="C126" s="4" t="s">
        <v>172</v>
      </c>
      <c r="D126" s="4" t="s">
        <v>48</v>
      </c>
      <c r="E126" s="4" t="s">
        <v>88</v>
      </c>
      <c r="F126" s="4" t="s">
        <v>89</v>
      </c>
      <c r="G126" s="4" t="s">
        <v>197</v>
      </c>
      <c r="H126" s="4" t="s">
        <v>217</v>
      </c>
      <c r="I126" s="6">
        <v>2004</v>
      </c>
      <c r="J126" s="6">
        <v>2004</v>
      </c>
      <c r="K126" s="6">
        <v>0</v>
      </c>
      <c r="L126" s="4" t="s">
        <v>579</v>
      </c>
      <c r="M126" s="4" t="s">
        <v>437</v>
      </c>
    </row>
    <row r="127" ht="18" customHeight="1" spans="1:13">
      <c r="A127" s="4" t="s">
        <v>515</v>
      </c>
      <c r="B127" s="5">
        <v>24</v>
      </c>
      <c r="C127" s="4" t="s">
        <v>172</v>
      </c>
      <c r="D127" s="4" t="s">
        <v>48</v>
      </c>
      <c r="E127" s="4" t="s">
        <v>90</v>
      </c>
      <c r="F127" s="4" t="s">
        <v>91</v>
      </c>
      <c r="G127" s="4" t="s">
        <v>197</v>
      </c>
      <c r="H127" s="4" t="s">
        <v>217</v>
      </c>
      <c r="I127" s="6">
        <v>120000</v>
      </c>
      <c r="J127" s="6">
        <v>120000</v>
      </c>
      <c r="K127" s="6">
        <v>0</v>
      </c>
      <c r="L127" s="4" t="s">
        <v>579</v>
      </c>
      <c r="M127" s="4" t="s">
        <v>439</v>
      </c>
    </row>
    <row r="128" ht="18" customHeight="1" spans="1:13">
      <c r="A128" s="4" t="s">
        <v>515</v>
      </c>
      <c r="B128" s="5">
        <v>25</v>
      </c>
      <c r="C128" s="4" t="s">
        <v>172</v>
      </c>
      <c r="D128" s="4" t="s">
        <v>48</v>
      </c>
      <c r="E128" s="4" t="s">
        <v>92</v>
      </c>
      <c r="F128" s="4" t="s">
        <v>93</v>
      </c>
      <c r="G128" s="4" t="s">
        <v>197</v>
      </c>
      <c r="H128" s="4" t="s">
        <v>222</v>
      </c>
      <c r="I128" s="6">
        <v>6600</v>
      </c>
      <c r="J128" s="6">
        <v>6600</v>
      </c>
      <c r="K128" s="6">
        <v>0</v>
      </c>
      <c r="L128" s="4" t="s">
        <v>579</v>
      </c>
      <c r="M128" s="4" t="s">
        <v>440</v>
      </c>
    </row>
    <row r="129" ht="18" customHeight="1" spans="1:13">
      <c r="A129" s="4" t="s">
        <v>515</v>
      </c>
      <c r="B129" s="5">
        <v>26</v>
      </c>
      <c r="C129" s="4" t="s">
        <v>172</v>
      </c>
      <c r="D129" s="4" t="s">
        <v>48</v>
      </c>
      <c r="E129" s="4" t="s">
        <v>94</v>
      </c>
      <c r="F129" s="4" t="s">
        <v>95</v>
      </c>
      <c r="G129" s="4" t="s">
        <v>197</v>
      </c>
      <c r="H129" s="4" t="s">
        <v>217</v>
      </c>
      <c r="I129" s="6">
        <v>6000</v>
      </c>
      <c r="J129" s="6">
        <v>6000</v>
      </c>
      <c r="K129" s="6">
        <v>0</v>
      </c>
      <c r="L129" s="4" t="s">
        <v>579</v>
      </c>
      <c r="M129" s="4" t="s">
        <v>225</v>
      </c>
    </row>
    <row r="130" ht="18" customHeight="1" spans="1:13">
      <c r="A130" s="4" t="s">
        <v>515</v>
      </c>
      <c r="B130" s="5">
        <v>27</v>
      </c>
      <c r="C130" s="4" t="s">
        <v>172</v>
      </c>
      <c r="D130" s="4" t="s">
        <v>48</v>
      </c>
      <c r="E130" s="4" t="s">
        <v>96</v>
      </c>
      <c r="F130" s="4" t="s">
        <v>97</v>
      </c>
      <c r="G130" s="4" t="s">
        <v>197</v>
      </c>
      <c r="H130" s="4" t="s">
        <v>227</v>
      </c>
      <c r="I130" s="6">
        <v>6000</v>
      </c>
      <c r="J130" s="6">
        <v>6000</v>
      </c>
      <c r="K130" s="6">
        <v>0</v>
      </c>
      <c r="L130" s="4" t="s">
        <v>579</v>
      </c>
      <c r="M130" s="4" t="s">
        <v>380</v>
      </c>
    </row>
    <row r="131" ht="36" customHeight="1" spans="1:13">
      <c r="A131" s="4" t="s">
        <v>515</v>
      </c>
      <c r="B131" s="5">
        <v>28</v>
      </c>
      <c r="C131" s="4" t="s">
        <v>172</v>
      </c>
      <c r="D131" s="4" t="s">
        <v>48</v>
      </c>
      <c r="E131" s="4" t="s">
        <v>66</v>
      </c>
      <c r="F131" s="4" t="s">
        <v>67</v>
      </c>
      <c r="G131" s="4" t="s">
        <v>189</v>
      </c>
      <c r="H131" s="4" t="s">
        <v>190</v>
      </c>
      <c r="I131" s="6">
        <v>9800</v>
      </c>
      <c r="J131" s="6">
        <v>9800</v>
      </c>
      <c r="K131" s="6">
        <v>0</v>
      </c>
      <c r="L131" s="4" t="s">
        <v>579</v>
      </c>
      <c r="M131" s="4" t="s">
        <v>421</v>
      </c>
    </row>
    <row r="132" ht="36" customHeight="1" spans="1:13">
      <c r="A132" s="4" t="s">
        <v>515</v>
      </c>
      <c r="B132" s="5">
        <v>31</v>
      </c>
      <c r="C132" s="4" t="s">
        <v>172</v>
      </c>
      <c r="D132" s="4" t="s">
        <v>102</v>
      </c>
      <c r="E132" s="4" t="s">
        <v>66</v>
      </c>
      <c r="F132" s="4" t="s">
        <v>67</v>
      </c>
      <c r="G132" s="4" t="s">
        <v>234</v>
      </c>
      <c r="H132" s="4" t="s">
        <v>217</v>
      </c>
      <c r="I132" s="6">
        <v>8400</v>
      </c>
      <c r="J132" s="6">
        <v>8400</v>
      </c>
      <c r="K132" s="6">
        <v>0</v>
      </c>
      <c r="L132" s="4" t="s">
        <v>579</v>
      </c>
      <c r="M132" s="4" t="s">
        <v>441</v>
      </c>
    </row>
    <row r="133" ht="18" customHeight="1" spans="1:13">
      <c r="A133" s="4" t="s">
        <v>515</v>
      </c>
      <c r="B133" s="5">
        <v>32</v>
      </c>
      <c r="C133" s="4" t="s">
        <v>172</v>
      </c>
      <c r="D133" s="4" t="s">
        <v>102</v>
      </c>
      <c r="E133" s="4" t="s">
        <v>103</v>
      </c>
      <c r="F133" s="4" t="s">
        <v>104</v>
      </c>
      <c r="G133" s="4" t="s">
        <v>234</v>
      </c>
      <c r="H133" s="4" t="s">
        <v>195</v>
      </c>
      <c r="I133" s="6">
        <v>12300</v>
      </c>
      <c r="J133" s="6">
        <v>12300</v>
      </c>
      <c r="K133" s="6">
        <v>0</v>
      </c>
      <c r="L133" s="4" t="s">
        <v>579</v>
      </c>
      <c r="M133" s="4" t="s">
        <v>443</v>
      </c>
    </row>
    <row r="134" ht="36" customHeight="1" spans="1:13">
      <c r="A134" s="4" t="s">
        <v>515</v>
      </c>
      <c r="B134" s="5">
        <v>33</v>
      </c>
      <c r="C134" s="4" t="s">
        <v>172</v>
      </c>
      <c r="D134" s="4" t="s">
        <v>102</v>
      </c>
      <c r="E134" s="4" t="s">
        <v>106</v>
      </c>
      <c r="F134" s="4" t="s">
        <v>107</v>
      </c>
      <c r="G134" s="4" t="s">
        <v>234</v>
      </c>
      <c r="H134" s="4" t="s">
        <v>217</v>
      </c>
      <c r="I134" s="6">
        <v>27500</v>
      </c>
      <c r="J134" s="6">
        <v>27500</v>
      </c>
      <c r="K134" s="6">
        <v>0</v>
      </c>
      <c r="L134" s="4" t="s">
        <v>579</v>
      </c>
      <c r="M134" s="4" t="s">
        <v>444</v>
      </c>
    </row>
    <row r="135" ht="36" customHeight="1" spans="1:13">
      <c r="A135" s="4" t="s">
        <v>515</v>
      </c>
      <c r="B135" s="5">
        <v>34</v>
      </c>
      <c r="C135" s="4" t="s">
        <v>172</v>
      </c>
      <c r="D135" s="4" t="s">
        <v>102</v>
      </c>
      <c r="E135" s="4" t="s">
        <v>66</v>
      </c>
      <c r="F135" s="4" t="s">
        <v>67</v>
      </c>
      <c r="G135" s="4" t="s">
        <v>234</v>
      </c>
      <c r="H135" s="4" t="s">
        <v>217</v>
      </c>
      <c r="I135" s="6">
        <v>8400</v>
      </c>
      <c r="J135" s="6">
        <v>8400</v>
      </c>
      <c r="K135" s="6">
        <v>0</v>
      </c>
      <c r="L135" s="4" t="s">
        <v>579</v>
      </c>
      <c r="M135" s="4" t="s">
        <v>441</v>
      </c>
    </row>
    <row r="136" ht="36" customHeight="1" spans="1:13">
      <c r="A136" s="4" t="s">
        <v>515</v>
      </c>
      <c r="B136" s="5">
        <v>37</v>
      </c>
      <c r="C136" s="4" t="s">
        <v>172</v>
      </c>
      <c r="D136" s="4" t="s">
        <v>109</v>
      </c>
      <c r="E136" s="4" t="s">
        <v>66</v>
      </c>
      <c r="F136" s="4" t="s">
        <v>67</v>
      </c>
      <c r="G136" s="4" t="s">
        <v>243</v>
      </c>
      <c r="H136" s="4" t="s">
        <v>244</v>
      </c>
      <c r="I136" s="6">
        <v>4200</v>
      </c>
      <c r="J136" s="6">
        <v>4200</v>
      </c>
      <c r="K136" s="6">
        <v>0</v>
      </c>
      <c r="L136" s="4" t="s">
        <v>579</v>
      </c>
      <c r="M136" s="4" t="s">
        <v>445</v>
      </c>
    </row>
    <row r="137" ht="18" customHeight="1" spans="1:13">
      <c r="A137" s="4" t="s">
        <v>515</v>
      </c>
      <c r="B137" s="5">
        <v>38</v>
      </c>
      <c r="C137" s="4" t="s">
        <v>172</v>
      </c>
      <c r="D137" s="4" t="s">
        <v>109</v>
      </c>
      <c r="E137" s="4" t="s">
        <v>82</v>
      </c>
      <c r="F137" s="4" t="s">
        <v>83</v>
      </c>
      <c r="G137" s="4" t="s">
        <v>243</v>
      </c>
      <c r="H137" s="4" t="s">
        <v>212</v>
      </c>
      <c r="I137" s="6">
        <v>7350</v>
      </c>
      <c r="J137" s="6">
        <v>7350</v>
      </c>
      <c r="K137" s="6">
        <v>0</v>
      </c>
      <c r="L137" s="4" t="s">
        <v>579</v>
      </c>
      <c r="M137" s="4" t="s">
        <v>431</v>
      </c>
    </row>
    <row r="138" ht="36" customHeight="1" spans="1:13">
      <c r="A138" s="4" t="s">
        <v>515</v>
      </c>
      <c r="B138" s="5">
        <v>39</v>
      </c>
      <c r="C138" s="4" t="s">
        <v>172</v>
      </c>
      <c r="D138" s="4" t="s">
        <v>109</v>
      </c>
      <c r="E138" s="4" t="s">
        <v>68</v>
      </c>
      <c r="F138" s="4" t="s">
        <v>69</v>
      </c>
      <c r="G138" s="4" t="s">
        <v>243</v>
      </c>
      <c r="H138" s="5"/>
      <c r="I138" s="6">
        <v>3000</v>
      </c>
      <c r="J138" s="6">
        <v>3000</v>
      </c>
      <c r="K138" s="6">
        <v>0</v>
      </c>
      <c r="L138" s="4" t="s">
        <v>579</v>
      </c>
      <c r="M138" s="4" t="s">
        <v>247</v>
      </c>
    </row>
    <row r="139" ht="18" customHeight="1" spans="1:13">
      <c r="A139" s="4" t="s">
        <v>515</v>
      </c>
      <c r="B139" s="5">
        <v>40</v>
      </c>
      <c r="C139" s="4" t="s">
        <v>172</v>
      </c>
      <c r="D139" s="4" t="s">
        <v>109</v>
      </c>
      <c r="E139" s="4" t="s">
        <v>84</v>
      </c>
      <c r="F139" s="4" t="s">
        <v>110</v>
      </c>
      <c r="G139" s="4" t="s">
        <v>243</v>
      </c>
      <c r="H139" s="4" t="s">
        <v>202</v>
      </c>
      <c r="I139" s="6">
        <v>9600</v>
      </c>
      <c r="J139" s="6">
        <v>9600</v>
      </c>
      <c r="K139" s="6">
        <v>0</v>
      </c>
      <c r="L139" s="4" t="s">
        <v>579</v>
      </c>
      <c r="M139" s="4" t="s">
        <v>446</v>
      </c>
    </row>
    <row r="140" ht="18" customHeight="1" spans="1:13">
      <c r="A140" s="4" t="s">
        <v>515</v>
      </c>
      <c r="B140" s="5">
        <v>41</v>
      </c>
      <c r="C140" s="4" t="s">
        <v>172</v>
      </c>
      <c r="D140" s="4" t="s">
        <v>109</v>
      </c>
      <c r="E140" s="4" t="s">
        <v>96</v>
      </c>
      <c r="F140" s="4" t="s">
        <v>97</v>
      </c>
      <c r="G140" s="4" t="s">
        <v>243</v>
      </c>
      <c r="H140" s="4" t="s">
        <v>250</v>
      </c>
      <c r="I140" s="6">
        <v>3000</v>
      </c>
      <c r="J140" s="6">
        <v>3000</v>
      </c>
      <c r="K140" s="6">
        <v>0</v>
      </c>
      <c r="L140" s="4" t="s">
        <v>579</v>
      </c>
      <c r="M140" s="4" t="s">
        <v>388</v>
      </c>
    </row>
    <row r="141" ht="18" customHeight="1" spans="1:13">
      <c r="A141" s="4" t="s">
        <v>515</v>
      </c>
      <c r="B141" s="5">
        <v>42</v>
      </c>
      <c r="C141" s="4" t="s">
        <v>172</v>
      </c>
      <c r="D141" s="4" t="s">
        <v>109</v>
      </c>
      <c r="E141" s="4" t="s">
        <v>111</v>
      </c>
      <c r="F141" s="4" t="s">
        <v>112</v>
      </c>
      <c r="G141" s="4" t="s">
        <v>243</v>
      </c>
      <c r="H141" s="4" t="s">
        <v>253</v>
      </c>
      <c r="I141" s="6">
        <v>6488</v>
      </c>
      <c r="J141" s="6">
        <v>6488</v>
      </c>
      <c r="K141" s="6">
        <v>0</v>
      </c>
      <c r="L141" s="4" t="s">
        <v>579</v>
      </c>
      <c r="M141" s="4" t="s">
        <v>447</v>
      </c>
    </row>
    <row r="142" ht="36" customHeight="1" spans="1:13">
      <c r="A142" s="4" t="s">
        <v>515</v>
      </c>
      <c r="B142" s="5">
        <v>43</v>
      </c>
      <c r="C142" s="4" t="s">
        <v>172</v>
      </c>
      <c r="D142" s="4" t="s">
        <v>109</v>
      </c>
      <c r="E142" s="4" t="s">
        <v>66</v>
      </c>
      <c r="F142" s="4" t="s">
        <v>67</v>
      </c>
      <c r="G142" s="4" t="s">
        <v>243</v>
      </c>
      <c r="H142" s="4" t="s">
        <v>244</v>
      </c>
      <c r="I142" s="6">
        <v>4200</v>
      </c>
      <c r="J142" s="6">
        <v>4200</v>
      </c>
      <c r="K142" s="6">
        <v>0</v>
      </c>
      <c r="L142" s="4" t="s">
        <v>579</v>
      </c>
      <c r="M142" s="4" t="s">
        <v>445</v>
      </c>
    </row>
    <row r="143" ht="36" customHeight="1" spans="1:13">
      <c r="A143" s="4" t="s">
        <v>515</v>
      </c>
      <c r="B143" s="5">
        <v>46</v>
      </c>
      <c r="C143" s="4" t="s">
        <v>172</v>
      </c>
      <c r="D143" s="4" t="s">
        <v>113</v>
      </c>
      <c r="E143" s="4" t="s">
        <v>66</v>
      </c>
      <c r="F143" s="4" t="s">
        <v>67</v>
      </c>
      <c r="G143" s="4" t="s">
        <v>258</v>
      </c>
      <c r="H143" s="4" t="s">
        <v>244</v>
      </c>
      <c r="I143" s="6">
        <v>4200</v>
      </c>
      <c r="J143" s="6">
        <v>4200</v>
      </c>
      <c r="K143" s="6">
        <v>0</v>
      </c>
      <c r="L143" s="4" t="s">
        <v>579</v>
      </c>
      <c r="M143" s="4" t="s">
        <v>445</v>
      </c>
    </row>
    <row r="144" ht="36" customHeight="1" spans="1:13">
      <c r="A144" s="4" t="s">
        <v>515</v>
      </c>
      <c r="B144" s="5">
        <v>47</v>
      </c>
      <c r="C144" s="4" t="s">
        <v>172</v>
      </c>
      <c r="D144" s="4" t="s">
        <v>113</v>
      </c>
      <c r="E144" s="4" t="s">
        <v>114</v>
      </c>
      <c r="F144" s="4" t="s">
        <v>115</v>
      </c>
      <c r="G144" s="4" t="s">
        <v>258</v>
      </c>
      <c r="H144" s="4" t="s">
        <v>259</v>
      </c>
      <c r="I144" s="6">
        <v>40320</v>
      </c>
      <c r="J144" s="6">
        <v>40320</v>
      </c>
      <c r="K144" s="6">
        <v>0</v>
      </c>
      <c r="L144" s="4" t="s">
        <v>579</v>
      </c>
      <c r="M144" s="4" t="s">
        <v>260</v>
      </c>
    </row>
    <row r="145" ht="36" customHeight="1" spans="1:13">
      <c r="A145" s="4" t="s">
        <v>515</v>
      </c>
      <c r="B145" s="5">
        <v>48</v>
      </c>
      <c r="C145" s="4" t="s">
        <v>172</v>
      </c>
      <c r="D145" s="4" t="s">
        <v>113</v>
      </c>
      <c r="E145" s="4" t="s">
        <v>66</v>
      </c>
      <c r="F145" s="4" t="s">
        <v>67</v>
      </c>
      <c r="G145" s="4" t="s">
        <v>258</v>
      </c>
      <c r="H145" s="4" t="s">
        <v>244</v>
      </c>
      <c r="I145" s="6">
        <v>4200</v>
      </c>
      <c r="J145" s="6">
        <v>4200</v>
      </c>
      <c r="K145" s="6">
        <v>0</v>
      </c>
      <c r="L145" s="4" t="s">
        <v>579</v>
      </c>
      <c r="M145" s="4" t="s">
        <v>445</v>
      </c>
    </row>
    <row r="146" ht="36" customHeight="1" spans="1:13">
      <c r="A146" s="4" t="s">
        <v>515</v>
      </c>
      <c r="B146" s="5">
        <v>51</v>
      </c>
      <c r="C146" s="4" t="s">
        <v>172</v>
      </c>
      <c r="D146" s="4" t="s">
        <v>116</v>
      </c>
      <c r="E146" s="4" t="s">
        <v>66</v>
      </c>
      <c r="F146" s="4" t="s">
        <v>67</v>
      </c>
      <c r="G146" s="4" t="s">
        <v>263</v>
      </c>
      <c r="H146" s="4" t="s">
        <v>244</v>
      </c>
      <c r="I146" s="6">
        <v>4200</v>
      </c>
      <c r="J146" s="6">
        <v>4200</v>
      </c>
      <c r="K146" s="6">
        <v>0</v>
      </c>
      <c r="L146" s="4" t="s">
        <v>579</v>
      </c>
      <c r="M146" s="4" t="s">
        <v>445</v>
      </c>
    </row>
    <row r="147" ht="36" customHeight="1" spans="1:13">
      <c r="A147" s="4" t="s">
        <v>515</v>
      </c>
      <c r="B147" s="5">
        <v>52</v>
      </c>
      <c r="C147" s="4" t="s">
        <v>172</v>
      </c>
      <c r="D147" s="4" t="s">
        <v>116</v>
      </c>
      <c r="E147" s="4" t="s">
        <v>117</v>
      </c>
      <c r="F147" s="4" t="s">
        <v>118</v>
      </c>
      <c r="G147" s="4" t="s">
        <v>263</v>
      </c>
      <c r="H147" s="4" t="s">
        <v>264</v>
      </c>
      <c r="I147" s="6">
        <v>288000</v>
      </c>
      <c r="J147" s="6">
        <v>288000</v>
      </c>
      <c r="K147" s="6">
        <v>0</v>
      </c>
      <c r="L147" s="4" t="s">
        <v>579</v>
      </c>
      <c r="M147" s="4" t="s">
        <v>449</v>
      </c>
    </row>
    <row r="148" ht="36" customHeight="1" spans="1:13">
      <c r="A148" s="4" t="s">
        <v>515</v>
      </c>
      <c r="B148" s="5">
        <v>53</v>
      </c>
      <c r="C148" s="4" t="s">
        <v>172</v>
      </c>
      <c r="D148" s="4" t="s">
        <v>116</v>
      </c>
      <c r="E148" s="4" t="s">
        <v>66</v>
      </c>
      <c r="F148" s="4" t="s">
        <v>67</v>
      </c>
      <c r="G148" s="4" t="s">
        <v>263</v>
      </c>
      <c r="H148" s="4" t="s">
        <v>244</v>
      </c>
      <c r="I148" s="6">
        <v>4200</v>
      </c>
      <c r="J148" s="6">
        <v>4200</v>
      </c>
      <c r="K148" s="6">
        <v>0</v>
      </c>
      <c r="L148" s="4" t="s">
        <v>579</v>
      </c>
      <c r="M148" s="4" t="s">
        <v>445</v>
      </c>
    </row>
    <row r="149" ht="36" customHeight="1" spans="1:13">
      <c r="A149" s="4" t="s">
        <v>515</v>
      </c>
      <c r="B149" s="5">
        <v>56</v>
      </c>
      <c r="C149" s="4" t="s">
        <v>172</v>
      </c>
      <c r="D149" s="4" t="s">
        <v>394</v>
      </c>
      <c r="E149" s="4" t="s">
        <v>66</v>
      </c>
      <c r="F149" s="4" t="s">
        <v>67</v>
      </c>
      <c r="G149" s="4" t="s">
        <v>268</v>
      </c>
      <c r="H149" s="4" t="s">
        <v>244</v>
      </c>
      <c r="I149" s="6">
        <v>4200</v>
      </c>
      <c r="J149" s="6">
        <v>4200</v>
      </c>
      <c r="K149" s="6">
        <v>0</v>
      </c>
      <c r="L149" s="4" t="s">
        <v>579</v>
      </c>
      <c r="M149" s="4" t="s">
        <v>445</v>
      </c>
    </row>
    <row r="150" ht="18" customHeight="1" spans="1:13">
      <c r="A150" s="4" t="s">
        <v>515</v>
      </c>
      <c r="B150" s="5">
        <v>57</v>
      </c>
      <c r="C150" s="4" t="s">
        <v>172</v>
      </c>
      <c r="D150" s="4" t="s">
        <v>394</v>
      </c>
      <c r="E150" s="4" t="s">
        <v>120</v>
      </c>
      <c r="F150" s="4" t="s">
        <v>121</v>
      </c>
      <c r="G150" s="4" t="s">
        <v>268</v>
      </c>
      <c r="H150" s="4" t="s">
        <v>271</v>
      </c>
      <c r="I150" s="6">
        <v>50850</v>
      </c>
      <c r="J150" s="6">
        <v>50850</v>
      </c>
      <c r="K150" s="6">
        <v>0</v>
      </c>
      <c r="L150" s="4" t="s">
        <v>579</v>
      </c>
      <c r="M150" s="4" t="s">
        <v>451</v>
      </c>
    </row>
    <row r="151" ht="36" customHeight="1" spans="1:13">
      <c r="A151" s="4" t="s">
        <v>515</v>
      </c>
      <c r="B151" s="5">
        <v>58</v>
      </c>
      <c r="C151" s="4" t="s">
        <v>172</v>
      </c>
      <c r="D151" s="4" t="s">
        <v>394</v>
      </c>
      <c r="E151" s="4" t="s">
        <v>66</v>
      </c>
      <c r="F151" s="4" t="s">
        <v>67</v>
      </c>
      <c r="G151" s="4" t="s">
        <v>268</v>
      </c>
      <c r="H151" s="4" t="s">
        <v>244</v>
      </c>
      <c r="I151" s="6">
        <v>4200</v>
      </c>
      <c r="J151" s="6">
        <v>4200</v>
      </c>
      <c r="K151" s="6">
        <v>0</v>
      </c>
      <c r="L151" s="4" t="s">
        <v>579</v>
      </c>
      <c r="M151" s="4" t="s">
        <v>445</v>
      </c>
    </row>
    <row r="152" ht="53" customHeight="1" spans="1:13">
      <c r="A152" s="4" t="s">
        <v>515</v>
      </c>
      <c r="B152" s="5">
        <v>59</v>
      </c>
      <c r="C152" s="4" t="s">
        <v>172</v>
      </c>
      <c r="D152" s="4" t="s">
        <v>394</v>
      </c>
      <c r="E152" s="4" t="s">
        <v>123</v>
      </c>
      <c r="F152" s="4" t="s">
        <v>123</v>
      </c>
      <c r="G152" s="4" t="s">
        <v>268</v>
      </c>
      <c r="H152" s="4" t="s">
        <v>333</v>
      </c>
      <c r="I152" s="6">
        <v>16500</v>
      </c>
      <c r="J152" s="6">
        <v>16500</v>
      </c>
      <c r="K152" s="6">
        <v>0</v>
      </c>
      <c r="L152" s="4" t="s">
        <v>579</v>
      </c>
      <c r="M152" s="4" t="s">
        <v>452</v>
      </c>
    </row>
    <row r="153" ht="36" customHeight="1" spans="1:13">
      <c r="A153" s="4" t="s">
        <v>515</v>
      </c>
      <c r="B153" s="5">
        <v>62</v>
      </c>
      <c r="C153" s="4" t="s">
        <v>172</v>
      </c>
      <c r="D153" s="4" t="s">
        <v>399</v>
      </c>
      <c r="E153" s="4" t="s">
        <v>66</v>
      </c>
      <c r="F153" s="4" t="s">
        <v>67</v>
      </c>
      <c r="G153" s="4" t="s">
        <v>280</v>
      </c>
      <c r="H153" s="4" t="s">
        <v>244</v>
      </c>
      <c r="I153" s="6">
        <v>4200</v>
      </c>
      <c r="J153" s="6">
        <v>4200</v>
      </c>
      <c r="K153" s="6">
        <v>0</v>
      </c>
      <c r="L153" s="4" t="s">
        <v>579</v>
      </c>
      <c r="M153" s="4" t="s">
        <v>445</v>
      </c>
    </row>
    <row r="154" ht="36" customHeight="1" spans="1:13">
      <c r="A154" s="4" t="s">
        <v>515</v>
      </c>
      <c r="B154" s="5">
        <v>63</v>
      </c>
      <c r="C154" s="4" t="s">
        <v>172</v>
      </c>
      <c r="D154" s="4" t="s">
        <v>399</v>
      </c>
      <c r="E154" s="4" t="s">
        <v>125</v>
      </c>
      <c r="F154" s="4" t="s">
        <v>126</v>
      </c>
      <c r="G154" s="4" t="s">
        <v>280</v>
      </c>
      <c r="H154" s="4" t="s">
        <v>207</v>
      </c>
      <c r="I154" s="6">
        <v>5000</v>
      </c>
      <c r="J154" s="6">
        <v>5000</v>
      </c>
      <c r="K154" s="6">
        <v>0</v>
      </c>
      <c r="L154" s="4" t="s">
        <v>579</v>
      </c>
      <c r="M154" s="4" t="s">
        <v>428</v>
      </c>
    </row>
    <row r="155" ht="36" customHeight="1" spans="1:13">
      <c r="A155" s="4" t="s">
        <v>515</v>
      </c>
      <c r="B155" s="5">
        <v>64</v>
      </c>
      <c r="C155" s="4" t="s">
        <v>172</v>
      </c>
      <c r="D155" s="4" t="s">
        <v>399</v>
      </c>
      <c r="E155" s="4" t="s">
        <v>66</v>
      </c>
      <c r="F155" s="4" t="s">
        <v>67</v>
      </c>
      <c r="G155" s="4" t="s">
        <v>280</v>
      </c>
      <c r="H155" s="4" t="s">
        <v>244</v>
      </c>
      <c r="I155" s="6">
        <v>4200</v>
      </c>
      <c r="J155" s="6">
        <v>4200</v>
      </c>
      <c r="K155" s="6">
        <v>0</v>
      </c>
      <c r="L155" s="4" t="s">
        <v>579</v>
      </c>
      <c r="M155" s="4" t="s">
        <v>445</v>
      </c>
    </row>
    <row r="156" ht="36" customHeight="1" spans="1:13">
      <c r="A156" s="4" t="s">
        <v>515</v>
      </c>
      <c r="B156" s="5">
        <v>67</v>
      </c>
      <c r="C156" s="4" t="s">
        <v>172</v>
      </c>
      <c r="D156" s="4" t="s">
        <v>127</v>
      </c>
      <c r="E156" s="4" t="s">
        <v>66</v>
      </c>
      <c r="F156" s="4" t="s">
        <v>67</v>
      </c>
      <c r="G156" s="4" t="s">
        <v>283</v>
      </c>
      <c r="H156" s="4" t="s">
        <v>244</v>
      </c>
      <c r="I156" s="6">
        <v>4200</v>
      </c>
      <c r="J156" s="6">
        <v>4200</v>
      </c>
      <c r="K156" s="6">
        <v>0</v>
      </c>
      <c r="L156" s="4" t="s">
        <v>579</v>
      </c>
      <c r="M156" s="4" t="s">
        <v>445</v>
      </c>
    </row>
    <row r="157" ht="36" customHeight="1" spans="1:13">
      <c r="A157" s="4" t="s">
        <v>515</v>
      </c>
      <c r="B157" s="5">
        <v>68</v>
      </c>
      <c r="C157" s="4" t="s">
        <v>172</v>
      </c>
      <c r="D157" s="4" t="s">
        <v>127</v>
      </c>
      <c r="E157" s="4" t="s">
        <v>128</v>
      </c>
      <c r="F157" s="4" t="s">
        <v>129</v>
      </c>
      <c r="G157" s="4" t="s">
        <v>283</v>
      </c>
      <c r="H157" s="4" t="s">
        <v>284</v>
      </c>
      <c r="I157" s="6">
        <v>15000</v>
      </c>
      <c r="J157" s="6">
        <v>15000</v>
      </c>
      <c r="K157" s="6">
        <v>0</v>
      </c>
      <c r="L157" s="4" t="s">
        <v>579</v>
      </c>
      <c r="M157" s="4" t="s">
        <v>455</v>
      </c>
    </row>
    <row r="158" ht="36" customHeight="1" spans="1:13">
      <c r="A158" s="4" t="s">
        <v>515</v>
      </c>
      <c r="B158" s="5">
        <v>69</v>
      </c>
      <c r="C158" s="4" t="s">
        <v>172</v>
      </c>
      <c r="D158" s="4" t="s">
        <v>127</v>
      </c>
      <c r="E158" s="4" t="s">
        <v>66</v>
      </c>
      <c r="F158" s="4" t="s">
        <v>67</v>
      </c>
      <c r="G158" s="4" t="s">
        <v>283</v>
      </c>
      <c r="H158" s="4" t="s">
        <v>244</v>
      </c>
      <c r="I158" s="6">
        <v>4200</v>
      </c>
      <c r="J158" s="6">
        <v>4200</v>
      </c>
      <c r="K158" s="6">
        <v>0</v>
      </c>
      <c r="L158" s="4" t="s">
        <v>579</v>
      </c>
      <c r="M158" s="4" t="s">
        <v>445</v>
      </c>
    </row>
    <row r="159" ht="36" customHeight="1" spans="1:13">
      <c r="A159" s="4" t="s">
        <v>515</v>
      </c>
      <c r="B159" s="5">
        <v>72</v>
      </c>
      <c r="C159" s="4" t="s">
        <v>172</v>
      </c>
      <c r="D159" s="4" t="s">
        <v>130</v>
      </c>
      <c r="E159" s="4" t="s">
        <v>66</v>
      </c>
      <c r="F159" s="4" t="s">
        <v>67</v>
      </c>
      <c r="G159" s="4" t="s">
        <v>288</v>
      </c>
      <c r="H159" s="4" t="s">
        <v>244</v>
      </c>
      <c r="I159" s="6">
        <v>4200</v>
      </c>
      <c r="J159" s="6">
        <v>4200</v>
      </c>
      <c r="K159" s="6">
        <v>0</v>
      </c>
      <c r="L159" s="4" t="s">
        <v>579</v>
      </c>
      <c r="M159" s="4" t="s">
        <v>445</v>
      </c>
    </row>
    <row r="160" ht="36" customHeight="1" spans="1:13">
      <c r="A160" s="4" t="s">
        <v>515</v>
      </c>
      <c r="B160" s="5">
        <v>73</v>
      </c>
      <c r="C160" s="4" t="s">
        <v>172</v>
      </c>
      <c r="D160" s="4" t="s">
        <v>130</v>
      </c>
      <c r="E160" s="4" t="s">
        <v>131</v>
      </c>
      <c r="F160" s="4" t="s">
        <v>132</v>
      </c>
      <c r="G160" s="4" t="s">
        <v>288</v>
      </c>
      <c r="H160" s="4" t="s">
        <v>284</v>
      </c>
      <c r="I160" s="6">
        <v>20000</v>
      </c>
      <c r="J160" s="6">
        <v>20000</v>
      </c>
      <c r="K160" s="6">
        <v>0</v>
      </c>
      <c r="L160" s="4" t="s">
        <v>579</v>
      </c>
      <c r="M160" s="4" t="s">
        <v>457</v>
      </c>
    </row>
    <row r="161" ht="36" customHeight="1" spans="1:13">
      <c r="A161" s="4" t="s">
        <v>515</v>
      </c>
      <c r="B161" s="5">
        <v>74</v>
      </c>
      <c r="C161" s="4" t="s">
        <v>172</v>
      </c>
      <c r="D161" s="4" t="s">
        <v>130</v>
      </c>
      <c r="E161" s="4" t="s">
        <v>66</v>
      </c>
      <c r="F161" s="4" t="s">
        <v>67</v>
      </c>
      <c r="G161" s="4" t="s">
        <v>288</v>
      </c>
      <c r="H161" s="4" t="s">
        <v>244</v>
      </c>
      <c r="I161" s="6">
        <v>4200</v>
      </c>
      <c r="J161" s="6">
        <v>4200</v>
      </c>
      <c r="K161" s="6">
        <v>0</v>
      </c>
      <c r="L161" s="4" t="s">
        <v>579</v>
      </c>
      <c r="M161" s="4" t="s">
        <v>445</v>
      </c>
    </row>
    <row r="162" ht="36" customHeight="1" spans="1:13">
      <c r="A162" s="4" t="s">
        <v>515</v>
      </c>
      <c r="B162" s="5">
        <v>77</v>
      </c>
      <c r="C162" s="4" t="s">
        <v>172</v>
      </c>
      <c r="D162" s="4" t="s">
        <v>133</v>
      </c>
      <c r="E162" s="4" t="s">
        <v>66</v>
      </c>
      <c r="F162" s="4" t="s">
        <v>67</v>
      </c>
      <c r="G162" s="4" t="s">
        <v>291</v>
      </c>
      <c r="H162" s="4" t="s">
        <v>244</v>
      </c>
      <c r="I162" s="6">
        <v>4200</v>
      </c>
      <c r="J162" s="6">
        <v>4200</v>
      </c>
      <c r="K162" s="6">
        <v>0</v>
      </c>
      <c r="L162" s="4" t="s">
        <v>579</v>
      </c>
      <c r="M162" s="4" t="s">
        <v>445</v>
      </c>
    </row>
    <row r="163" ht="36" customHeight="1" spans="1:13">
      <c r="A163" s="4" t="s">
        <v>515</v>
      </c>
      <c r="B163" s="5">
        <v>78</v>
      </c>
      <c r="C163" s="4" t="s">
        <v>172</v>
      </c>
      <c r="D163" s="4" t="s">
        <v>133</v>
      </c>
      <c r="E163" s="4" t="s">
        <v>131</v>
      </c>
      <c r="F163" s="4" t="s">
        <v>134</v>
      </c>
      <c r="G163" s="4" t="s">
        <v>291</v>
      </c>
      <c r="H163" s="4" t="s">
        <v>292</v>
      </c>
      <c r="I163" s="6">
        <v>22000</v>
      </c>
      <c r="J163" s="6">
        <v>22000</v>
      </c>
      <c r="K163" s="6">
        <v>0</v>
      </c>
      <c r="L163" s="4" t="s">
        <v>579</v>
      </c>
      <c r="M163" s="4" t="s">
        <v>458</v>
      </c>
    </row>
    <row r="164" ht="36" customHeight="1" spans="1:13">
      <c r="A164" s="4" t="s">
        <v>515</v>
      </c>
      <c r="B164" s="5">
        <v>79</v>
      </c>
      <c r="C164" s="4" t="s">
        <v>172</v>
      </c>
      <c r="D164" s="4" t="s">
        <v>133</v>
      </c>
      <c r="E164" s="4" t="s">
        <v>66</v>
      </c>
      <c r="F164" s="4" t="s">
        <v>67</v>
      </c>
      <c r="G164" s="4" t="s">
        <v>291</v>
      </c>
      <c r="H164" s="4" t="s">
        <v>244</v>
      </c>
      <c r="I164" s="6">
        <v>4200</v>
      </c>
      <c r="J164" s="6">
        <v>4200</v>
      </c>
      <c r="K164" s="6">
        <v>0</v>
      </c>
      <c r="L164" s="4" t="s">
        <v>579</v>
      </c>
      <c r="M164" s="4" t="s">
        <v>445</v>
      </c>
    </row>
    <row r="165" ht="36" customHeight="1" spans="1:13">
      <c r="A165" s="4" t="s">
        <v>515</v>
      </c>
      <c r="B165" s="5">
        <v>82</v>
      </c>
      <c r="C165" s="4" t="s">
        <v>172</v>
      </c>
      <c r="D165" s="4" t="s">
        <v>405</v>
      </c>
      <c r="E165" s="4" t="s">
        <v>66</v>
      </c>
      <c r="F165" s="4" t="s">
        <v>67</v>
      </c>
      <c r="G165" s="4" t="s">
        <v>296</v>
      </c>
      <c r="H165" s="4" t="s">
        <v>244</v>
      </c>
      <c r="I165" s="6">
        <v>4200</v>
      </c>
      <c r="J165" s="6">
        <v>4200</v>
      </c>
      <c r="K165" s="6">
        <v>0</v>
      </c>
      <c r="L165" s="4" t="s">
        <v>579</v>
      </c>
      <c r="M165" s="4" t="s">
        <v>445</v>
      </c>
    </row>
    <row r="166" ht="18" customHeight="1" spans="1:13">
      <c r="A166" s="4" t="s">
        <v>515</v>
      </c>
      <c r="B166" s="5">
        <v>83</v>
      </c>
      <c r="C166" s="4" t="s">
        <v>172</v>
      </c>
      <c r="D166" s="4" t="s">
        <v>405</v>
      </c>
      <c r="E166" s="4" t="s">
        <v>137</v>
      </c>
      <c r="F166" s="4" t="s">
        <v>297</v>
      </c>
      <c r="G166" s="4" t="s">
        <v>296</v>
      </c>
      <c r="H166" s="4" t="s">
        <v>198</v>
      </c>
      <c r="I166" s="6">
        <v>7200</v>
      </c>
      <c r="J166" s="6">
        <v>7200</v>
      </c>
      <c r="K166" s="6">
        <v>0</v>
      </c>
      <c r="L166" s="4" t="s">
        <v>579</v>
      </c>
      <c r="M166" s="4" t="s">
        <v>460</v>
      </c>
    </row>
    <row r="167" ht="36" customHeight="1" spans="1:13">
      <c r="A167" s="4" t="s">
        <v>515</v>
      </c>
      <c r="B167" s="5">
        <v>84</v>
      </c>
      <c r="C167" s="4" t="s">
        <v>172</v>
      </c>
      <c r="D167" s="4" t="s">
        <v>405</v>
      </c>
      <c r="E167" s="4" t="s">
        <v>66</v>
      </c>
      <c r="F167" s="4" t="s">
        <v>67</v>
      </c>
      <c r="G167" s="4" t="s">
        <v>296</v>
      </c>
      <c r="H167" s="4" t="s">
        <v>244</v>
      </c>
      <c r="I167" s="6">
        <v>4200</v>
      </c>
      <c r="J167" s="6">
        <v>4200</v>
      </c>
      <c r="K167" s="6">
        <v>0</v>
      </c>
      <c r="L167" s="4" t="s">
        <v>579</v>
      </c>
      <c r="M167" s="4" t="s">
        <v>445</v>
      </c>
    </row>
    <row r="168" ht="36" customHeight="1" spans="1:13">
      <c r="A168" s="4" t="s">
        <v>515</v>
      </c>
      <c r="B168" s="5">
        <v>90</v>
      </c>
      <c r="C168" s="4" t="s">
        <v>175</v>
      </c>
      <c r="D168" s="4" t="s">
        <v>48</v>
      </c>
      <c r="E168" s="4" t="s">
        <v>66</v>
      </c>
      <c r="F168" s="4" t="s">
        <v>67</v>
      </c>
      <c r="G168" s="4" t="s">
        <v>189</v>
      </c>
      <c r="H168" s="4" t="s">
        <v>190</v>
      </c>
      <c r="I168" s="6">
        <v>9800</v>
      </c>
      <c r="J168" s="6">
        <v>9800</v>
      </c>
      <c r="K168" s="6">
        <v>0</v>
      </c>
      <c r="L168" s="4" t="s">
        <v>579</v>
      </c>
      <c r="M168" s="4" t="s">
        <v>421</v>
      </c>
    </row>
    <row r="169" ht="18" customHeight="1" spans="1:13">
      <c r="A169" s="4" t="s">
        <v>515</v>
      </c>
      <c r="B169" s="5">
        <v>91</v>
      </c>
      <c r="C169" s="4" t="s">
        <v>175</v>
      </c>
      <c r="D169" s="4" t="s">
        <v>48</v>
      </c>
      <c r="E169" s="4" t="s">
        <v>68</v>
      </c>
      <c r="F169" s="4" t="s">
        <v>69</v>
      </c>
      <c r="G169" s="4" t="s">
        <v>197</v>
      </c>
      <c r="H169" s="5"/>
      <c r="I169" s="6">
        <v>24000</v>
      </c>
      <c r="J169" s="6">
        <v>24000</v>
      </c>
      <c r="K169" s="6">
        <v>0</v>
      </c>
      <c r="L169" s="4" t="s">
        <v>579</v>
      </c>
      <c r="M169" s="4" t="s">
        <v>423</v>
      </c>
    </row>
    <row r="170" ht="18" customHeight="1" spans="1:13">
      <c r="A170" s="4" t="s">
        <v>515</v>
      </c>
      <c r="B170" s="5">
        <v>92</v>
      </c>
      <c r="C170" s="4" t="s">
        <v>175</v>
      </c>
      <c r="D170" s="4" t="s">
        <v>48</v>
      </c>
      <c r="E170" s="4" t="s">
        <v>70</v>
      </c>
      <c r="F170" s="4" t="s">
        <v>71</v>
      </c>
      <c r="G170" s="4" t="s">
        <v>197</v>
      </c>
      <c r="H170" s="4" t="s">
        <v>202</v>
      </c>
      <c r="I170" s="6">
        <v>600</v>
      </c>
      <c r="J170" s="6">
        <v>600</v>
      </c>
      <c r="K170" s="6">
        <v>0</v>
      </c>
      <c r="L170" s="4" t="s">
        <v>579</v>
      </c>
      <c r="M170" s="4" t="s">
        <v>425</v>
      </c>
    </row>
    <row r="171" ht="18" customHeight="1" spans="1:13">
      <c r="A171" s="4" t="s">
        <v>515</v>
      </c>
      <c r="B171" s="5">
        <v>93</v>
      </c>
      <c r="C171" s="4" t="s">
        <v>175</v>
      </c>
      <c r="D171" s="4" t="s">
        <v>48</v>
      </c>
      <c r="E171" s="4" t="s">
        <v>72</v>
      </c>
      <c r="F171" s="4" t="s">
        <v>73</v>
      </c>
      <c r="G171" s="4" t="s">
        <v>197</v>
      </c>
      <c r="H171" s="4" t="s">
        <v>202</v>
      </c>
      <c r="I171" s="6">
        <v>600</v>
      </c>
      <c r="J171" s="6">
        <v>600</v>
      </c>
      <c r="K171" s="6">
        <v>0</v>
      </c>
      <c r="L171" s="4" t="s">
        <v>579</v>
      </c>
      <c r="M171" s="4" t="s">
        <v>425</v>
      </c>
    </row>
    <row r="172" ht="18" customHeight="1" spans="1:13">
      <c r="A172" s="4" t="s">
        <v>515</v>
      </c>
      <c r="B172" s="5">
        <v>94</v>
      </c>
      <c r="C172" s="4" t="s">
        <v>175</v>
      </c>
      <c r="D172" s="4" t="s">
        <v>48</v>
      </c>
      <c r="E172" s="4" t="s">
        <v>74</v>
      </c>
      <c r="F172" s="4" t="s">
        <v>75</v>
      </c>
      <c r="G172" s="4" t="s">
        <v>197</v>
      </c>
      <c r="H172" s="4" t="s">
        <v>202</v>
      </c>
      <c r="I172" s="6">
        <v>600</v>
      </c>
      <c r="J172" s="6">
        <v>600</v>
      </c>
      <c r="K172" s="6">
        <v>0</v>
      </c>
      <c r="L172" s="4" t="s">
        <v>579</v>
      </c>
      <c r="M172" s="4" t="s">
        <v>425</v>
      </c>
    </row>
    <row r="173" ht="18" customHeight="1" spans="1:13">
      <c r="A173" s="4" t="s">
        <v>515</v>
      </c>
      <c r="B173" s="5">
        <v>95</v>
      </c>
      <c r="C173" s="4" t="s">
        <v>175</v>
      </c>
      <c r="D173" s="4" t="s">
        <v>48</v>
      </c>
      <c r="E173" s="4" t="s">
        <v>76</v>
      </c>
      <c r="F173" s="4" t="s">
        <v>77</v>
      </c>
      <c r="G173" s="4" t="s">
        <v>197</v>
      </c>
      <c r="H173" s="4" t="s">
        <v>205</v>
      </c>
      <c r="I173" s="6">
        <v>2400</v>
      </c>
      <c r="J173" s="6">
        <v>2400</v>
      </c>
      <c r="K173" s="6">
        <v>0</v>
      </c>
      <c r="L173" s="4" t="s">
        <v>579</v>
      </c>
      <c r="M173" s="4" t="s">
        <v>426</v>
      </c>
    </row>
    <row r="174" ht="18" customHeight="1" spans="1:13">
      <c r="A174" s="4" t="s">
        <v>515</v>
      </c>
      <c r="B174" s="5">
        <v>96</v>
      </c>
      <c r="C174" s="4" t="s">
        <v>175</v>
      </c>
      <c r="D174" s="4" t="s">
        <v>48</v>
      </c>
      <c r="E174" s="4" t="s">
        <v>78</v>
      </c>
      <c r="F174" s="4" t="s">
        <v>79</v>
      </c>
      <c r="G174" s="4" t="s">
        <v>197</v>
      </c>
      <c r="H174" s="4" t="s">
        <v>207</v>
      </c>
      <c r="I174" s="6">
        <v>5000</v>
      </c>
      <c r="J174" s="6">
        <v>5000</v>
      </c>
      <c r="K174" s="6">
        <v>0</v>
      </c>
      <c r="L174" s="4" t="s">
        <v>579</v>
      </c>
      <c r="M174" s="4" t="s">
        <v>428</v>
      </c>
    </row>
    <row r="175" ht="18" customHeight="1" spans="1:13">
      <c r="A175" s="4" t="s">
        <v>515</v>
      </c>
      <c r="B175" s="5">
        <v>97</v>
      </c>
      <c r="C175" s="4" t="s">
        <v>175</v>
      </c>
      <c r="D175" s="4" t="s">
        <v>48</v>
      </c>
      <c r="E175" s="4" t="s">
        <v>80</v>
      </c>
      <c r="F175" s="4" t="s">
        <v>81</v>
      </c>
      <c r="G175" s="4" t="s">
        <v>197</v>
      </c>
      <c r="H175" s="4" t="s">
        <v>210</v>
      </c>
      <c r="I175" s="6">
        <v>6000</v>
      </c>
      <c r="J175" s="6">
        <v>6000</v>
      </c>
      <c r="K175" s="6">
        <v>0</v>
      </c>
      <c r="L175" s="4" t="s">
        <v>579</v>
      </c>
      <c r="M175" s="4" t="s">
        <v>429</v>
      </c>
    </row>
    <row r="176" ht="18" customHeight="1" spans="1:13">
      <c r="A176" s="4" t="s">
        <v>515</v>
      </c>
      <c r="B176" s="5">
        <v>98</v>
      </c>
      <c r="C176" s="4" t="s">
        <v>175</v>
      </c>
      <c r="D176" s="4" t="s">
        <v>48</v>
      </c>
      <c r="E176" s="4" t="s">
        <v>82</v>
      </c>
      <c r="F176" s="4" t="s">
        <v>83</v>
      </c>
      <c r="G176" s="4" t="s">
        <v>197</v>
      </c>
      <c r="H176" s="4" t="s">
        <v>212</v>
      </c>
      <c r="I176" s="6">
        <v>7350</v>
      </c>
      <c r="J176" s="6">
        <v>7350</v>
      </c>
      <c r="K176" s="6">
        <v>0</v>
      </c>
      <c r="L176" s="4" t="s">
        <v>579</v>
      </c>
      <c r="M176" s="4" t="s">
        <v>431</v>
      </c>
    </row>
    <row r="177" ht="18" customHeight="1" spans="1:13">
      <c r="A177" s="4" t="s">
        <v>515</v>
      </c>
      <c r="B177" s="5">
        <v>99</v>
      </c>
      <c r="C177" s="4" t="s">
        <v>175</v>
      </c>
      <c r="D177" s="4" t="s">
        <v>48</v>
      </c>
      <c r="E177" s="4" t="s">
        <v>84</v>
      </c>
      <c r="F177" s="4" t="s">
        <v>85</v>
      </c>
      <c r="G177" s="4" t="s">
        <v>197</v>
      </c>
      <c r="H177" s="4" t="s">
        <v>208</v>
      </c>
      <c r="I177" s="6">
        <v>19200</v>
      </c>
      <c r="J177" s="6">
        <v>19200</v>
      </c>
      <c r="K177" s="6">
        <v>0</v>
      </c>
      <c r="L177" s="4" t="s">
        <v>579</v>
      </c>
      <c r="M177" s="4" t="s">
        <v>433</v>
      </c>
    </row>
    <row r="178" ht="36" customHeight="1" spans="1:13">
      <c r="A178" s="4" t="s">
        <v>515</v>
      </c>
      <c r="B178" s="5">
        <v>100</v>
      </c>
      <c r="C178" s="4" t="s">
        <v>175</v>
      </c>
      <c r="D178" s="4" t="s">
        <v>48</v>
      </c>
      <c r="E178" s="4" t="s">
        <v>86</v>
      </c>
      <c r="F178" s="4" t="s">
        <v>87</v>
      </c>
      <c r="G178" s="4" t="s">
        <v>189</v>
      </c>
      <c r="H178" s="4" t="s">
        <v>190</v>
      </c>
      <c r="I178" s="6">
        <v>1680</v>
      </c>
      <c r="J178" s="6">
        <v>1680</v>
      </c>
      <c r="K178" s="6">
        <v>0</v>
      </c>
      <c r="L178" s="4" t="s">
        <v>579</v>
      </c>
      <c r="M178" s="4" t="s">
        <v>435</v>
      </c>
    </row>
    <row r="179" ht="18" customHeight="1" spans="1:13">
      <c r="A179" s="4" t="s">
        <v>515</v>
      </c>
      <c r="B179" s="5">
        <v>101</v>
      </c>
      <c r="C179" s="4" t="s">
        <v>175</v>
      </c>
      <c r="D179" s="4" t="s">
        <v>48</v>
      </c>
      <c r="E179" s="4" t="s">
        <v>88</v>
      </c>
      <c r="F179" s="4" t="s">
        <v>89</v>
      </c>
      <c r="G179" s="4" t="s">
        <v>197</v>
      </c>
      <c r="H179" s="4" t="s">
        <v>217</v>
      </c>
      <c r="I179" s="6">
        <v>2004</v>
      </c>
      <c r="J179" s="6">
        <v>2004</v>
      </c>
      <c r="K179" s="6">
        <v>0</v>
      </c>
      <c r="L179" s="4" t="s">
        <v>579</v>
      </c>
      <c r="M179" s="4" t="s">
        <v>437</v>
      </c>
    </row>
    <row r="180" ht="18" customHeight="1" spans="1:13">
      <c r="A180" s="4" t="s">
        <v>515</v>
      </c>
      <c r="B180" s="5">
        <v>102</v>
      </c>
      <c r="C180" s="4" t="s">
        <v>175</v>
      </c>
      <c r="D180" s="4" t="s">
        <v>48</v>
      </c>
      <c r="E180" s="4" t="s">
        <v>90</v>
      </c>
      <c r="F180" s="4" t="s">
        <v>91</v>
      </c>
      <c r="G180" s="4" t="s">
        <v>197</v>
      </c>
      <c r="H180" s="4" t="s">
        <v>217</v>
      </c>
      <c r="I180" s="6">
        <v>120000</v>
      </c>
      <c r="J180" s="6">
        <v>120000</v>
      </c>
      <c r="K180" s="6">
        <v>0</v>
      </c>
      <c r="L180" s="4" t="s">
        <v>579</v>
      </c>
      <c r="M180" s="4" t="s">
        <v>439</v>
      </c>
    </row>
    <row r="181" ht="18" customHeight="1" spans="1:13">
      <c r="A181" s="4" t="s">
        <v>515</v>
      </c>
      <c r="B181" s="5">
        <v>103</v>
      </c>
      <c r="C181" s="4" t="s">
        <v>175</v>
      </c>
      <c r="D181" s="4" t="s">
        <v>48</v>
      </c>
      <c r="E181" s="4" t="s">
        <v>92</v>
      </c>
      <c r="F181" s="4" t="s">
        <v>93</v>
      </c>
      <c r="G181" s="4" t="s">
        <v>197</v>
      </c>
      <c r="H181" s="4" t="s">
        <v>222</v>
      </c>
      <c r="I181" s="6">
        <v>6600</v>
      </c>
      <c r="J181" s="6">
        <v>6600</v>
      </c>
      <c r="K181" s="6">
        <v>0</v>
      </c>
      <c r="L181" s="4" t="s">
        <v>579</v>
      </c>
      <c r="M181" s="4" t="s">
        <v>440</v>
      </c>
    </row>
    <row r="182" ht="18" customHeight="1" spans="1:13">
      <c r="A182" s="4" t="s">
        <v>515</v>
      </c>
      <c r="B182" s="5">
        <v>104</v>
      </c>
      <c r="C182" s="4" t="s">
        <v>175</v>
      </c>
      <c r="D182" s="4" t="s">
        <v>48</v>
      </c>
      <c r="E182" s="4" t="s">
        <v>94</v>
      </c>
      <c r="F182" s="4" t="s">
        <v>95</v>
      </c>
      <c r="G182" s="4" t="s">
        <v>197</v>
      </c>
      <c r="H182" s="4" t="s">
        <v>217</v>
      </c>
      <c r="I182" s="6">
        <v>6000</v>
      </c>
      <c r="J182" s="6">
        <v>6000</v>
      </c>
      <c r="K182" s="6">
        <v>0</v>
      </c>
      <c r="L182" s="4" t="s">
        <v>579</v>
      </c>
      <c r="M182" s="4" t="s">
        <v>225</v>
      </c>
    </row>
    <row r="183" ht="18" customHeight="1" spans="1:13">
      <c r="A183" s="4" t="s">
        <v>515</v>
      </c>
      <c r="B183" s="5">
        <v>105</v>
      </c>
      <c r="C183" s="4" t="s">
        <v>175</v>
      </c>
      <c r="D183" s="4" t="s">
        <v>48</v>
      </c>
      <c r="E183" s="4" t="s">
        <v>96</v>
      </c>
      <c r="F183" s="4" t="s">
        <v>97</v>
      </c>
      <c r="G183" s="4" t="s">
        <v>197</v>
      </c>
      <c r="H183" s="4" t="s">
        <v>227</v>
      </c>
      <c r="I183" s="6">
        <v>6000</v>
      </c>
      <c r="J183" s="6">
        <v>6000</v>
      </c>
      <c r="K183" s="6">
        <v>0</v>
      </c>
      <c r="L183" s="4" t="s">
        <v>579</v>
      </c>
      <c r="M183" s="4" t="s">
        <v>380</v>
      </c>
    </row>
    <row r="184" ht="36" customHeight="1" spans="1:13">
      <c r="A184" s="4" t="s">
        <v>515</v>
      </c>
      <c r="B184" s="5">
        <v>106</v>
      </c>
      <c r="C184" s="4" t="s">
        <v>175</v>
      </c>
      <c r="D184" s="4" t="s">
        <v>48</v>
      </c>
      <c r="E184" s="4" t="s">
        <v>66</v>
      </c>
      <c r="F184" s="4" t="s">
        <v>67</v>
      </c>
      <c r="G184" s="4" t="s">
        <v>189</v>
      </c>
      <c r="H184" s="4" t="s">
        <v>190</v>
      </c>
      <c r="I184" s="6">
        <v>9800</v>
      </c>
      <c r="J184" s="6">
        <v>9800</v>
      </c>
      <c r="K184" s="6">
        <v>0</v>
      </c>
      <c r="L184" s="4" t="s">
        <v>579</v>
      </c>
      <c r="M184" s="4" t="s">
        <v>421</v>
      </c>
    </row>
    <row r="185" ht="36" customHeight="1" spans="1:13">
      <c r="A185" s="4" t="s">
        <v>515</v>
      </c>
      <c r="B185" s="5">
        <v>109</v>
      </c>
      <c r="C185" s="4" t="s">
        <v>175</v>
      </c>
      <c r="D185" s="4" t="s">
        <v>102</v>
      </c>
      <c r="E185" s="4" t="s">
        <v>66</v>
      </c>
      <c r="F185" s="4" t="s">
        <v>67</v>
      </c>
      <c r="G185" s="4" t="s">
        <v>234</v>
      </c>
      <c r="H185" s="4" t="s">
        <v>217</v>
      </c>
      <c r="I185" s="6">
        <v>8400</v>
      </c>
      <c r="J185" s="6">
        <v>8400</v>
      </c>
      <c r="K185" s="6">
        <v>0</v>
      </c>
      <c r="L185" s="4" t="s">
        <v>579</v>
      </c>
      <c r="M185" s="4" t="s">
        <v>441</v>
      </c>
    </row>
    <row r="186" ht="18" customHeight="1" spans="1:13">
      <c r="A186" s="4" t="s">
        <v>515</v>
      </c>
      <c r="B186" s="5">
        <v>110</v>
      </c>
      <c r="C186" s="4" t="s">
        <v>175</v>
      </c>
      <c r="D186" s="4" t="s">
        <v>102</v>
      </c>
      <c r="E186" s="4" t="s">
        <v>103</v>
      </c>
      <c r="F186" s="4" t="s">
        <v>104</v>
      </c>
      <c r="G186" s="4" t="s">
        <v>234</v>
      </c>
      <c r="H186" s="4" t="s">
        <v>195</v>
      </c>
      <c r="I186" s="6">
        <v>12300</v>
      </c>
      <c r="J186" s="6">
        <v>12300</v>
      </c>
      <c r="K186" s="6">
        <v>0</v>
      </c>
      <c r="L186" s="4" t="s">
        <v>579</v>
      </c>
      <c r="M186" s="4" t="s">
        <v>443</v>
      </c>
    </row>
    <row r="187" ht="36" customHeight="1" spans="1:13">
      <c r="A187" s="4" t="s">
        <v>515</v>
      </c>
      <c r="B187" s="5">
        <v>111</v>
      </c>
      <c r="C187" s="4" t="s">
        <v>175</v>
      </c>
      <c r="D187" s="4" t="s">
        <v>102</v>
      </c>
      <c r="E187" s="4" t="s">
        <v>106</v>
      </c>
      <c r="F187" s="4" t="s">
        <v>107</v>
      </c>
      <c r="G187" s="4" t="s">
        <v>234</v>
      </c>
      <c r="H187" s="4" t="s">
        <v>217</v>
      </c>
      <c r="I187" s="6">
        <v>27500</v>
      </c>
      <c r="J187" s="6">
        <v>27500</v>
      </c>
      <c r="K187" s="6">
        <v>0</v>
      </c>
      <c r="L187" s="4" t="s">
        <v>579</v>
      </c>
      <c r="M187" s="4" t="s">
        <v>444</v>
      </c>
    </row>
    <row r="188" ht="36" customHeight="1" spans="1:13">
      <c r="A188" s="4" t="s">
        <v>515</v>
      </c>
      <c r="B188" s="5">
        <v>112</v>
      </c>
      <c r="C188" s="4" t="s">
        <v>175</v>
      </c>
      <c r="D188" s="4" t="s">
        <v>102</v>
      </c>
      <c r="E188" s="4" t="s">
        <v>66</v>
      </c>
      <c r="F188" s="4" t="s">
        <v>67</v>
      </c>
      <c r="G188" s="4" t="s">
        <v>234</v>
      </c>
      <c r="H188" s="4" t="s">
        <v>217</v>
      </c>
      <c r="I188" s="6">
        <v>8400</v>
      </c>
      <c r="J188" s="6">
        <v>8400</v>
      </c>
      <c r="K188" s="6">
        <v>0</v>
      </c>
      <c r="L188" s="4" t="s">
        <v>579</v>
      </c>
      <c r="M188" s="4" t="s">
        <v>441</v>
      </c>
    </row>
    <row r="189" ht="36" customHeight="1" spans="1:13">
      <c r="A189" s="4" t="s">
        <v>515</v>
      </c>
      <c r="B189" s="5">
        <v>115</v>
      </c>
      <c r="C189" s="4" t="s">
        <v>175</v>
      </c>
      <c r="D189" s="4" t="s">
        <v>109</v>
      </c>
      <c r="E189" s="4" t="s">
        <v>66</v>
      </c>
      <c r="F189" s="4" t="s">
        <v>67</v>
      </c>
      <c r="G189" s="4" t="s">
        <v>243</v>
      </c>
      <c r="H189" s="4" t="s">
        <v>244</v>
      </c>
      <c r="I189" s="6">
        <v>4200</v>
      </c>
      <c r="J189" s="6">
        <v>4200</v>
      </c>
      <c r="K189" s="6">
        <v>0</v>
      </c>
      <c r="L189" s="4" t="s">
        <v>579</v>
      </c>
      <c r="M189" s="4" t="s">
        <v>445</v>
      </c>
    </row>
    <row r="190" ht="18" customHeight="1" spans="1:13">
      <c r="A190" s="4" t="s">
        <v>515</v>
      </c>
      <c r="B190" s="5">
        <v>116</v>
      </c>
      <c r="C190" s="4" t="s">
        <v>175</v>
      </c>
      <c r="D190" s="4" t="s">
        <v>109</v>
      </c>
      <c r="E190" s="4" t="s">
        <v>82</v>
      </c>
      <c r="F190" s="4" t="s">
        <v>83</v>
      </c>
      <c r="G190" s="4" t="s">
        <v>243</v>
      </c>
      <c r="H190" s="4" t="s">
        <v>212</v>
      </c>
      <c r="I190" s="6">
        <v>7350</v>
      </c>
      <c r="J190" s="6">
        <v>7350</v>
      </c>
      <c r="K190" s="6">
        <v>0</v>
      </c>
      <c r="L190" s="4" t="s">
        <v>579</v>
      </c>
      <c r="M190" s="4" t="s">
        <v>431</v>
      </c>
    </row>
    <row r="191" ht="36" customHeight="1" spans="1:13">
      <c r="A191" s="4" t="s">
        <v>515</v>
      </c>
      <c r="B191" s="5">
        <v>117</v>
      </c>
      <c r="C191" s="4" t="s">
        <v>175</v>
      </c>
      <c r="D191" s="4" t="s">
        <v>109</v>
      </c>
      <c r="E191" s="4" t="s">
        <v>68</v>
      </c>
      <c r="F191" s="4" t="s">
        <v>69</v>
      </c>
      <c r="G191" s="4" t="s">
        <v>243</v>
      </c>
      <c r="H191" s="5"/>
      <c r="I191" s="6">
        <v>3000</v>
      </c>
      <c r="J191" s="6">
        <v>3000</v>
      </c>
      <c r="K191" s="6">
        <v>0</v>
      </c>
      <c r="L191" s="4" t="s">
        <v>579</v>
      </c>
      <c r="M191" s="4" t="s">
        <v>247</v>
      </c>
    </row>
    <row r="192" ht="18" customHeight="1" spans="1:13">
      <c r="A192" s="4" t="s">
        <v>515</v>
      </c>
      <c r="B192" s="5">
        <v>118</v>
      </c>
      <c r="C192" s="4" t="s">
        <v>175</v>
      </c>
      <c r="D192" s="4" t="s">
        <v>109</v>
      </c>
      <c r="E192" s="4" t="s">
        <v>84</v>
      </c>
      <c r="F192" s="4" t="s">
        <v>110</v>
      </c>
      <c r="G192" s="4" t="s">
        <v>243</v>
      </c>
      <c r="H192" s="4" t="s">
        <v>202</v>
      </c>
      <c r="I192" s="6">
        <v>9600</v>
      </c>
      <c r="J192" s="6">
        <v>9600</v>
      </c>
      <c r="K192" s="6">
        <v>0</v>
      </c>
      <c r="L192" s="4" t="s">
        <v>579</v>
      </c>
      <c r="M192" s="4" t="s">
        <v>446</v>
      </c>
    </row>
    <row r="193" ht="18" customHeight="1" spans="1:13">
      <c r="A193" s="4" t="s">
        <v>515</v>
      </c>
      <c r="B193" s="5">
        <v>119</v>
      </c>
      <c r="C193" s="4" t="s">
        <v>175</v>
      </c>
      <c r="D193" s="4" t="s">
        <v>109</v>
      </c>
      <c r="E193" s="4" t="s">
        <v>96</v>
      </c>
      <c r="F193" s="4" t="s">
        <v>97</v>
      </c>
      <c r="G193" s="4" t="s">
        <v>243</v>
      </c>
      <c r="H193" s="4" t="s">
        <v>250</v>
      </c>
      <c r="I193" s="6">
        <v>3000</v>
      </c>
      <c r="J193" s="6">
        <v>3000</v>
      </c>
      <c r="K193" s="6">
        <v>0</v>
      </c>
      <c r="L193" s="4" t="s">
        <v>579</v>
      </c>
      <c r="M193" s="4" t="s">
        <v>388</v>
      </c>
    </row>
    <row r="194" ht="18" customHeight="1" spans="1:13">
      <c r="A194" s="4" t="s">
        <v>515</v>
      </c>
      <c r="B194" s="5">
        <v>120</v>
      </c>
      <c r="C194" s="4" t="s">
        <v>175</v>
      </c>
      <c r="D194" s="4" t="s">
        <v>109</v>
      </c>
      <c r="E194" s="4" t="s">
        <v>111</v>
      </c>
      <c r="F194" s="4" t="s">
        <v>112</v>
      </c>
      <c r="G194" s="4" t="s">
        <v>243</v>
      </c>
      <c r="H194" s="4" t="s">
        <v>253</v>
      </c>
      <c r="I194" s="6">
        <v>6488</v>
      </c>
      <c r="J194" s="6">
        <v>6488</v>
      </c>
      <c r="K194" s="6">
        <v>0</v>
      </c>
      <c r="L194" s="4" t="s">
        <v>579</v>
      </c>
      <c r="M194" s="4" t="s">
        <v>447</v>
      </c>
    </row>
    <row r="195" ht="36" customHeight="1" spans="1:13">
      <c r="A195" s="4" t="s">
        <v>515</v>
      </c>
      <c r="B195" s="5">
        <v>121</v>
      </c>
      <c r="C195" s="4" t="s">
        <v>175</v>
      </c>
      <c r="D195" s="4" t="s">
        <v>109</v>
      </c>
      <c r="E195" s="4" t="s">
        <v>66</v>
      </c>
      <c r="F195" s="4" t="s">
        <v>67</v>
      </c>
      <c r="G195" s="4" t="s">
        <v>243</v>
      </c>
      <c r="H195" s="4" t="s">
        <v>244</v>
      </c>
      <c r="I195" s="6">
        <v>4200</v>
      </c>
      <c r="J195" s="6">
        <v>4200</v>
      </c>
      <c r="K195" s="6">
        <v>0</v>
      </c>
      <c r="L195" s="4" t="s">
        <v>579</v>
      </c>
      <c r="M195" s="4" t="s">
        <v>445</v>
      </c>
    </row>
    <row r="196" ht="36" customHeight="1" spans="1:13">
      <c r="A196" s="4" t="s">
        <v>515</v>
      </c>
      <c r="B196" s="5">
        <v>124</v>
      </c>
      <c r="C196" s="4" t="s">
        <v>175</v>
      </c>
      <c r="D196" s="4" t="s">
        <v>113</v>
      </c>
      <c r="E196" s="4" t="s">
        <v>66</v>
      </c>
      <c r="F196" s="4" t="s">
        <v>67</v>
      </c>
      <c r="G196" s="4" t="s">
        <v>258</v>
      </c>
      <c r="H196" s="4" t="s">
        <v>244</v>
      </c>
      <c r="I196" s="6">
        <v>4200</v>
      </c>
      <c r="J196" s="6">
        <v>4200</v>
      </c>
      <c r="K196" s="6">
        <v>0</v>
      </c>
      <c r="L196" s="4" t="s">
        <v>579</v>
      </c>
      <c r="M196" s="4" t="s">
        <v>445</v>
      </c>
    </row>
    <row r="197" ht="36" customHeight="1" spans="1:13">
      <c r="A197" s="4" t="s">
        <v>515</v>
      </c>
      <c r="B197" s="5">
        <v>125</v>
      </c>
      <c r="C197" s="4" t="s">
        <v>175</v>
      </c>
      <c r="D197" s="4" t="s">
        <v>113</v>
      </c>
      <c r="E197" s="4" t="s">
        <v>114</v>
      </c>
      <c r="F197" s="4" t="s">
        <v>115</v>
      </c>
      <c r="G197" s="4" t="s">
        <v>258</v>
      </c>
      <c r="H197" s="4" t="s">
        <v>259</v>
      </c>
      <c r="I197" s="6">
        <v>40320</v>
      </c>
      <c r="J197" s="6">
        <v>40320</v>
      </c>
      <c r="K197" s="6">
        <v>0</v>
      </c>
      <c r="L197" s="4" t="s">
        <v>579</v>
      </c>
      <c r="M197" s="4" t="s">
        <v>260</v>
      </c>
    </row>
    <row r="198" ht="36" customHeight="1" spans="1:13">
      <c r="A198" s="4" t="s">
        <v>515</v>
      </c>
      <c r="B198" s="5">
        <v>126</v>
      </c>
      <c r="C198" s="4" t="s">
        <v>175</v>
      </c>
      <c r="D198" s="4" t="s">
        <v>113</v>
      </c>
      <c r="E198" s="4" t="s">
        <v>66</v>
      </c>
      <c r="F198" s="4" t="s">
        <v>67</v>
      </c>
      <c r="G198" s="4" t="s">
        <v>258</v>
      </c>
      <c r="H198" s="4" t="s">
        <v>244</v>
      </c>
      <c r="I198" s="6">
        <v>4200</v>
      </c>
      <c r="J198" s="6">
        <v>4200</v>
      </c>
      <c r="K198" s="6">
        <v>0</v>
      </c>
      <c r="L198" s="4" t="s">
        <v>579</v>
      </c>
      <c r="M198" s="4" t="s">
        <v>445</v>
      </c>
    </row>
    <row r="199" ht="36" customHeight="1" spans="1:13">
      <c r="A199" s="4" t="s">
        <v>515</v>
      </c>
      <c r="B199" s="5">
        <v>129</v>
      </c>
      <c r="C199" s="4" t="s">
        <v>175</v>
      </c>
      <c r="D199" s="4" t="s">
        <v>116</v>
      </c>
      <c r="E199" s="4" t="s">
        <v>66</v>
      </c>
      <c r="F199" s="4" t="s">
        <v>67</v>
      </c>
      <c r="G199" s="4" t="s">
        <v>263</v>
      </c>
      <c r="H199" s="4" t="s">
        <v>244</v>
      </c>
      <c r="I199" s="6">
        <v>4200</v>
      </c>
      <c r="J199" s="6">
        <v>4200</v>
      </c>
      <c r="K199" s="6">
        <v>0</v>
      </c>
      <c r="L199" s="4" t="s">
        <v>579</v>
      </c>
      <c r="M199" s="4" t="s">
        <v>445</v>
      </c>
    </row>
    <row r="200" ht="36" customHeight="1" spans="1:13">
      <c r="A200" s="4" t="s">
        <v>515</v>
      </c>
      <c r="B200" s="5">
        <v>130</v>
      </c>
      <c r="C200" s="4" t="s">
        <v>175</v>
      </c>
      <c r="D200" s="4" t="s">
        <v>116</v>
      </c>
      <c r="E200" s="4" t="s">
        <v>117</v>
      </c>
      <c r="F200" s="4" t="s">
        <v>118</v>
      </c>
      <c r="G200" s="4" t="s">
        <v>263</v>
      </c>
      <c r="H200" s="4" t="s">
        <v>264</v>
      </c>
      <c r="I200" s="6">
        <v>288000</v>
      </c>
      <c r="J200" s="6">
        <v>288000</v>
      </c>
      <c r="K200" s="6">
        <v>0</v>
      </c>
      <c r="L200" s="4" t="s">
        <v>579</v>
      </c>
      <c r="M200" s="4" t="s">
        <v>449</v>
      </c>
    </row>
    <row r="201" ht="36" customHeight="1" spans="1:13">
      <c r="A201" s="4" t="s">
        <v>515</v>
      </c>
      <c r="B201" s="5">
        <v>131</v>
      </c>
      <c r="C201" s="4" t="s">
        <v>175</v>
      </c>
      <c r="D201" s="4" t="s">
        <v>116</v>
      </c>
      <c r="E201" s="4" t="s">
        <v>66</v>
      </c>
      <c r="F201" s="4" t="s">
        <v>67</v>
      </c>
      <c r="G201" s="4" t="s">
        <v>263</v>
      </c>
      <c r="H201" s="4" t="s">
        <v>244</v>
      </c>
      <c r="I201" s="6">
        <v>4200</v>
      </c>
      <c r="J201" s="6">
        <v>4200</v>
      </c>
      <c r="K201" s="6">
        <v>0</v>
      </c>
      <c r="L201" s="4" t="s">
        <v>579</v>
      </c>
      <c r="M201" s="4" t="s">
        <v>445</v>
      </c>
    </row>
    <row r="202" ht="36" customHeight="1" spans="1:13">
      <c r="A202" s="4" t="s">
        <v>515</v>
      </c>
      <c r="B202" s="5">
        <v>134</v>
      </c>
      <c r="C202" s="4" t="s">
        <v>175</v>
      </c>
      <c r="D202" s="4" t="s">
        <v>394</v>
      </c>
      <c r="E202" s="4" t="s">
        <v>66</v>
      </c>
      <c r="F202" s="4" t="s">
        <v>67</v>
      </c>
      <c r="G202" s="4" t="s">
        <v>268</v>
      </c>
      <c r="H202" s="4" t="s">
        <v>244</v>
      </c>
      <c r="I202" s="6">
        <v>4200</v>
      </c>
      <c r="J202" s="6">
        <v>4200</v>
      </c>
      <c r="K202" s="6">
        <v>0</v>
      </c>
      <c r="L202" s="4" t="s">
        <v>579</v>
      </c>
      <c r="M202" s="4" t="s">
        <v>445</v>
      </c>
    </row>
    <row r="203" ht="18" customHeight="1" spans="1:13">
      <c r="A203" s="4" t="s">
        <v>515</v>
      </c>
      <c r="B203" s="5">
        <v>135</v>
      </c>
      <c r="C203" s="4" t="s">
        <v>175</v>
      </c>
      <c r="D203" s="4" t="s">
        <v>394</v>
      </c>
      <c r="E203" s="4" t="s">
        <v>120</v>
      </c>
      <c r="F203" s="4" t="s">
        <v>121</v>
      </c>
      <c r="G203" s="4" t="s">
        <v>268</v>
      </c>
      <c r="H203" s="4" t="s">
        <v>271</v>
      </c>
      <c r="I203" s="6">
        <v>50850</v>
      </c>
      <c r="J203" s="6">
        <v>50850</v>
      </c>
      <c r="K203" s="6">
        <v>0</v>
      </c>
      <c r="L203" s="4" t="s">
        <v>579</v>
      </c>
      <c r="M203" s="4" t="s">
        <v>451</v>
      </c>
    </row>
    <row r="204" ht="36" customHeight="1" spans="1:13">
      <c r="A204" s="4" t="s">
        <v>515</v>
      </c>
      <c r="B204" s="5">
        <v>136</v>
      </c>
      <c r="C204" s="4" t="s">
        <v>175</v>
      </c>
      <c r="D204" s="4" t="s">
        <v>394</v>
      </c>
      <c r="E204" s="4" t="s">
        <v>66</v>
      </c>
      <c r="F204" s="4" t="s">
        <v>67</v>
      </c>
      <c r="G204" s="4" t="s">
        <v>268</v>
      </c>
      <c r="H204" s="4" t="s">
        <v>244</v>
      </c>
      <c r="I204" s="6">
        <v>4200</v>
      </c>
      <c r="J204" s="6">
        <v>4200</v>
      </c>
      <c r="K204" s="6">
        <v>0</v>
      </c>
      <c r="L204" s="4" t="s">
        <v>579</v>
      </c>
      <c r="M204" s="4" t="s">
        <v>445</v>
      </c>
    </row>
    <row r="205" ht="53" customHeight="1" spans="1:13">
      <c r="A205" s="4" t="s">
        <v>515</v>
      </c>
      <c r="B205" s="5">
        <v>137</v>
      </c>
      <c r="C205" s="4" t="s">
        <v>175</v>
      </c>
      <c r="D205" s="4" t="s">
        <v>394</v>
      </c>
      <c r="E205" s="4" t="s">
        <v>123</v>
      </c>
      <c r="F205" s="4" t="s">
        <v>123</v>
      </c>
      <c r="G205" s="4" t="s">
        <v>268</v>
      </c>
      <c r="H205" s="4" t="s">
        <v>333</v>
      </c>
      <c r="I205" s="6">
        <v>16500</v>
      </c>
      <c r="J205" s="6">
        <v>16500</v>
      </c>
      <c r="K205" s="6">
        <v>0</v>
      </c>
      <c r="L205" s="4" t="s">
        <v>579</v>
      </c>
      <c r="M205" s="4" t="s">
        <v>452</v>
      </c>
    </row>
    <row r="206" ht="36" customHeight="1" spans="1:13">
      <c r="A206" s="4" t="s">
        <v>515</v>
      </c>
      <c r="B206" s="5">
        <v>140</v>
      </c>
      <c r="C206" s="4" t="s">
        <v>175</v>
      </c>
      <c r="D206" s="4" t="s">
        <v>399</v>
      </c>
      <c r="E206" s="4" t="s">
        <v>66</v>
      </c>
      <c r="F206" s="4" t="s">
        <v>67</v>
      </c>
      <c r="G206" s="4" t="s">
        <v>280</v>
      </c>
      <c r="H206" s="4" t="s">
        <v>244</v>
      </c>
      <c r="I206" s="6">
        <v>4200</v>
      </c>
      <c r="J206" s="6">
        <v>4200</v>
      </c>
      <c r="K206" s="6">
        <v>0</v>
      </c>
      <c r="L206" s="4" t="s">
        <v>579</v>
      </c>
      <c r="M206" s="4" t="s">
        <v>445</v>
      </c>
    </row>
    <row r="207" ht="36" customHeight="1" spans="1:13">
      <c r="A207" s="4" t="s">
        <v>515</v>
      </c>
      <c r="B207" s="5">
        <v>141</v>
      </c>
      <c r="C207" s="4" t="s">
        <v>175</v>
      </c>
      <c r="D207" s="4" t="s">
        <v>399</v>
      </c>
      <c r="E207" s="4" t="s">
        <v>125</v>
      </c>
      <c r="F207" s="4" t="s">
        <v>126</v>
      </c>
      <c r="G207" s="4" t="s">
        <v>280</v>
      </c>
      <c r="H207" s="4" t="s">
        <v>207</v>
      </c>
      <c r="I207" s="6">
        <v>5000</v>
      </c>
      <c r="J207" s="6">
        <v>5000</v>
      </c>
      <c r="K207" s="6">
        <v>0</v>
      </c>
      <c r="L207" s="4" t="s">
        <v>579</v>
      </c>
      <c r="M207" s="4" t="s">
        <v>428</v>
      </c>
    </row>
    <row r="208" ht="36" customHeight="1" spans="1:13">
      <c r="A208" s="4" t="s">
        <v>515</v>
      </c>
      <c r="B208" s="5">
        <v>142</v>
      </c>
      <c r="C208" s="4" t="s">
        <v>175</v>
      </c>
      <c r="D208" s="4" t="s">
        <v>399</v>
      </c>
      <c r="E208" s="4" t="s">
        <v>66</v>
      </c>
      <c r="F208" s="4" t="s">
        <v>67</v>
      </c>
      <c r="G208" s="4" t="s">
        <v>280</v>
      </c>
      <c r="H208" s="4" t="s">
        <v>244</v>
      </c>
      <c r="I208" s="6">
        <v>4200</v>
      </c>
      <c r="J208" s="6">
        <v>4200</v>
      </c>
      <c r="K208" s="6">
        <v>0</v>
      </c>
      <c r="L208" s="4" t="s">
        <v>579</v>
      </c>
      <c r="M208" s="4" t="s">
        <v>445</v>
      </c>
    </row>
    <row r="209" ht="36" customHeight="1" spans="1:13">
      <c r="A209" s="4" t="s">
        <v>515</v>
      </c>
      <c r="B209" s="5">
        <v>145</v>
      </c>
      <c r="C209" s="4" t="s">
        <v>175</v>
      </c>
      <c r="D209" s="4" t="s">
        <v>127</v>
      </c>
      <c r="E209" s="4" t="s">
        <v>66</v>
      </c>
      <c r="F209" s="4" t="s">
        <v>67</v>
      </c>
      <c r="G209" s="4" t="s">
        <v>283</v>
      </c>
      <c r="H209" s="4" t="s">
        <v>244</v>
      </c>
      <c r="I209" s="6">
        <v>4200</v>
      </c>
      <c r="J209" s="6">
        <v>4200</v>
      </c>
      <c r="K209" s="6">
        <v>0</v>
      </c>
      <c r="L209" s="4" t="s">
        <v>579</v>
      </c>
      <c r="M209" s="4" t="s">
        <v>445</v>
      </c>
    </row>
    <row r="210" ht="36" customHeight="1" spans="1:13">
      <c r="A210" s="4" t="s">
        <v>515</v>
      </c>
      <c r="B210" s="5">
        <v>146</v>
      </c>
      <c r="C210" s="4" t="s">
        <v>175</v>
      </c>
      <c r="D210" s="4" t="s">
        <v>127</v>
      </c>
      <c r="E210" s="4" t="s">
        <v>128</v>
      </c>
      <c r="F210" s="4" t="s">
        <v>129</v>
      </c>
      <c r="G210" s="4" t="s">
        <v>283</v>
      </c>
      <c r="H210" s="4" t="s">
        <v>284</v>
      </c>
      <c r="I210" s="6">
        <v>15000</v>
      </c>
      <c r="J210" s="6">
        <v>15000</v>
      </c>
      <c r="K210" s="6">
        <v>0</v>
      </c>
      <c r="L210" s="4" t="s">
        <v>579</v>
      </c>
      <c r="M210" s="4" t="s">
        <v>455</v>
      </c>
    </row>
    <row r="211" ht="36" customHeight="1" spans="1:13">
      <c r="A211" s="4" t="s">
        <v>515</v>
      </c>
      <c r="B211" s="5">
        <v>147</v>
      </c>
      <c r="C211" s="4" t="s">
        <v>175</v>
      </c>
      <c r="D211" s="4" t="s">
        <v>127</v>
      </c>
      <c r="E211" s="4" t="s">
        <v>66</v>
      </c>
      <c r="F211" s="4" t="s">
        <v>67</v>
      </c>
      <c r="G211" s="4" t="s">
        <v>283</v>
      </c>
      <c r="H211" s="4" t="s">
        <v>244</v>
      </c>
      <c r="I211" s="6">
        <v>4200</v>
      </c>
      <c r="J211" s="6">
        <v>4200</v>
      </c>
      <c r="K211" s="6">
        <v>0</v>
      </c>
      <c r="L211" s="4" t="s">
        <v>579</v>
      </c>
      <c r="M211" s="4" t="s">
        <v>445</v>
      </c>
    </row>
    <row r="212" ht="36" customHeight="1" spans="1:13">
      <c r="A212" s="4" t="s">
        <v>515</v>
      </c>
      <c r="B212" s="5">
        <v>150</v>
      </c>
      <c r="C212" s="4" t="s">
        <v>175</v>
      </c>
      <c r="D212" s="4" t="s">
        <v>130</v>
      </c>
      <c r="E212" s="4" t="s">
        <v>66</v>
      </c>
      <c r="F212" s="4" t="s">
        <v>67</v>
      </c>
      <c r="G212" s="4" t="s">
        <v>288</v>
      </c>
      <c r="H212" s="4" t="s">
        <v>244</v>
      </c>
      <c r="I212" s="6">
        <v>4200</v>
      </c>
      <c r="J212" s="6">
        <v>4200</v>
      </c>
      <c r="K212" s="6">
        <v>0</v>
      </c>
      <c r="L212" s="4" t="s">
        <v>579</v>
      </c>
      <c r="M212" s="4" t="s">
        <v>445</v>
      </c>
    </row>
    <row r="213" ht="36" customHeight="1" spans="1:13">
      <c r="A213" s="4" t="s">
        <v>515</v>
      </c>
      <c r="B213" s="5">
        <v>151</v>
      </c>
      <c r="C213" s="4" t="s">
        <v>175</v>
      </c>
      <c r="D213" s="4" t="s">
        <v>130</v>
      </c>
      <c r="E213" s="4" t="s">
        <v>131</v>
      </c>
      <c r="F213" s="4" t="s">
        <v>132</v>
      </c>
      <c r="G213" s="4" t="s">
        <v>288</v>
      </c>
      <c r="H213" s="4" t="s">
        <v>284</v>
      </c>
      <c r="I213" s="6">
        <v>20000</v>
      </c>
      <c r="J213" s="6">
        <v>20000</v>
      </c>
      <c r="K213" s="6">
        <v>0</v>
      </c>
      <c r="L213" s="4" t="s">
        <v>579</v>
      </c>
      <c r="M213" s="4" t="s">
        <v>457</v>
      </c>
    </row>
    <row r="214" ht="36" customHeight="1" spans="1:13">
      <c r="A214" s="4" t="s">
        <v>515</v>
      </c>
      <c r="B214" s="5">
        <v>152</v>
      </c>
      <c r="C214" s="4" t="s">
        <v>175</v>
      </c>
      <c r="D214" s="4" t="s">
        <v>130</v>
      </c>
      <c r="E214" s="4" t="s">
        <v>66</v>
      </c>
      <c r="F214" s="4" t="s">
        <v>67</v>
      </c>
      <c r="G214" s="4" t="s">
        <v>288</v>
      </c>
      <c r="H214" s="4" t="s">
        <v>244</v>
      </c>
      <c r="I214" s="6">
        <v>4200</v>
      </c>
      <c r="J214" s="6">
        <v>4200</v>
      </c>
      <c r="K214" s="6">
        <v>0</v>
      </c>
      <c r="L214" s="4" t="s">
        <v>579</v>
      </c>
      <c r="M214" s="4" t="s">
        <v>445</v>
      </c>
    </row>
    <row r="215" ht="36" customHeight="1" spans="1:13">
      <c r="A215" s="4" t="s">
        <v>515</v>
      </c>
      <c r="B215" s="5">
        <v>155</v>
      </c>
      <c r="C215" s="4" t="s">
        <v>175</v>
      </c>
      <c r="D215" s="4" t="s">
        <v>133</v>
      </c>
      <c r="E215" s="4" t="s">
        <v>66</v>
      </c>
      <c r="F215" s="4" t="s">
        <v>67</v>
      </c>
      <c r="G215" s="4" t="s">
        <v>291</v>
      </c>
      <c r="H215" s="4" t="s">
        <v>244</v>
      </c>
      <c r="I215" s="6">
        <v>4200</v>
      </c>
      <c r="J215" s="6">
        <v>4200</v>
      </c>
      <c r="K215" s="6">
        <v>0</v>
      </c>
      <c r="L215" s="4" t="s">
        <v>579</v>
      </c>
      <c r="M215" s="4" t="s">
        <v>445</v>
      </c>
    </row>
    <row r="216" ht="36" customHeight="1" spans="1:13">
      <c r="A216" s="4" t="s">
        <v>515</v>
      </c>
      <c r="B216" s="5">
        <v>156</v>
      </c>
      <c r="C216" s="4" t="s">
        <v>175</v>
      </c>
      <c r="D216" s="4" t="s">
        <v>133</v>
      </c>
      <c r="E216" s="4" t="s">
        <v>131</v>
      </c>
      <c r="F216" s="4" t="s">
        <v>134</v>
      </c>
      <c r="G216" s="4" t="s">
        <v>291</v>
      </c>
      <c r="H216" s="4" t="s">
        <v>292</v>
      </c>
      <c r="I216" s="6">
        <v>22000</v>
      </c>
      <c r="J216" s="6">
        <v>22000</v>
      </c>
      <c r="K216" s="6">
        <v>0</v>
      </c>
      <c r="L216" s="4" t="s">
        <v>579</v>
      </c>
      <c r="M216" s="4" t="s">
        <v>458</v>
      </c>
    </row>
    <row r="217" ht="36" customHeight="1" spans="1:13">
      <c r="A217" s="4" t="s">
        <v>515</v>
      </c>
      <c r="B217" s="5">
        <v>157</v>
      </c>
      <c r="C217" s="4" t="s">
        <v>175</v>
      </c>
      <c r="D217" s="4" t="s">
        <v>133</v>
      </c>
      <c r="E217" s="4" t="s">
        <v>66</v>
      </c>
      <c r="F217" s="4" t="s">
        <v>67</v>
      </c>
      <c r="G217" s="4" t="s">
        <v>291</v>
      </c>
      <c r="H217" s="4" t="s">
        <v>244</v>
      </c>
      <c r="I217" s="6">
        <v>4200</v>
      </c>
      <c r="J217" s="6">
        <v>4200</v>
      </c>
      <c r="K217" s="6">
        <v>0</v>
      </c>
      <c r="L217" s="4" t="s">
        <v>579</v>
      </c>
      <c r="M217" s="4" t="s">
        <v>445</v>
      </c>
    </row>
    <row r="218" ht="36" customHeight="1" spans="1:13">
      <c r="A218" s="4" t="s">
        <v>515</v>
      </c>
      <c r="B218" s="5">
        <v>160</v>
      </c>
      <c r="C218" s="4" t="s">
        <v>175</v>
      </c>
      <c r="D218" s="4" t="s">
        <v>136</v>
      </c>
      <c r="E218" s="4" t="s">
        <v>66</v>
      </c>
      <c r="F218" s="4" t="s">
        <v>67</v>
      </c>
      <c r="G218" s="4" t="s">
        <v>339</v>
      </c>
      <c r="H218" s="4" t="s">
        <v>340</v>
      </c>
      <c r="I218" s="6">
        <v>10500</v>
      </c>
      <c r="J218" s="6">
        <v>10500</v>
      </c>
      <c r="K218" s="6">
        <v>0</v>
      </c>
      <c r="L218" s="4" t="s">
        <v>579</v>
      </c>
      <c r="M218" s="4" t="s">
        <v>467</v>
      </c>
    </row>
    <row r="219" ht="18" customHeight="1" spans="1:13">
      <c r="A219" s="4" t="s">
        <v>515</v>
      </c>
      <c r="B219" s="5">
        <v>161</v>
      </c>
      <c r="C219" s="4" t="s">
        <v>175</v>
      </c>
      <c r="D219" s="4" t="s">
        <v>136</v>
      </c>
      <c r="E219" s="4" t="s">
        <v>139</v>
      </c>
      <c r="F219" s="4" t="s">
        <v>140</v>
      </c>
      <c r="G219" s="4" t="s">
        <v>339</v>
      </c>
      <c r="H219" s="4" t="s">
        <v>344</v>
      </c>
      <c r="I219" s="6">
        <v>4800</v>
      </c>
      <c r="J219" s="6">
        <v>4800</v>
      </c>
      <c r="K219" s="6">
        <v>0</v>
      </c>
      <c r="L219" s="4" t="s">
        <v>579</v>
      </c>
      <c r="M219" s="4" t="s">
        <v>469</v>
      </c>
    </row>
    <row r="220" ht="18" customHeight="1" spans="1:13">
      <c r="A220" s="4" t="s">
        <v>515</v>
      </c>
      <c r="B220" s="5">
        <v>162</v>
      </c>
      <c r="C220" s="4" t="s">
        <v>175</v>
      </c>
      <c r="D220" s="4" t="s">
        <v>136</v>
      </c>
      <c r="E220" s="4" t="s">
        <v>139</v>
      </c>
      <c r="F220" s="4" t="s">
        <v>141</v>
      </c>
      <c r="G220" s="4" t="s">
        <v>339</v>
      </c>
      <c r="H220" s="4" t="s">
        <v>344</v>
      </c>
      <c r="I220" s="6">
        <v>4800</v>
      </c>
      <c r="J220" s="6">
        <v>4800</v>
      </c>
      <c r="K220" s="6">
        <v>0</v>
      </c>
      <c r="L220" s="4" t="s">
        <v>579</v>
      </c>
      <c r="M220" s="4" t="s">
        <v>469</v>
      </c>
    </row>
    <row r="221" ht="18" customHeight="1" spans="1:13">
      <c r="A221" s="4" t="s">
        <v>515</v>
      </c>
      <c r="B221" s="5">
        <v>163</v>
      </c>
      <c r="C221" s="4" t="s">
        <v>175</v>
      </c>
      <c r="D221" s="4" t="s">
        <v>136</v>
      </c>
      <c r="E221" s="4" t="s">
        <v>139</v>
      </c>
      <c r="F221" s="4" t="s">
        <v>142</v>
      </c>
      <c r="G221" s="4" t="s">
        <v>339</v>
      </c>
      <c r="H221" s="4" t="s">
        <v>344</v>
      </c>
      <c r="I221" s="6">
        <v>4800</v>
      </c>
      <c r="J221" s="6">
        <v>4800</v>
      </c>
      <c r="K221" s="6">
        <v>0</v>
      </c>
      <c r="L221" s="4" t="s">
        <v>579</v>
      </c>
      <c r="M221" s="4" t="s">
        <v>469</v>
      </c>
    </row>
    <row r="222" ht="18" customHeight="1" spans="1:13">
      <c r="A222" s="4" t="s">
        <v>515</v>
      </c>
      <c r="B222" s="5">
        <v>164</v>
      </c>
      <c r="C222" s="4" t="s">
        <v>175</v>
      </c>
      <c r="D222" s="4" t="s">
        <v>136</v>
      </c>
      <c r="E222" s="4" t="s">
        <v>139</v>
      </c>
      <c r="F222" s="4" t="s">
        <v>143</v>
      </c>
      <c r="G222" s="4" t="s">
        <v>339</v>
      </c>
      <c r="H222" s="4" t="s">
        <v>344</v>
      </c>
      <c r="I222" s="6">
        <v>4800</v>
      </c>
      <c r="J222" s="6">
        <v>4800</v>
      </c>
      <c r="K222" s="6">
        <v>0</v>
      </c>
      <c r="L222" s="4" t="s">
        <v>579</v>
      </c>
      <c r="M222" s="4" t="s">
        <v>469</v>
      </c>
    </row>
    <row r="223" ht="18" customHeight="1" spans="1:13">
      <c r="A223" s="4" t="s">
        <v>515</v>
      </c>
      <c r="B223" s="5">
        <v>165</v>
      </c>
      <c r="C223" s="4" t="s">
        <v>175</v>
      </c>
      <c r="D223" s="4" t="s">
        <v>136</v>
      </c>
      <c r="E223" s="4" t="s">
        <v>139</v>
      </c>
      <c r="F223" s="4" t="s">
        <v>144</v>
      </c>
      <c r="G223" s="4" t="s">
        <v>339</v>
      </c>
      <c r="H223" s="4" t="s">
        <v>344</v>
      </c>
      <c r="I223" s="6">
        <v>4800</v>
      </c>
      <c r="J223" s="6">
        <v>4800</v>
      </c>
      <c r="K223" s="6">
        <v>0</v>
      </c>
      <c r="L223" s="4" t="s">
        <v>579</v>
      </c>
      <c r="M223" s="4" t="s">
        <v>469</v>
      </c>
    </row>
    <row r="224" ht="36" customHeight="1" spans="1:13">
      <c r="A224" s="4" t="s">
        <v>515</v>
      </c>
      <c r="B224" s="5">
        <v>166</v>
      </c>
      <c r="C224" s="4" t="s">
        <v>175</v>
      </c>
      <c r="D224" s="4" t="s">
        <v>136</v>
      </c>
      <c r="E224" s="4" t="s">
        <v>66</v>
      </c>
      <c r="F224" s="4" t="s">
        <v>67</v>
      </c>
      <c r="G224" s="4" t="s">
        <v>339</v>
      </c>
      <c r="H224" s="4" t="s">
        <v>346</v>
      </c>
      <c r="I224" s="6">
        <v>6300</v>
      </c>
      <c r="J224" s="6">
        <v>6300</v>
      </c>
      <c r="K224" s="6">
        <v>0</v>
      </c>
      <c r="L224" s="4" t="s">
        <v>579</v>
      </c>
      <c r="M224" s="4" t="s">
        <v>470</v>
      </c>
    </row>
    <row r="225" ht="36" customHeight="1" spans="1:13">
      <c r="A225" s="4" t="s">
        <v>515</v>
      </c>
      <c r="B225" s="5">
        <v>169</v>
      </c>
      <c r="C225" s="4" t="s">
        <v>175</v>
      </c>
      <c r="D225" s="4" t="s">
        <v>405</v>
      </c>
      <c r="E225" s="4" t="s">
        <v>66</v>
      </c>
      <c r="F225" s="4" t="s">
        <v>67</v>
      </c>
      <c r="G225" s="4" t="s">
        <v>350</v>
      </c>
      <c r="H225" s="4" t="s">
        <v>244</v>
      </c>
      <c r="I225" s="6">
        <v>4200</v>
      </c>
      <c r="J225" s="6">
        <v>4200</v>
      </c>
      <c r="K225" s="6">
        <v>0</v>
      </c>
      <c r="L225" s="4" t="s">
        <v>579</v>
      </c>
      <c r="M225" s="4" t="s">
        <v>445</v>
      </c>
    </row>
    <row r="226" ht="18" customHeight="1" spans="1:13">
      <c r="A226" s="4" t="s">
        <v>515</v>
      </c>
      <c r="B226" s="5">
        <v>170</v>
      </c>
      <c r="C226" s="4" t="s">
        <v>175</v>
      </c>
      <c r="D226" s="4" t="s">
        <v>405</v>
      </c>
      <c r="E226" s="4" t="s">
        <v>137</v>
      </c>
      <c r="F226" s="4" t="s">
        <v>297</v>
      </c>
      <c r="G226" s="4" t="s">
        <v>350</v>
      </c>
      <c r="H226" s="4" t="s">
        <v>198</v>
      </c>
      <c r="I226" s="6">
        <v>7200</v>
      </c>
      <c r="J226" s="6">
        <v>7200</v>
      </c>
      <c r="K226" s="6">
        <v>0</v>
      </c>
      <c r="L226" s="4" t="s">
        <v>579</v>
      </c>
      <c r="M226" s="4" t="s">
        <v>460</v>
      </c>
    </row>
    <row r="227" ht="36" customHeight="1" spans="1:13">
      <c r="A227" s="4" t="s">
        <v>515</v>
      </c>
      <c r="B227" s="5">
        <v>171</v>
      </c>
      <c r="C227" s="4" t="s">
        <v>175</v>
      </c>
      <c r="D227" s="4" t="s">
        <v>405</v>
      </c>
      <c r="E227" s="4" t="s">
        <v>66</v>
      </c>
      <c r="F227" s="4" t="s">
        <v>67</v>
      </c>
      <c r="G227" s="4" t="s">
        <v>350</v>
      </c>
      <c r="H227" s="4" t="s">
        <v>244</v>
      </c>
      <c r="I227" s="6">
        <v>4200</v>
      </c>
      <c r="J227" s="6">
        <v>4200</v>
      </c>
      <c r="K227" s="6">
        <v>0</v>
      </c>
      <c r="L227" s="4" t="s">
        <v>579</v>
      </c>
      <c r="M227" s="4" t="s">
        <v>445</v>
      </c>
    </row>
    <row r="228" ht="36" customHeight="1" spans="1:13">
      <c r="A228" s="4" t="s">
        <v>511</v>
      </c>
      <c r="B228" s="5">
        <v>12</v>
      </c>
      <c r="C228" s="4" t="s">
        <v>172</v>
      </c>
      <c r="D228" s="4" t="s">
        <v>48</v>
      </c>
      <c r="E228" s="4" t="s">
        <v>66</v>
      </c>
      <c r="F228" s="4" t="s">
        <v>67</v>
      </c>
      <c r="G228" s="4" t="s">
        <v>189</v>
      </c>
      <c r="H228" s="4" t="s">
        <v>190</v>
      </c>
      <c r="I228" s="6">
        <v>5600</v>
      </c>
      <c r="J228" s="6">
        <v>5600</v>
      </c>
      <c r="K228" s="6">
        <v>0</v>
      </c>
      <c r="L228" s="4" t="s">
        <v>579</v>
      </c>
      <c r="M228" s="4" t="s">
        <v>196</v>
      </c>
    </row>
    <row r="229" ht="18" customHeight="1" spans="1:13">
      <c r="A229" s="4" t="s">
        <v>511</v>
      </c>
      <c r="B229" s="5">
        <v>13</v>
      </c>
      <c r="C229" s="4" t="s">
        <v>172</v>
      </c>
      <c r="D229" s="4" t="s">
        <v>48</v>
      </c>
      <c r="E229" s="4" t="s">
        <v>68</v>
      </c>
      <c r="F229" s="4" t="s">
        <v>69</v>
      </c>
      <c r="G229" s="4" t="s">
        <v>197</v>
      </c>
      <c r="H229" s="5"/>
      <c r="I229" s="6">
        <v>31000</v>
      </c>
      <c r="J229" s="6">
        <v>31000</v>
      </c>
      <c r="K229" s="6">
        <v>0</v>
      </c>
      <c r="L229" s="4" t="s">
        <v>579</v>
      </c>
      <c r="M229" s="4" t="s">
        <v>474</v>
      </c>
    </row>
    <row r="230" ht="18" customHeight="1" spans="1:13">
      <c r="A230" s="4" t="s">
        <v>511</v>
      </c>
      <c r="B230" s="5">
        <v>14</v>
      </c>
      <c r="C230" s="4" t="s">
        <v>172</v>
      </c>
      <c r="D230" s="4" t="s">
        <v>48</v>
      </c>
      <c r="E230" s="4" t="s">
        <v>70</v>
      </c>
      <c r="F230" s="4" t="s">
        <v>71</v>
      </c>
      <c r="G230" s="4" t="s">
        <v>197</v>
      </c>
      <c r="H230" s="4" t="s">
        <v>202</v>
      </c>
      <c r="I230" s="6">
        <v>960</v>
      </c>
      <c r="J230" s="6">
        <v>960</v>
      </c>
      <c r="K230" s="6">
        <v>0</v>
      </c>
      <c r="L230" s="4" t="s">
        <v>579</v>
      </c>
      <c r="M230" s="4" t="s">
        <v>475</v>
      </c>
    </row>
    <row r="231" ht="18" customHeight="1" spans="1:13">
      <c r="A231" s="4" t="s">
        <v>511</v>
      </c>
      <c r="B231" s="5">
        <v>15</v>
      </c>
      <c r="C231" s="4" t="s">
        <v>172</v>
      </c>
      <c r="D231" s="4" t="s">
        <v>48</v>
      </c>
      <c r="E231" s="4" t="s">
        <v>72</v>
      </c>
      <c r="F231" s="4" t="s">
        <v>73</v>
      </c>
      <c r="G231" s="4" t="s">
        <v>197</v>
      </c>
      <c r="H231" s="4" t="s">
        <v>202</v>
      </c>
      <c r="I231" s="6">
        <v>960</v>
      </c>
      <c r="J231" s="6">
        <v>960</v>
      </c>
      <c r="K231" s="6">
        <v>0</v>
      </c>
      <c r="L231" s="4" t="s">
        <v>579</v>
      </c>
      <c r="M231" s="4" t="s">
        <v>475</v>
      </c>
    </row>
    <row r="232" ht="18" customHeight="1" spans="1:13">
      <c r="A232" s="4" t="s">
        <v>511</v>
      </c>
      <c r="B232" s="5">
        <v>16</v>
      </c>
      <c r="C232" s="4" t="s">
        <v>172</v>
      </c>
      <c r="D232" s="4" t="s">
        <v>48</v>
      </c>
      <c r="E232" s="4" t="s">
        <v>74</v>
      </c>
      <c r="F232" s="4" t="s">
        <v>75</v>
      </c>
      <c r="G232" s="4" t="s">
        <v>197</v>
      </c>
      <c r="H232" s="4" t="s">
        <v>202</v>
      </c>
      <c r="I232" s="6">
        <v>960</v>
      </c>
      <c r="J232" s="6">
        <v>960</v>
      </c>
      <c r="K232" s="6">
        <v>0</v>
      </c>
      <c r="L232" s="4" t="s">
        <v>579</v>
      </c>
      <c r="M232" s="4" t="s">
        <v>475</v>
      </c>
    </row>
    <row r="233" ht="18" customHeight="1" spans="1:13">
      <c r="A233" s="4" t="s">
        <v>511</v>
      </c>
      <c r="B233" s="5">
        <v>17</v>
      </c>
      <c r="C233" s="4" t="s">
        <v>172</v>
      </c>
      <c r="D233" s="4" t="s">
        <v>48</v>
      </c>
      <c r="E233" s="4" t="s">
        <v>76</v>
      </c>
      <c r="F233" s="4" t="s">
        <v>77</v>
      </c>
      <c r="G233" s="4" t="s">
        <v>197</v>
      </c>
      <c r="H233" s="4" t="s">
        <v>205</v>
      </c>
      <c r="I233" s="6">
        <v>3840</v>
      </c>
      <c r="J233" s="6">
        <v>3840</v>
      </c>
      <c r="K233" s="6">
        <v>0</v>
      </c>
      <c r="L233" s="4" t="s">
        <v>579</v>
      </c>
      <c r="M233" s="4" t="s">
        <v>476</v>
      </c>
    </row>
    <row r="234" ht="18" customHeight="1" spans="1:13">
      <c r="A234" s="4" t="s">
        <v>511</v>
      </c>
      <c r="B234" s="5">
        <v>18</v>
      </c>
      <c r="C234" s="4" t="s">
        <v>172</v>
      </c>
      <c r="D234" s="4" t="s">
        <v>48</v>
      </c>
      <c r="E234" s="4" t="s">
        <v>78</v>
      </c>
      <c r="F234" s="4" t="s">
        <v>79</v>
      </c>
      <c r="G234" s="4" t="s">
        <v>197</v>
      </c>
      <c r="H234" s="4" t="s">
        <v>207</v>
      </c>
      <c r="I234" s="6">
        <v>5000</v>
      </c>
      <c r="J234" s="6">
        <v>5000</v>
      </c>
      <c r="K234" s="6">
        <v>0</v>
      </c>
      <c r="L234" s="4" t="s">
        <v>579</v>
      </c>
      <c r="M234" s="4" t="s">
        <v>428</v>
      </c>
    </row>
    <row r="235" ht="18" customHeight="1" spans="1:13">
      <c r="A235" s="4" t="s">
        <v>511</v>
      </c>
      <c r="B235" s="5">
        <v>19</v>
      </c>
      <c r="C235" s="4" t="s">
        <v>172</v>
      </c>
      <c r="D235" s="4" t="s">
        <v>48</v>
      </c>
      <c r="E235" s="4" t="s">
        <v>80</v>
      </c>
      <c r="F235" s="4" t="s">
        <v>81</v>
      </c>
      <c r="G235" s="4" t="s">
        <v>197</v>
      </c>
      <c r="H235" s="4" t="s">
        <v>210</v>
      </c>
      <c r="I235" s="6">
        <v>9600</v>
      </c>
      <c r="J235" s="6">
        <v>9600</v>
      </c>
      <c r="K235" s="6">
        <v>0</v>
      </c>
      <c r="L235" s="4" t="s">
        <v>579</v>
      </c>
      <c r="M235" s="4" t="s">
        <v>477</v>
      </c>
    </row>
    <row r="236" ht="18" customHeight="1" spans="1:13">
      <c r="A236" s="4" t="s">
        <v>511</v>
      </c>
      <c r="B236" s="5">
        <v>20</v>
      </c>
      <c r="C236" s="4" t="s">
        <v>172</v>
      </c>
      <c r="D236" s="4" t="s">
        <v>48</v>
      </c>
      <c r="E236" s="4" t="s">
        <v>82</v>
      </c>
      <c r="F236" s="4" t="s">
        <v>83</v>
      </c>
      <c r="G236" s="4" t="s">
        <v>197</v>
      </c>
      <c r="H236" s="4" t="s">
        <v>212</v>
      </c>
      <c r="I236" s="6">
        <v>10500</v>
      </c>
      <c r="J236" s="6">
        <v>10500</v>
      </c>
      <c r="K236" s="6">
        <v>0</v>
      </c>
      <c r="L236" s="4" t="s">
        <v>579</v>
      </c>
      <c r="M236" s="4" t="s">
        <v>213</v>
      </c>
    </row>
    <row r="237" ht="18" customHeight="1" spans="1:13">
      <c r="A237" s="4" t="s">
        <v>511</v>
      </c>
      <c r="B237" s="5">
        <v>21</v>
      </c>
      <c r="C237" s="4" t="s">
        <v>172</v>
      </c>
      <c r="D237" s="4" t="s">
        <v>48</v>
      </c>
      <c r="E237" s="4" t="s">
        <v>84</v>
      </c>
      <c r="F237" s="4" t="s">
        <v>85</v>
      </c>
      <c r="G237" s="4" t="s">
        <v>197</v>
      </c>
      <c r="H237" s="4" t="s">
        <v>208</v>
      </c>
      <c r="I237" s="6">
        <v>28800</v>
      </c>
      <c r="J237" s="6">
        <v>28800</v>
      </c>
      <c r="K237" s="6">
        <v>0</v>
      </c>
      <c r="L237" s="4" t="s">
        <v>579</v>
      </c>
      <c r="M237" s="4" t="s">
        <v>478</v>
      </c>
    </row>
    <row r="238" ht="36" customHeight="1" spans="1:13">
      <c r="A238" s="4" t="s">
        <v>511</v>
      </c>
      <c r="B238" s="5">
        <v>22</v>
      </c>
      <c r="C238" s="4" t="s">
        <v>172</v>
      </c>
      <c r="D238" s="4" t="s">
        <v>48</v>
      </c>
      <c r="E238" s="4" t="s">
        <v>86</v>
      </c>
      <c r="F238" s="4" t="s">
        <v>87</v>
      </c>
      <c r="G238" s="4" t="s">
        <v>189</v>
      </c>
      <c r="H238" s="4" t="s">
        <v>190</v>
      </c>
      <c r="I238" s="6">
        <v>4200</v>
      </c>
      <c r="J238" s="6">
        <v>4200</v>
      </c>
      <c r="K238" s="6">
        <v>0</v>
      </c>
      <c r="L238" s="4" t="s">
        <v>579</v>
      </c>
      <c r="M238" s="4" t="s">
        <v>216</v>
      </c>
    </row>
    <row r="239" ht="18" customHeight="1" spans="1:13">
      <c r="A239" s="4" t="s">
        <v>511</v>
      </c>
      <c r="B239" s="5">
        <v>23</v>
      </c>
      <c r="C239" s="4" t="s">
        <v>172</v>
      </c>
      <c r="D239" s="4" t="s">
        <v>48</v>
      </c>
      <c r="E239" s="4" t="s">
        <v>88</v>
      </c>
      <c r="F239" s="4" t="s">
        <v>89</v>
      </c>
      <c r="G239" s="4" t="s">
        <v>197</v>
      </c>
      <c r="H239" s="4" t="s">
        <v>217</v>
      </c>
      <c r="I239" s="6">
        <v>3600</v>
      </c>
      <c r="J239" s="6">
        <v>3600</v>
      </c>
      <c r="K239" s="6">
        <v>0</v>
      </c>
      <c r="L239" s="4" t="s">
        <v>579</v>
      </c>
      <c r="M239" s="4" t="s">
        <v>218</v>
      </c>
    </row>
    <row r="240" ht="18" customHeight="1" spans="1:13">
      <c r="A240" s="4" t="s">
        <v>511</v>
      </c>
      <c r="B240" s="5">
        <v>24</v>
      </c>
      <c r="C240" s="4" t="s">
        <v>172</v>
      </c>
      <c r="D240" s="4" t="s">
        <v>48</v>
      </c>
      <c r="E240" s="4" t="s">
        <v>90</v>
      </c>
      <c r="F240" s="4" t="s">
        <v>91</v>
      </c>
      <c r="G240" s="4" t="s">
        <v>197</v>
      </c>
      <c r="H240" s="4" t="s">
        <v>217</v>
      </c>
      <c r="I240" s="6">
        <v>36000</v>
      </c>
      <c r="J240" s="6">
        <v>36000</v>
      </c>
      <c r="K240" s="6">
        <v>0</v>
      </c>
      <c r="L240" s="4" t="s">
        <v>579</v>
      </c>
      <c r="M240" s="4" t="s">
        <v>480</v>
      </c>
    </row>
    <row r="241" ht="18" customHeight="1" spans="1:13">
      <c r="A241" s="4" t="s">
        <v>511</v>
      </c>
      <c r="B241" s="5">
        <v>25</v>
      </c>
      <c r="C241" s="4" t="s">
        <v>172</v>
      </c>
      <c r="D241" s="4" t="s">
        <v>48</v>
      </c>
      <c r="E241" s="4" t="s">
        <v>92</v>
      </c>
      <c r="F241" s="4" t="s">
        <v>93</v>
      </c>
      <c r="G241" s="4" t="s">
        <v>197</v>
      </c>
      <c r="H241" s="4" t="s">
        <v>222</v>
      </c>
      <c r="I241" s="6">
        <v>10560</v>
      </c>
      <c r="J241" s="6">
        <v>10560</v>
      </c>
      <c r="K241" s="6">
        <v>0</v>
      </c>
      <c r="L241" s="4" t="s">
        <v>579</v>
      </c>
      <c r="M241" s="4" t="s">
        <v>481</v>
      </c>
    </row>
    <row r="242" ht="18" customHeight="1" spans="1:13">
      <c r="A242" s="4" t="s">
        <v>511</v>
      </c>
      <c r="B242" s="5">
        <v>26</v>
      </c>
      <c r="C242" s="4" t="s">
        <v>172</v>
      </c>
      <c r="D242" s="4" t="s">
        <v>48</v>
      </c>
      <c r="E242" s="4" t="s">
        <v>94</v>
      </c>
      <c r="F242" s="4" t="s">
        <v>95</v>
      </c>
      <c r="G242" s="4" t="s">
        <v>197</v>
      </c>
      <c r="H242" s="4" t="s">
        <v>217</v>
      </c>
      <c r="I242" s="6">
        <v>6000</v>
      </c>
      <c r="J242" s="6">
        <v>6000</v>
      </c>
      <c r="K242" s="6">
        <v>0</v>
      </c>
      <c r="L242" s="4" t="s">
        <v>579</v>
      </c>
      <c r="M242" s="4" t="s">
        <v>225</v>
      </c>
    </row>
    <row r="243" ht="18" customHeight="1" spans="1:13">
      <c r="A243" s="4" t="s">
        <v>511</v>
      </c>
      <c r="B243" s="5">
        <v>27</v>
      </c>
      <c r="C243" s="4" t="s">
        <v>172</v>
      </c>
      <c r="D243" s="4" t="s">
        <v>48</v>
      </c>
      <c r="E243" s="4" t="s">
        <v>96</v>
      </c>
      <c r="F243" s="4" t="s">
        <v>97</v>
      </c>
      <c r="G243" s="4" t="s">
        <v>197</v>
      </c>
      <c r="H243" s="4" t="s">
        <v>227</v>
      </c>
      <c r="I243" s="6">
        <v>7200</v>
      </c>
      <c r="J243" s="6">
        <v>7200</v>
      </c>
      <c r="K243" s="6">
        <v>0</v>
      </c>
      <c r="L243" s="4" t="s">
        <v>579</v>
      </c>
      <c r="M243" s="4" t="s">
        <v>483</v>
      </c>
    </row>
    <row r="244" ht="36" customHeight="1" spans="1:13">
      <c r="A244" s="4" t="s">
        <v>511</v>
      </c>
      <c r="B244" s="5">
        <v>28</v>
      </c>
      <c r="C244" s="4" t="s">
        <v>172</v>
      </c>
      <c r="D244" s="4" t="s">
        <v>48</v>
      </c>
      <c r="E244" s="4" t="s">
        <v>66</v>
      </c>
      <c r="F244" s="4" t="s">
        <v>67</v>
      </c>
      <c r="G244" s="4" t="s">
        <v>189</v>
      </c>
      <c r="H244" s="4" t="s">
        <v>190</v>
      </c>
      <c r="I244" s="6">
        <v>5600</v>
      </c>
      <c r="J244" s="6">
        <v>5600</v>
      </c>
      <c r="K244" s="6">
        <v>0</v>
      </c>
      <c r="L244" s="4" t="s">
        <v>579</v>
      </c>
      <c r="M244" s="4" t="s">
        <v>196</v>
      </c>
    </row>
    <row r="245" ht="36" customHeight="1" spans="1:13">
      <c r="A245" s="4" t="s">
        <v>511</v>
      </c>
      <c r="B245" s="5">
        <v>31</v>
      </c>
      <c r="C245" s="4" t="s">
        <v>172</v>
      </c>
      <c r="D245" s="4" t="s">
        <v>102</v>
      </c>
      <c r="E245" s="4" t="s">
        <v>66</v>
      </c>
      <c r="F245" s="4" t="s">
        <v>67</v>
      </c>
      <c r="G245" s="4" t="s">
        <v>234</v>
      </c>
      <c r="H245" s="4" t="s">
        <v>217</v>
      </c>
      <c r="I245" s="6">
        <v>4800</v>
      </c>
      <c r="J245" s="6">
        <v>4800</v>
      </c>
      <c r="K245" s="6">
        <v>0</v>
      </c>
      <c r="L245" s="4" t="s">
        <v>579</v>
      </c>
      <c r="M245" s="4" t="s">
        <v>236</v>
      </c>
    </row>
    <row r="246" ht="18" customHeight="1" spans="1:13">
      <c r="A246" s="4" t="s">
        <v>511</v>
      </c>
      <c r="B246" s="5">
        <v>32</v>
      </c>
      <c r="C246" s="4" t="s">
        <v>172</v>
      </c>
      <c r="D246" s="4" t="s">
        <v>102</v>
      </c>
      <c r="E246" s="4" t="s">
        <v>103</v>
      </c>
      <c r="F246" s="4" t="s">
        <v>104</v>
      </c>
      <c r="G246" s="4" t="s">
        <v>234</v>
      </c>
      <c r="H246" s="4" t="s">
        <v>195</v>
      </c>
      <c r="I246" s="6">
        <v>6660</v>
      </c>
      <c r="J246" s="6">
        <v>6660</v>
      </c>
      <c r="K246" s="6">
        <v>0</v>
      </c>
      <c r="L246" s="4" t="s">
        <v>579</v>
      </c>
      <c r="M246" s="4" t="s">
        <v>484</v>
      </c>
    </row>
    <row r="247" ht="36" customHeight="1" spans="1:13">
      <c r="A247" s="4" t="s">
        <v>511</v>
      </c>
      <c r="B247" s="5">
        <v>33</v>
      </c>
      <c r="C247" s="4" t="s">
        <v>172</v>
      </c>
      <c r="D247" s="4" t="s">
        <v>102</v>
      </c>
      <c r="E247" s="4" t="s">
        <v>106</v>
      </c>
      <c r="F247" s="4" t="s">
        <v>107</v>
      </c>
      <c r="G247" s="4" t="s">
        <v>234</v>
      </c>
      <c r="H247" s="4" t="s">
        <v>217</v>
      </c>
      <c r="I247" s="6">
        <v>9500</v>
      </c>
      <c r="J247" s="6">
        <v>9500</v>
      </c>
      <c r="K247" s="6">
        <v>0</v>
      </c>
      <c r="L247" s="4" t="s">
        <v>579</v>
      </c>
      <c r="M247" s="4" t="s">
        <v>485</v>
      </c>
    </row>
    <row r="248" ht="36" customHeight="1" spans="1:13">
      <c r="A248" s="4" t="s">
        <v>511</v>
      </c>
      <c r="B248" s="5">
        <v>34</v>
      </c>
      <c r="C248" s="4" t="s">
        <v>172</v>
      </c>
      <c r="D248" s="4" t="s">
        <v>102</v>
      </c>
      <c r="E248" s="4" t="s">
        <v>66</v>
      </c>
      <c r="F248" s="4" t="s">
        <v>67</v>
      </c>
      <c r="G248" s="4" t="s">
        <v>234</v>
      </c>
      <c r="H248" s="4" t="s">
        <v>217</v>
      </c>
      <c r="I248" s="6">
        <v>4800</v>
      </c>
      <c r="J248" s="6">
        <v>4800</v>
      </c>
      <c r="K248" s="6">
        <v>0</v>
      </c>
      <c r="L248" s="4" t="s">
        <v>579</v>
      </c>
      <c r="M248" s="4" t="s">
        <v>236</v>
      </c>
    </row>
    <row r="249" ht="36" customHeight="1" spans="1:13">
      <c r="A249" s="4" t="s">
        <v>511</v>
      </c>
      <c r="B249" s="5">
        <v>37</v>
      </c>
      <c r="C249" s="4" t="s">
        <v>172</v>
      </c>
      <c r="D249" s="4" t="s">
        <v>109</v>
      </c>
      <c r="E249" s="4" t="s">
        <v>66</v>
      </c>
      <c r="F249" s="4" t="s">
        <v>67</v>
      </c>
      <c r="G249" s="4" t="s">
        <v>243</v>
      </c>
      <c r="H249" s="4" t="s">
        <v>244</v>
      </c>
      <c r="I249" s="6">
        <v>2400</v>
      </c>
      <c r="J249" s="6">
        <v>2400</v>
      </c>
      <c r="K249" s="6">
        <v>0</v>
      </c>
      <c r="L249" s="4" t="s">
        <v>579</v>
      </c>
      <c r="M249" s="4" t="s">
        <v>246</v>
      </c>
    </row>
    <row r="250" ht="18" customHeight="1" spans="1:13">
      <c r="A250" s="4" t="s">
        <v>511</v>
      </c>
      <c r="B250" s="5">
        <v>38</v>
      </c>
      <c r="C250" s="4" t="s">
        <v>172</v>
      </c>
      <c r="D250" s="4" t="s">
        <v>109</v>
      </c>
      <c r="E250" s="4" t="s">
        <v>82</v>
      </c>
      <c r="F250" s="4" t="s">
        <v>83</v>
      </c>
      <c r="G250" s="4" t="s">
        <v>243</v>
      </c>
      <c r="H250" s="4" t="s">
        <v>212</v>
      </c>
      <c r="I250" s="6">
        <v>10500</v>
      </c>
      <c r="J250" s="6">
        <v>10500</v>
      </c>
      <c r="K250" s="6">
        <v>0</v>
      </c>
      <c r="L250" s="4" t="s">
        <v>579</v>
      </c>
      <c r="M250" s="4" t="s">
        <v>213</v>
      </c>
    </row>
    <row r="251" ht="36" customHeight="1" spans="1:13">
      <c r="A251" s="4" t="s">
        <v>511</v>
      </c>
      <c r="B251" s="5">
        <v>39</v>
      </c>
      <c r="C251" s="4" t="s">
        <v>172</v>
      </c>
      <c r="D251" s="4" t="s">
        <v>109</v>
      </c>
      <c r="E251" s="4" t="s">
        <v>68</v>
      </c>
      <c r="F251" s="4" t="s">
        <v>69</v>
      </c>
      <c r="G251" s="4" t="s">
        <v>243</v>
      </c>
      <c r="H251" s="5"/>
      <c r="I251" s="6">
        <v>13000</v>
      </c>
      <c r="J251" s="6">
        <v>13000</v>
      </c>
      <c r="K251" s="6">
        <v>0</v>
      </c>
      <c r="L251" s="4" t="s">
        <v>579</v>
      </c>
      <c r="M251" s="4" t="s">
        <v>487</v>
      </c>
    </row>
    <row r="252" ht="18" customHeight="1" spans="1:13">
      <c r="A252" s="4" t="s">
        <v>511</v>
      </c>
      <c r="B252" s="5">
        <v>40</v>
      </c>
      <c r="C252" s="4" t="s">
        <v>172</v>
      </c>
      <c r="D252" s="4" t="s">
        <v>109</v>
      </c>
      <c r="E252" s="4" t="s">
        <v>84</v>
      </c>
      <c r="F252" s="4" t="s">
        <v>110</v>
      </c>
      <c r="G252" s="4" t="s">
        <v>243</v>
      </c>
      <c r="H252" s="4" t="s">
        <v>202</v>
      </c>
      <c r="I252" s="6">
        <v>14400</v>
      </c>
      <c r="J252" s="6">
        <v>14400</v>
      </c>
      <c r="K252" s="6">
        <v>0</v>
      </c>
      <c r="L252" s="4" t="s">
        <v>579</v>
      </c>
      <c r="M252" s="4" t="s">
        <v>488</v>
      </c>
    </row>
    <row r="253" ht="18" customHeight="1" spans="1:13">
      <c r="A253" s="4" t="s">
        <v>511</v>
      </c>
      <c r="B253" s="5">
        <v>41</v>
      </c>
      <c r="C253" s="4" t="s">
        <v>172</v>
      </c>
      <c r="D253" s="4" t="s">
        <v>109</v>
      </c>
      <c r="E253" s="4" t="s">
        <v>96</v>
      </c>
      <c r="F253" s="4" t="s">
        <v>97</v>
      </c>
      <c r="G253" s="4" t="s">
        <v>243</v>
      </c>
      <c r="H253" s="4" t="s">
        <v>250</v>
      </c>
      <c r="I253" s="6">
        <v>3600</v>
      </c>
      <c r="J253" s="6">
        <v>3600</v>
      </c>
      <c r="K253" s="6">
        <v>0</v>
      </c>
      <c r="L253" s="4" t="s">
        <v>579</v>
      </c>
      <c r="M253" s="4" t="s">
        <v>489</v>
      </c>
    </row>
    <row r="254" ht="18" customHeight="1" spans="1:13">
      <c r="A254" s="4" t="s">
        <v>511</v>
      </c>
      <c r="B254" s="5">
        <v>42</v>
      </c>
      <c r="C254" s="4" t="s">
        <v>172</v>
      </c>
      <c r="D254" s="4" t="s">
        <v>109</v>
      </c>
      <c r="E254" s="4" t="s">
        <v>111</v>
      </c>
      <c r="F254" s="4" t="s">
        <v>112</v>
      </c>
      <c r="G254" s="4" t="s">
        <v>243</v>
      </c>
      <c r="H254" s="4" t="s">
        <v>253</v>
      </c>
      <c r="I254" s="6">
        <v>11660</v>
      </c>
      <c r="J254" s="6">
        <v>11660</v>
      </c>
      <c r="K254" s="6">
        <v>0</v>
      </c>
      <c r="L254" s="4" t="s">
        <v>579</v>
      </c>
      <c r="M254" s="4" t="s">
        <v>490</v>
      </c>
    </row>
    <row r="255" ht="36" customHeight="1" spans="1:13">
      <c r="A255" s="4" t="s">
        <v>511</v>
      </c>
      <c r="B255" s="5">
        <v>43</v>
      </c>
      <c r="C255" s="4" t="s">
        <v>172</v>
      </c>
      <c r="D255" s="4" t="s">
        <v>109</v>
      </c>
      <c r="E255" s="4" t="s">
        <v>66</v>
      </c>
      <c r="F255" s="4" t="s">
        <v>67</v>
      </c>
      <c r="G255" s="4" t="s">
        <v>243</v>
      </c>
      <c r="H255" s="4" t="s">
        <v>244</v>
      </c>
      <c r="I255" s="6">
        <v>2400</v>
      </c>
      <c r="J255" s="6">
        <v>2400</v>
      </c>
      <c r="K255" s="6">
        <v>0</v>
      </c>
      <c r="L255" s="4" t="s">
        <v>579</v>
      </c>
      <c r="M255" s="4" t="s">
        <v>246</v>
      </c>
    </row>
    <row r="256" ht="36" customHeight="1" spans="1:13">
      <c r="A256" s="4" t="s">
        <v>511</v>
      </c>
      <c r="B256" s="5">
        <v>46</v>
      </c>
      <c r="C256" s="4" t="s">
        <v>172</v>
      </c>
      <c r="D256" s="4" t="s">
        <v>113</v>
      </c>
      <c r="E256" s="4" t="s">
        <v>66</v>
      </c>
      <c r="F256" s="4" t="s">
        <v>67</v>
      </c>
      <c r="G256" s="4" t="s">
        <v>258</v>
      </c>
      <c r="H256" s="4" t="s">
        <v>244</v>
      </c>
      <c r="I256" s="6">
        <v>2400</v>
      </c>
      <c r="J256" s="6">
        <v>2400</v>
      </c>
      <c r="K256" s="6">
        <v>0</v>
      </c>
      <c r="L256" s="4" t="s">
        <v>579</v>
      </c>
      <c r="M256" s="4" t="s">
        <v>246</v>
      </c>
    </row>
    <row r="257" ht="36" customHeight="1" spans="1:13">
      <c r="A257" s="4" t="s">
        <v>511</v>
      </c>
      <c r="B257" s="5">
        <v>47</v>
      </c>
      <c r="C257" s="4" t="s">
        <v>172</v>
      </c>
      <c r="D257" s="4" t="s">
        <v>113</v>
      </c>
      <c r="E257" s="4" t="s">
        <v>114</v>
      </c>
      <c r="F257" s="4" t="s">
        <v>115</v>
      </c>
      <c r="G257" s="4" t="s">
        <v>258</v>
      </c>
      <c r="H257" s="4" t="s">
        <v>259</v>
      </c>
      <c r="I257" s="6">
        <v>50400</v>
      </c>
      <c r="J257" s="6">
        <v>50400</v>
      </c>
      <c r="K257" s="6">
        <v>0</v>
      </c>
      <c r="L257" s="4" t="s">
        <v>579</v>
      </c>
      <c r="M257" s="4" t="s">
        <v>492</v>
      </c>
    </row>
    <row r="258" ht="36" customHeight="1" spans="1:13">
      <c r="A258" s="4" t="s">
        <v>511</v>
      </c>
      <c r="B258" s="5">
        <v>48</v>
      </c>
      <c r="C258" s="4" t="s">
        <v>172</v>
      </c>
      <c r="D258" s="4" t="s">
        <v>113</v>
      </c>
      <c r="E258" s="4" t="s">
        <v>66</v>
      </c>
      <c r="F258" s="4" t="s">
        <v>67</v>
      </c>
      <c r="G258" s="4" t="s">
        <v>258</v>
      </c>
      <c r="H258" s="4" t="s">
        <v>244</v>
      </c>
      <c r="I258" s="6">
        <v>2400</v>
      </c>
      <c r="J258" s="6">
        <v>2400</v>
      </c>
      <c r="K258" s="6">
        <v>0</v>
      </c>
      <c r="L258" s="4" t="s">
        <v>579</v>
      </c>
      <c r="M258" s="4" t="s">
        <v>246</v>
      </c>
    </row>
    <row r="259" ht="36" customHeight="1" spans="1:13">
      <c r="A259" s="4" t="s">
        <v>511</v>
      </c>
      <c r="B259" s="5">
        <v>51</v>
      </c>
      <c r="C259" s="4" t="s">
        <v>172</v>
      </c>
      <c r="D259" s="4" t="s">
        <v>116</v>
      </c>
      <c r="E259" s="4" t="s">
        <v>66</v>
      </c>
      <c r="F259" s="4" t="s">
        <v>67</v>
      </c>
      <c r="G259" s="4" t="s">
        <v>263</v>
      </c>
      <c r="H259" s="4" t="s">
        <v>244</v>
      </c>
      <c r="I259" s="6">
        <v>2400</v>
      </c>
      <c r="J259" s="6">
        <v>2400</v>
      </c>
      <c r="K259" s="6">
        <v>0</v>
      </c>
      <c r="L259" s="4" t="s">
        <v>579</v>
      </c>
      <c r="M259" s="4" t="s">
        <v>246</v>
      </c>
    </row>
    <row r="260" ht="36" customHeight="1" spans="1:13">
      <c r="A260" s="4" t="s">
        <v>511</v>
      </c>
      <c r="B260" s="5">
        <v>52</v>
      </c>
      <c r="C260" s="4" t="s">
        <v>172</v>
      </c>
      <c r="D260" s="4" t="s">
        <v>116</v>
      </c>
      <c r="E260" s="4" t="s">
        <v>117</v>
      </c>
      <c r="F260" s="4" t="s">
        <v>118</v>
      </c>
      <c r="G260" s="4" t="s">
        <v>263</v>
      </c>
      <c r="H260" s="4" t="s">
        <v>264</v>
      </c>
      <c r="I260" s="6">
        <v>57600</v>
      </c>
      <c r="J260" s="6">
        <v>57600</v>
      </c>
      <c r="K260" s="6">
        <v>0</v>
      </c>
      <c r="L260" s="4" t="s">
        <v>579</v>
      </c>
      <c r="M260" s="4" t="s">
        <v>494</v>
      </c>
    </row>
    <row r="261" ht="36" customHeight="1" spans="1:13">
      <c r="A261" s="4" t="s">
        <v>511</v>
      </c>
      <c r="B261" s="5">
        <v>53</v>
      </c>
      <c r="C261" s="4" t="s">
        <v>172</v>
      </c>
      <c r="D261" s="4" t="s">
        <v>116</v>
      </c>
      <c r="E261" s="4" t="s">
        <v>66</v>
      </c>
      <c r="F261" s="4" t="s">
        <v>67</v>
      </c>
      <c r="G261" s="4" t="s">
        <v>263</v>
      </c>
      <c r="H261" s="4" t="s">
        <v>244</v>
      </c>
      <c r="I261" s="6">
        <v>2400</v>
      </c>
      <c r="J261" s="6">
        <v>2400</v>
      </c>
      <c r="K261" s="6">
        <v>0</v>
      </c>
      <c r="L261" s="4" t="s">
        <v>579</v>
      </c>
      <c r="M261" s="4" t="s">
        <v>246</v>
      </c>
    </row>
    <row r="262" ht="36" customHeight="1" spans="1:13">
      <c r="A262" s="4" t="s">
        <v>511</v>
      </c>
      <c r="B262" s="5">
        <v>56</v>
      </c>
      <c r="C262" s="4" t="s">
        <v>172</v>
      </c>
      <c r="D262" s="4" t="s">
        <v>394</v>
      </c>
      <c r="E262" s="4" t="s">
        <v>66</v>
      </c>
      <c r="F262" s="4" t="s">
        <v>67</v>
      </c>
      <c r="G262" s="4" t="s">
        <v>268</v>
      </c>
      <c r="H262" s="4" t="s">
        <v>244</v>
      </c>
      <c r="I262" s="6">
        <v>2400</v>
      </c>
      <c r="J262" s="6">
        <v>2400</v>
      </c>
      <c r="K262" s="6">
        <v>0</v>
      </c>
      <c r="L262" s="4" t="s">
        <v>579</v>
      </c>
      <c r="M262" s="4" t="s">
        <v>246</v>
      </c>
    </row>
    <row r="263" ht="18" customHeight="1" spans="1:13">
      <c r="A263" s="4" t="s">
        <v>511</v>
      </c>
      <c r="B263" s="5">
        <v>57</v>
      </c>
      <c r="C263" s="4" t="s">
        <v>172</v>
      </c>
      <c r="D263" s="4" t="s">
        <v>394</v>
      </c>
      <c r="E263" s="4" t="s">
        <v>120</v>
      </c>
      <c r="F263" s="4" t="s">
        <v>121</v>
      </c>
      <c r="G263" s="4" t="s">
        <v>268</v>
      </c>
      <c r="H263" s="4" t="s">
        <v>271</v>
      </c>
      <c r="I263" s="6">
        <v>55935</v>
      </c>
      <c r="J263" s="6">
        <v>55935</v>
      </c>
      <c r="K263" s="6">
        <v>0</v>
      </c>
      <c r="L263" s="4" t="s">
        <v>579</v>
      </c>
      <c r="M263" s="4" t="s">
        <v>495</v>
      </c>
    </row>
    <row r="264" ht="36" customHeight="1" spans="1:13">
      <c r="A264" s="4" t="s">
        <v>511</v>
      </c>
      <c r="B264" s="5">
        <v>58</v>
      </c>
      <c r="C264" s="4" t="s">
        <v>172</v>
      </c>
      <c r="D264" s="4" t="s">
        <v>394</v>
      </c>
      <c r="E264" s="4" t="s">
        <v>66</v>
      </c>
      <c r="F264" s="4" t="s">
        <v>67</v>
      </c>
      <c r="G264" s="4" t="s">
        <v>268</v>
      </c>
      <c r="H264" s="4" t="s">
        <v>244</v>
      </c>
      <c r="I264" s="6">
        <v>2400</v>
      </c>
      <c r="J264" s="6">
        <v>2400</v>
      </c>
      <c r="K264" s="6">
        <v>0</v>
      </c>
      <c r="L264" s="4" t="s">
        <v>579</v>
      </c>
      <c r="M264" s="4" t="s">
        <v>246</v>
      </c>
    </row>
    <row r="265" ht="53" customHeight="1" spans="1:13">
      <c r="A265" s="4" t="s">
        <v>511</v>
      </c>
      <c r="B265" s="5">
        <v>59</v>
      </c>
      <c r="C265" s="4" t="s">
        <v>172</v>
      </c>
      <c r="D265" s="4" t="s">
        <v>394</v>
      </c>
      <c r="E265" s="4" t="s">
        <v>123</v>
      </c>
      <c r="F265" s="4" t="s">
        <v>123</v>
      </c>
      <c r="G265" s="4" t="s">
        <v>268</v>
      </c>
      <c r="H265" s="4" t="s">
        <v>333</v>
      </c>
      <c r="I265" s="6">
        <v>23100</v>
      </c>
      <c r="J265" s="6">
        <v>23100</v>
      </c>
      <c r="K265" s="6">
        <v>0</v>
      </c>
      <c r="L265" s="4" t="s">
        <v>579</v>
      </c>
      <c r="M265" s="4" t="s">
        <v>496</v>
      </c>
    </row>
    <row r="266" ht="36" customHeight="1" spans="1:13">
      <c r="A266" s="4" t="s">
        <v>511</v>
      </c>
      <c r="B266" s="5">
        <v>62</v>
      </c>
      <c r="C266" s="4" t="s">
        <v>172</v>
      </c>
      <c r="D266" s="4" t="s">
        <v>399</v>
      </c>
      <c r="E266" s="4" t="s">
        <v>66</v>
      </c>
      <c r="F266" s="4" t="s">
        <v>67</v>
      </c>
      <c r="G266" s="4" t="s">
        <v>280</v>
      </c>
      <c r="H266" s="4" t="s">
        <v>244</v>
      </c>
      <c r="I266" s="6">
        <v>2400</v>
      </c>
      <c r="J266" s="6">
        <v>2400</v>
      </c>
      <c r="K266" s="6">
        <v>0</v>
      </c>
      <c r="L266" s="4" t="s">
        <v>579</v>
      </c>
      <c r="M266" s="4" t="s">
        <v>246</v>
      </c>
    </row>
    <row r="267" ht="36" customHeight="1" spans="1:13">
      <c r="A267" s="4" t="s">
        <v>511</v>
      </c>
      <c r="B267" s="5">
        <v>63</v>
      </c>
      <c r="C267" s="4" t="s">
        <v>172</v>
      </c>
      <c r="D267" s="4" t="s">
        <v>399</v>
      </c>
      <c r="E267" s="4" t="s">
        <v>125</v>
      </c>
      <c r="F267" s="4" t="s">
        <v>126</v>
      </c>
      <c r="G267" s="4" t="s">
        <v>280</v>
      </c>
      <c r="H267" s="4" t="s">
        <v>207</v>
      </c>
      <c r="I267" s="6">
        <v>5000</v>
      </c>
      <c r="J267" s="6">
        <v>5000</v>
      </c>
      <c r="K267" s="6">
        <v>0</v>
      </c>
      <c r="L267" s="4" t="s">
        <v>579</v>
      </c>
      <c r="M267" s="4" t="s">
        <v>428</v>
      </c>
    </row>
    <row r="268" ht="36" customHeight="1" spans="1:13">
      <c r="A268" s="4" t="s">
        <v>511</v>
      </c>
      <c r="B268" s="5">
        <v>64</v>
      </c>
      <c r="C268" s="4" t="s">
        <v>172</v>
      </c>
      <c r="D268" s="4" t="s">
        <v>399</v>
      </c>
      <c r="E268" s="4" t="s">
        <v>66</v>
      </c>
      <c r="F268" s="4" t="s">
        <v>67</v>
      </c>
      <c r="G268" s="4" t="s">
        <v>280</v>
      </c>
      <c r="H268" s="4" t="s">
        <v>244</v>
      </c>
      <c r="I268" s="6">
        <v>2400</v>
      </c>
      <c r="J268" s="6">
        <v>2400</v>
      </c>
      <c r="K268" s="6">
        <v>0</v>
      </c>
      <c r="L268" s="4" t="s">
        <v>579</v>
      </c>
      <c r="M268" s="4" t="s">
        <v>246</v>
      </c>
    </row>
    <row r="269" ht="36" customHeight="1" spans="1:13">
      <c r="A269" s="4" t="s">
        <v>511</v>
      </c>
      <c r="B269" s="5">
        <v>67</v>
      </c>
      <c r="C269" s="4" t="s">
        <v>172</v>
      </c>
      <c r="D269" s="4" t="s">
        <v>127</v>
      </c>
      <c r="E269" s="4" t="s">
        <v>66</v>
      </c>
      <c r="F269" s="4" t="s">
        <v>67</v>
      </c>
      <c r="G269" s="4" t="s">
        <v>283</v>
      </c>
      <c r="H269" s="4" t="s">
        <v>244</v>
      </c>
      <c r="I269" s="6">
        <v>2400</v>
      </c>
      <c r="J269" s="6">
        <v>2400</v>
      </c>
      <c r="K269" s="6">
        <v>0</v>
      </c>
      <c r="L269" s="4" t="s">
        <v>579</v>
      </c>
      <c r="M269" s="4" t="s">
        <v>246</v>
      </c>
    </row>
    <row r="270" ht="36" customHeight="1" spans="1:13">
      <c r="A270" s="4" t="s">
        <v>511</v>
      </c>
      <c r="B270" s="5">
        <v>68</v>
      </c>
      <c r="C270" s="4" t="s">
        <v>172</v>
      </c>
      <c r="D270" s="4" t="s">
        <v>127</v>
      </c>
      <c r="E270" s="4" t="s">
        <v>128</v>
      </c>
      <c r="F270" s="4" t="s">
        <v>129</v>
      </c>
      <c r="G270" s="4" t="s">
        <v>283</v>
      </c>
      <c r="H270" s="4" t="s">
        <v>284</v>
      </c>
      <c r="I270" s="6">
        <v>30000</v>
      </c>
      <c r="J270" s="6">
        <v>30000</v>
      </c>
      <c r="K270" s="6">
        <v>0</v>
      </c>
      <c r="L270" s="4" t="s">
        <v>579</v>
      </c>
      <c r="M270" s="4" t="s">
        <v>497</v>
      </c>
    </row>
    <row r="271" ht="36" customHeight="1" spans="1:13">
      <c r="A271" s="4" t="s">
        <v>511</v>
      </c>
      <c r="B271" s="5">
        <v>69</v>
      </c>
      <c r="C271" s="4" t="s">
        <v>172</v>
      </c>
      <c r="D271" s="4" t="s">
        <v>127</v>
      </c>
      <c r="E271" s="4" t="s">
        <v>66</v>
      </c>
      <c r="F271" s="4" t="s">
        <v>67</v>
      </c>
      <c r="G271" s="4" t="s">
        <v>283</v>
      </c>
      <c r="H271" s="4" t="s">
        <v>244</v>
      </c>
      <c r="I271" s="6">
        <v>2400</v>
      </c>
      <c r="J271" s="6">
        <v>2400</v>
      </c>
      <c r="K271" s="6">
        <v>0</v>
      </c>
      <c r="L271" s="4" t="s">
        <v>579</v>
      </c>
      <c r="M271" s="4" t="s">
        <v>246</v>
      </c>
    </row>
    <row r="272" ht="36" customHeight="1" spans="1:13">
      <c r="A272" s="4" t="s">
        <v>511</v>
      </c>
      <c r="B272" s="5">
        <v>72</v>
      </c>
      <c r="C272" s="4" t="s">
        <v>172</v>
      </c>
      <c r="D272" s="4" t="s">
        <v>130</v>
      </c>
      <c r="E272" s="4" t="s">
        <v>66</v>
      </c>
      <c r="F272" s="4" t="s">
        <v>67</v>
      </c>
      <c r="G272" s="4" t="s">
        <v>288</v>
      </c>
      <c r="H272" s="4" t="s">
        <v>244</v>
      </c>
      <c r="I272" s="6">
        <v>2400</v>
      </c>
      <c r="J272" s="6">
        <v>2400</v>
      </c>
      <c r="K272" s="6">
        <v>0</v>
      </c>
      <c r="L272" s="4" t="s">
        <v>579</v>
      </c>
      <c r="M272" s="4" t="s">
        <v>246</v>
      </c>
    </row>
    <row r="273" ht="36" customHeight="1" spans="1:13">
      <c r="A273" s="4" t="s">
        <v>511</v>
      </c>
      <c r="B273" s="5">
        <v>73</v>
      </c>
      <c r="C273" s="4" t="s">
        <v>172</v>
      </c>
      <c r="D273" s="4" t="s">
        <v>130</v>
      </c>
      <c r="E273" s="4" t="s">
        <v>131</v>
      </c>
      <c r="F273" s="4" t="s">
        <v>132</v>
      </c>
      <c r="G273" s="4" t="s">
        <v>288</v>
      </c>
      <c r="H273" s="4" t="s">
        <v>284</v>
      </c>
      <c r="I273" s="6">
        <v>30000</v>
      </c>
      <c r="J273" s="6">
        <v>30000</v>
      </c>
      <c r="K273" s="6">
        <v>0</v>
      </c>
      <c r="L273" s="4" t="s">
        <v>579</v>
      </c>
      <c r="M273" s="4" t="s">
        <v>497</v>
      </c>
    </row>
    <row r="274" ht="36" customHeight="1" spans="1:13">
      <c r="A274" s="4" t="s">
        <v>511</v>
      </c>
      <c r="B274" s="5">
        <v>74</v>
      </c>
      <c r="C274" s="4" t="s">
        <v>172</v>
      </c>
      <c r="D274" s="4" t="s">
        <v>130</v>
      </c>
      <c r="E274" s="4" t="s">
        <v>66</v>
      </c>
      <c r="F274" s="4" t="s">
        <v>67</v>
      </c>
      <c r="G274" s="4" t="s">
        <v>288</v>
      </c>
      <c r="H274" s="4" t="s">
        <v>244</v>
      </c>
      <c r="I274" s="6">
        <v>2400</v>
      </c>
      <c r="J274" s="6">
        <v>2400</v>
      </c>
      <c r="K274" s="6">
        <v>0</v>
      </c>
      <c r="L274" s="4" t="s">
        <v>579</v>
      </c>
      <c r="M274" s="4" t="s">
        <v>246</v>
      </c>
    </row>
    <row r="275" ht="36" customHeight="1" spans="1:13">
      <c r="A275" s="4" t="s">
        <v>511</v>
      </c>
      <c r="B275" s="5">
        <v>77</v>
      </c>
      <c r="C275" s="4" t="s">
        <v>172</v>
      </c>
      <c r="D275" s="4" t="s">
        <v>133</v>
      </c>
      <c r="E275" s="4" t="s">
        <v>66</v>
      </c>
      <c r="F275" s="4" t="s">
        <v>67</v>
      </c>
      <c r="G275" s="4" t="s">
        <v>291</v>
      </c>
      <c r="H275" s="4" t="s">
        <v>244</v>
      </c>
      <c r="I275" s="6">
        <v>2400</v>
      </c>
      <c r="J275" s="6">
        <v>2400</v>
      </c>
      <c r="K275" s="6">
        <v>0</v>
      </c>
      <c r="L275" s="4" t="s">
        <v>579</v>
      </c>
      <c r="M275" s="4" t="s">
        <v>246</v>
      </c>
    </row>
    <row r="276" ht="36" customHeight="1" spans="1:13">
      <c r="A276" s="4" t="s">
        <v>511</v>
      </c>
      <c r="B276" s="5">
        <v>78</v>
      </c>
      <c r="C276" s="4" t="s">
        <v>172</v>
      </c>
      <c r="D276" s="4" t="s">
        <v>133</v>
      </c>
      <c r="E276" s="4" t="s">
        <v>131</v>
      </c>
      <c r="F276" s="4" t="s">
        <v>134</v>
      </c>
      <c r="G276" s="4" t="s">
        <v>291</v>
      </c>
      <c r="H276" s="4" t="s">
        <v>292</v>
      </c>
      <c r="I276" s="6">
        <v>33000</v>
      </c>
      <c r="J276" s="6">
        <v>33000</v>
      </c>
      <c r="K276" s="6">
        <v>0</v>
      </c>
      <c r="L276" s="4" t="s">
        <v>579</v>
      </c>
      <c r="M276" s="4" t="s">
        <v>498</v>
      </c>
    </row>
    <row r="277" ht="36" customHeight="1" spans="1:13">
      <c r="A277" s="4" t="s">
        <v>511</v>
      </c>
      <c r="B277" s="5">
        <v>79</v>
      </c>
      <c r="C277" s="4" t="s">
        <v>172</v>
      </c>
      <c r="D277" s="4" t="s">
        <v>133</v>
      </c>
      <c r="E277" s="4" t="s">
        <v>66</v>
      </c>
      <c r="F277" s="4" t="s">
        <v>67</v>
      </c>
      <c r="G277" s="4" t="s">
        <v>291</v>
      </c>
      <c r="H277" s="4" t="s">
        <v>244</v>
      </c>
      <c r="I277" s="6">
        <v>2400</v>
      </c>
      <c r="J277" s="6">
        <v>2400</v>
      </c>
      <c r="K277" s="6">
        <v>0</v>
      </c>
      <c r="L277" s="4" t="s">
        <v>579</v>
      </c>
      <c r="M277" s="4" t="s">
        <v>246</v>
      </c>
    </row>
    <row r="278" ht="36" customHeight="1" spans="1:13">
      <c r="A278" s="4" t="s">
        <v>511</v>
      </c>
      <c r="B278" s="5">
        <v>82</v>
      </c>
      <c r="C278" s="4" t="s">
        <v>172</v>
      </c>
      <c r="D278" s="4" t="s">
        <v>405</v>
      </c>
      <c r="E278" s="4" t="s">
        <v>66</v>
      </c>
      <c r="F278" s="4" t="s">
        <v>67</v>
      </c>
      <c r="G278" s="4" t="s">
        <v>296</v>
      </c>
      <c r="H278" s="4" t="s">
        <v>244</v>
      </c>
      <c r="I278" s="6">
        <v>2400</v>
      </c>
      <c r="J278" s="6">
        <v>2400</v>
      </c>
      <c r="K278" s="6">
        <v>0</v>
      </c>
      <c r="L278" s="4" t="s">
        <v>579</v>
      </c>
      <c r="M278" s="4" t="s">
        <v>246</v>
      </c>
    </row>
    <row r="279" ht="18" customHeight="1" spans="1:13">
      <c r="A279" s="4" t="s">
        <v>511</v>
      </c>
      <c r="B279" s="5">
        <v>83</v>
      </c>
      <c r="C279" s="4" t="s">
        <v>172</v>
      </c>
      <c r="D279" s="4" t="s">
        <v>405</v>
      </c>
      <c r="E279" s="4" t="s">
        <v>137</v>
      </c>
      <c r="F279" s="4" t="s">
        <v>297</v>
      </c>
      <c r="G279" s="4" t="s">
        <v>296</v>
      </c>
      <c r="H279" s="4" t="s">
        <v>198</v>
      </c>
      <c r="I279" s="6">
        <v>6600</v>
      </c>
      <c r="J279" s="6">
        <v>6600</v>
      </c>
      <c r="K279" s="6">
        <v>0</v>
      </c>
      <c r="L279" s="4" t="s">
        <v>579</v>
      </c>
      <c r="M279" s="4" t="s">
        <v>298</v>
      </c>
    </row>
    <row r="280" ht="36" customHeight="1" spans="1:13">
      <c r="A280" s="4" t="s">
        <v>511</v>
      </c>
      <c r="B280" s="5">
        <v>84</v>
      </c>
      <c r="C280" s="4" t="s">
        <v>172</v>
      </c>
      <c r="D280" s="4" t="s">
        <v>405</v>
      </c>
      <c r="E280" s="4" t="s">
        <v>66</v>
      </c>
      <c r="F280" s="4" t="s">
        <v>67</v>
      </c>
      <c r="G280" s="4" t="s">
        <v>296</v>
      </c>
      <c r="H280" s="4" t="s">
        <v>244</v>
      </c>
      <c r="I280" s="6">
        <v>2400</v>
      </c>
      <c r="J280" s="6">
        <v>2400</v>
      </c>
      <c r="K280" s="6">
        <v>0</v>
      </c>
      <c r="L280" s="4" t="s">
        <v>579</v>
      </c>
      <c r="M280" s="4" t="s">
        <v>246</v>
      </c>
    </row>
    <row r="281" ht="36" customHeight="1" spans="1:13">
      <c r="A281" s="4" t="s">
        <v>511</v>
      </c>
      <c r="B281" s="5">
        <v>90</v>
      </c>
      <c r="C281" s="4" t="s">
        <v>175</v>
      </c>
      <c r="D281" s="4" t="s">
        <v>48</v>
      </c>
      <c r="E281" s="4" t="s">
        <v>66</v>
      </c>
      <c r="F281" s="4" t="s">
        <v>67</v>
      </c>
      <c r="G281" s="4" t="s">
        <v>189</v>
      </c>
      <c r="H281" s="4" t="s">
        <v>190</v>
      </c>
      <c r="I281" s="6">
        <v>5600</v>
      </c>
      <c r="J281" s="6">
        <v>5600</v>
      </c>
      <c r="K281" s="6">
        <v>0</v>
      </c>
      <c r="L281" s="4" t="s">
        <v>579</v>
      </c>
      <c r="M281" s="4" t="s">
        <v>196</v>
      </c>
    </row>
    <row r="282" ht="18" customHeight="1" spans="1:13">
      <c r="A282" s="4" t="s">
        <v>511</v>
      </c>
      <c r="B282" s="5">
        <v>91</v>
      </c>
      <c r="C282" s="4" t="s">
        <v>175</v>
      </c>
      <c r="D282" s="4" t="s">
        <v>48</v>
      </c>
      <c r="E282" s="4" t="s">
        <v>68</v>
      </c>
      <c r="F282" s="4" t="s">
        <v>69</v>
      </c>
      <c r="G282" s="4" t="s">
        <v>197</v>
      </c>
      <c r="H282" s="5"/>
      <c r="I282" s="6">
        <v>31000</v>
      </c>
      <c r="J282" s="6">
        <v>31000</v>
      </c>
      <c r="K282" s="6">
        <v>0</v>
      </c>
      <c r="L282" s="4" t="s">
        <v>579</v>
      </c>
      <c r="M282" s="4" t="s">
        <v>474</v>
      </c>
    </row>
    <row r="283" ht="18" customHeight="1" spans="1:13">
      <c r="A283" s="4" t="s">
        <v>511</v>
      </c>
      <c r="B283" s="5">
        <v>92</v>
      </c>
      <c r="C283" s="4" t="s">
        <v>175</v>
      </c>
      <c r="D283" s="4" t="s">
        <v>48</v>
      </c>
      <c r="E283" s="4" t="s">
        <v>70</v>
      </c>
      <c r="F283" s="4" t="s">
        <v>71</v>
      </c>
      <c r="G283" s="4" t="s">
        <v>197</v>
      </c>
      <c r="H283" s="4" t="s">
        <v>202</v>
      </c>
      <c r="I283" s="6">
        <v>960</v>
      </c>
      <c r="J283" s="6">
        <v>960</v>
      </c>
      <c r="K283" s="6">
        <v>0</v>
      </c>
      <c r="L283" s="4" t="s">
        <v>579</v>
      </c>
      <c r="M283" s="4" t="s">
        <v>475</v>
      </c>
    </row>
    <row r="284" ht="18" customHeight="1" spans="1:13">
      <c r="A284" s="4" t="s">
        <v>511</v>
      </c>
      <c r="B284" s="5">
        <v>93</v>
      </c>
      <c r="C284" s="4" t="s">
        <v>175</v>
      </c>
      <c r="D284" s="4" t="s">
        <v>48</v>
      </c>
      <c r="E284" s="4" t="s">
        <v>72</v>
      </c>
      <c r="F284" s="4" t="s">
        <v>73</v>
      </c>
      <c r="G284" s="4" t="s">
        <v>197</v>
      </c>
      <c r="H284" s="4" t="s">
        <v>202</v>
      </c>
      <c r="I284" s="6">
        <v>960</v>
      </c>
      <c r="J284" s="6">
        <v>960</v>
      </c>
      <c r="K284" s="6">
        <v>0</v>
      </c>
      <c r="L284" s="4" t="s">
        <v>579</v>
      </c>
      <c r="M284" s="4" t="s">
        <v>475</v>
      </c>
    </row>
    <row r="285" ht="18" customHeight="1" spans="1:13">
      <c r="A285" s="4" t="s">
        <v>511</v>
      </c>
      <c r="B285" s="5">
        <v>94</v>
      </c>
      <c r="C285" s="4" t="s">
        <v>175</v>
      </c>
      <c r="D285" s="4" t="s">
        <v>48</v>
      </c>
      <c r="E285" s="4" t="s">
        <v>74</v>
      </c>
      <c r="F285" s="4" t="s">
        <v>75</v>
      </c>
      <c r="G285" s="4" t="s">
        <v>197</v>
      </c>
      <c r="H285" s="4" t="s">
        <v>202</v>
      </c>
      <c r="I285" s="6">
        <v>960</v>
      </c>
      <c r="J285" s="6">
        <v>960</v>
      </c>
      <c r="K285" s="6">
        <v>0</v>
      </c>
      <c r="L285" s="4" t="s">
        <v>579</v>
      </c>
      <c r="M285" s="4" t="s">
        <v>475</v>
      </c>
    </row>
    <row r="286" ht="18" customHeight="1" spans="1:13">
      <c r="A286" s="4" t="s">
        <v>511</v>
      </c>
      <c r="B286" s="5">
        <v>95</v>
      </c>
      <c r="C286" s="4" t="s">
        <v>175</v>
      </c>
      <c r="D286" s="4" t="s">
        <v>48</v>
      </c>
      <c r="E286" s="4" t="s">
        <v>76</v>
      </c>
      <c r="F286" s="4" t="s">
        <v>77</v>
      </c>
      <c r="G286" s="4" t="s">
        <v>197</v>
      </c>
      <c r="H286" s="4" t="s">
        <v>205</v>
      </c>
      <c r="I286" s="6">
        <v>3840</v>
      </c>
      <c r="J286" s="6">
        <v>3840</v>
      </c>
      <c r="K286" s="6">
        <v>0</v>
      </c>
      <c r="L286" s="4" t="s">
        <v>579</v>
      </c>
      <c r="M286" s="4" t="s">
        <v>476</v>
      </c>
    </row>
    <row r="287" ht="18" customHeight="1" spans="1:13">
      <c r="A287" s="4" t="s">
        <v>511</v>
      </c>
      <c r="B287" s="5">
        <v>96</v>
      </c>
      <c r="C287" s="4" t="s">
        <v>175</v>
      </c>
      <c r="D287" s="4" t="s">
        <v>48</v>
      </c>
      <c r="E287" s="4" t="s">
        <v>78</v>
      </c>
      <c r="F287" s="4" t="s">
        <v>79</v>
      </c>
      <c r="G287" s="4" t="s">
        <v>197</v>
      </c>
      <c r="H287" s="4" t="s">
        <v>207</v>
      </c>
      <c r="I287" s="6">
        <v>5000</v>
      </c>
      <c r="J287" s="6">
        <v>5000</v>
      </c>
      <c r="K287" s="6">
        <v>0</v>
      </c>
      <c r="L287" s="4" t="s">
        <v>579</v>
      </c>
      <c r="M287" s="4" t="s">
        <v>428</v>
      </c>
    </row>
    <row r="288" ht="18" customHeight="1" spans="1:13">
      <c r="A288" s="4" t="s">
        <v>511</v>
      </c>
      <c r="B288" s="5">
        <v>97</v>
      </c>
      <c r="C288" s="4" t="s">
        <v>175</v>
      </c>
      <c r="D288" s="4" t="s">
        <v>48</v>
      </c>
      <c r="E288" s="4" t="s">
        <v>80</v>
      </c>
      <c r="F288" s="4" t="s">
        <v>81</v>
      </c>
      <c r="G288" s="4" t="s">
        <v>197</v>
      </c>
      <c r="H288" s="4" t="s">
        <v>210</v>
      </c>
      <c r="I288" s="6">
        <v>9600</v>
      </c>
      <c r="J288" s="6">
        <v>9600</v>
      </c>
      <c r="K288" s="6">
        <v>0</v>
      </c>
      <c r="L288" s="4" t="s">
        <v>579</v>
      </c>
      <c r="M288" s="4" t="s">
        <v>477</v>
      </c>
    </row>
    <row r="289" ht="18" customHeight="1" spans="1:13">
      <c r="A289" s="4" t="s">
        <v>511</v>
      </c>
      <c r="B289" s="5">
        <v>98</v>
      </c>
      <c r="C289" s="4" t="s">
        <v>175</v>
      </c>
      <c r="D289" s="4" t="s">
        <v>48</v>
      </c>
      <c r="E289" s="4" t="s">
        <v>82</v>
      </c>
      <c r="F289" s="4" t="s">
        <v>83</v>
      </c>
      <c r="G289" s="4" t="s">
        <v>197</v>
      </c>
      <c r="H289" s="4" t="s">
        <v>212</v>
      </c>
      <c r="I289" s="6">
        <v>10500</v>
      </c>
      <c r="J289" s="6">
        <v>10500</v>
      </c>
      <c r="K289" s="6">
        <v>0</v>
      </c>
      <c r="L289" s="4" t="s">
        <v>579</v>
      </c>
      <c r="M289" s="4" t="s">
        <v>213</v>
      </c>
    </row>
    <row r="290" ht="18" customHeight="1" spans="1:13">
      <c r="A290" s="4" t="s">
        <v>511</v>
      </c>
      <c r="B290" s="5">
        <v>99</v>
      </c>
      <c r="C290" s="4" t="s">
        <v>175</v>
      </c>
      <c r="D290" s="4" t="s">
        <v>48</v>
      </c>
      <c r="E290" s="4" t="s">
        <v>84</v>
      </c>
      <c r="F290" s="4" t="s">
        <v>85</v>
      </c>
      <c r="G290" s="4" t="s">
        <v>197</v>
      </c>
      <c r="H290" s="4" t="s">
        <v>208</v>
      </c>
      <c r="I290" s="6">
        <v>28800</v>
      </c>
      <c r="J290" s="6">
        <v>28800</v>
      </c>
      <c r="K290" s="6">
        <v>0</v>
      </c>
      <c r="L290" s="4" t="s">
        <v>579</v>
      </c>
      <c r="M290" s="4" t="s">
        <v>478</v>
      </c>
    </row>
    <row r="291" ht="36" customHeight="1" spans="1:13">
      <c r="A291" s="4" t="s">
        <v>511</v>
      </c>
      <c r="B291" s="5">
        <v>100</v>
      </c>
      <c r="C291" s="4" t="s">
        <v>175</v>
      </c>
      <c r="D291" s="4" t="s">
        <v>48</v>
      </c>
      <c r="E291" s="4" t="s">
        <v>86</v>
      </c>
      <c r="F291" s="4" t="s">
        <v>87</v>
      </c>
      <c r="G291" s="4" t="s">
        <v>189</v>
      </c>
      <c r="H291" s="4" t="s">
        <v>190</v>
      </c>
      <c r="I291" s="6">
        <v>4200</v>
      </c>
      <c r="J291" s="6">
        <v>4200</v>
      </c>
      <c r="K291" s="6">
        <v>0</v>
      </c>
      <c r="L291" s="4" t="s">
        <v>579</v>
      </c>
      <c r="M291" s="4" t="s">
        <v>216</v>
      </c>
    </row>
    <row r="292" ht="18" customHeight="1" spans="1:13">
      <c r="A292" s="4" t="s">
        <v>511</v>
      </c>
      <c r="B292" s="5">
        <v>101</v>
      </c>
      <c r="C292" s="4" t="s">
        <v>175</v>
      </c>
      <c r="D292" s="4" t="s">
        <v>48</v>
      </c>
      <c r="E292" s="4" t="s">
        <v>88</v>
      </c>
      <c r="F292" s="4" t="s">
        <v>89</v>
      </c>
      <c r="G292" s="4" t="s">
        <v>197</v>
      </c>
      <c r="H292" s="4" t="s">
        <v>217</v>
      </c>
      <c r="I292" s="6">
        <v>3600</v>
      </c>
      <c r="J292" s="6">
        <v>3600</v>
      </c>
      <c r="K292" s="6">
        <v>0</v>
      </c>
      <c r="L292" s="4" t="s">
        <v>579</v>
      </c>
      <c r="M292" s="4" t="s">
        <v>218</v>
      </c>
    </row>
    <row r="293" ht="18" customHeight="1" spans="1:13">
      <c r="A293" s="4" t="s">
        <v>511</v>
      </c>
      <c r="B293" s="5">
        <v>102</v>
      </c>
      <c r="C293" s="4" t="s">
        <v>175</v>
      </c>
      <c r="D293" s="4" t="s">
        <v>48</v>
      </c>
      <c r="E293" s="4" t="s">
        <v>90</v>
      </c>
      <c r="F293" s="4" t="s">
        <v>91</v>
      </c>
      <c r="G293" s="4" t="s">
        <v>197</v>
      </c>
      <c r="H293" s="4" t="s">
        <v>217</v>
      </c>
      <c r="I293" s="6">
        <v>36000</v>
      </c>
      <c r="J293" s="6">
        <v>36000</v>
      </c>
      <c r="K293" s="6">
        <v>0</v>
      </c>
      <c r="L293" s="4" t="s">
        <v>579</v>
      </c>
      <c r="M293" s="4" t="s">
        <v>480</v>
      </c>
    </row>
    <row r="294" ht="18" customHeight="1" spans="1:13">
      <c r="A294" s="4" t="s">
        <v>511</v>
      </c>
      <c r="B294" s="5">
        <v>103</v>
      </c>
      <c r="C294" s="4" t="s">
        <v>175</v>
      </c>
      <c r="D294" s="4" t="s">
        <v>48</v>
      </c>
      <c r="E294" s="4" t="s">
        <v>92</v>
      </c>
      <c r="F294" s="4" t="s">
        <v>93</v>
      </c>
      <c r="G294" s="4" t="s">
        <v>197</v>
      </c>
      <c r="H294" s="4" t="s">
        <v>222</v>
      </c>
      <c r="I294" s="6">
        <v>10560</v>
      </c>
      <c r="J294" s="6">
        <v>10560</v>
      </c>
      <c r="K294" s="6">
        <v>0</v>
      </c>
      <c r="L294" s="4" t="s">
        <v>579</v>
      </c>
      <c r="M294" s="4" t="s">
        <v>481</v>
      </c>
    </row>
    <row r="295" ht="18" customHeight="1" spans="1:13">
      <c r="A295" s="4" t="s">
        <v>511</v>
      </c>
      <c r="B295" s="5">
        <v>104</v>
      </c>
      <c r="C295" s="4" t="s">
        <v>175</v>
      </c>
      <c r="D295" s="4" t="s">
        <v>48</v>
      </c>
      <c r="E295" s="4" t="s">
        <v>94</v>
      </c>
      <c r="F295" s="4" t="s">
        <v>95</v>
      </c>
      <c r="G295" s="4" t="s">
        <v>197</v>
      </c>
      <c r="H295" s="4" t="s">
        <v>217</v>
      </c>
      <c r="I295" s="6">
        <v>6000</v>
      </c>
      <c r="J295" s="6">
        <v>6000</v>
      </c>
      <c r="K295" s="6">
        <v>0</v>
      </c>
      <c r="L295" s="4" t="s">
        <v>579</v>
      </c>
      <c r="M295" s="4" t="s">
        <v>225</v>
      </c>
    </row>
    <row r="296" ht="18" customHeight="1" spans="1:13">
      <c r="A296" s="4" t="s">
        <v>511</v>
      </c>
      <c r="B296" s="5">
        <v>105</v>
      </c>
      <c r="C296" s="4" t="s">
        <v>175</v>
      </c>
      <c r="D296" s="4" t="s">
        <v>48</v>
      </c>
      <c r="E296" s="4" t="s">
        <v>96</v>
      </c>
      <c r="F296" s="4" t="s">
        <v>97</v>
      </c>
      <c r="G296" s="4" t="s">
        <v>197</v>
      </c>
      <c r="H296" s="4" t="s">
        <v>227</v>
      </c>
      <c r="I296" s="6">
        <v>7200</v>
      </c>
      <c r="J296" s="6">
        <v>7200</v>
      </c>
      <c r="K296" s="6">
        <v>0</v>
      </c>
      <c r="L296" s="4" t="s">
        <v>579</v>
      </c>
      <c r="M296" s="4" t="s">
        <v>483</v>
      </c>
    </row>
    <row r="297" ht="36" customHeight="1" spans="1:13">
      <c r="A297" s="4" t="s">
        <v>511</v>
      </c>
      <c r="B297" s="5">
        <v>106</v>
      </c>
      <c r="C297" s="4" t="s">
        <v>175</v>
      </c>
      <c r="D297" s="4" t="s">
        <v>48</v>
      </c>
      <c r="E297" s="4" t="s">
        <v>66</v>
      </c>
      <c r="F297" s="4" t="s">
        <v>67</v>
      </c>
      <c r="G297" s="4" t="s">
        <v>189</v>
      </c>
      <c r="H297" s="4" t="s">
        <v>190</v>
      </c>
      <c r="I297" s="6">
        <v>5600</v>
      </c>
      <c r="J297" s="6">
        <v>5600</v>
      </c>
      <c r="K297" s="6">
        <v>0</v>
      </c>
      <c r="L297" s="4" t="s">
        <v>579</v>
      </c>
      <c r="M297" s="4" t="s">
        <v>196</v>
      </c>
    </row>
    <row r="298" ht="36" customHeight="1" spans="1:13">
      <c r="A298" s="4" t="s">
        <v>511</v>
      </c>
      <c r="B298" s="5">
        <v>109</v>
      </c>
      <c r="C298" s="4" t="s">
        <v>175</v>
      </c>
      <c r="D298" s="4" t="s">
        <v>102</v>
      </c>
      <c r="E298" s="4" t="s">
        <v>66</v>
      </c>
      <c r="F298" s="4" t="s">
        <v>67</v>
      </c>
      <c r="G298" s="4" t="s">
        <v>234</v>
      </c>
      <c r="H298" s="4" t="s">
        <v>217</v>
      </c>
      <c r="I298" s="6">
        <v>4800</v>
      </c>
      <c r="J298" s="6">
        <v>4800</v>
      </c>
      <c r="K298" s="6">
        <v>0</v>
      </c>
      <c r="L298" s="4" t="s">
        <v>579</v>
      </c>
      <c r="M298" s="4" t="s">
        <v>236</v>
      </c>
    </row>
    <row r="299" ht="18" customHeight="1" spans="1:13">
      <c r="A299" s="4" t="s">
        <v>511</v>
      </c>
      <c r="B299" s="5">
        <v>110</v>
      </c>
      <c r="C299" s="4" t="s">
        <v>175</v>
      </c>
      <c r="D299" s="4" t="s">
        <v>102</v>
      </c>
      <c r="E299" s="4" t="s">
        <v>103</v>
      </c>
      <c r="F299" s="4" t="s">
        <v>104</v>
      </c>
      <c r="G299" s="4" t="s">
        <v>234</v>
      </c>
      <c r="H299" s="4" t="s">
        <v>195</v>
      </c>
      <c r="I299" s="6">
        <v>6660</v>
      </c>
      <c r="J299" s="6">
        <v>6660</v>
      </c>
      <c r="K299" s="6">
        <v>0</v>
      </c>
      <c r="L299" s="4" t="s">
        <v>579</v>
      </c>
      <c r="M299" s="4" t="s">
        <v>484</v>
      </c>
    </row>
    <row r="300" ht="36" customHeight="1" spans="1:13">
      <c r="A300" s="4" t="s">
        <v>511</v>
      </c>
      <c r="B300" s="5">
        <v>111</v>
      </c>
      <c r="C300" s="4" t="s">
        <v>175</v>
      </c>
      <c r="D300" s="4" t="s">
        <v>102</v>
      </c>
      <c r="E300" s="4" t="s">
        <v>106</v>
      </c>
      <c r="F300" s="4" t="s">
        <v>107</v>
      </c>
      <c r="G300" s="4" t="s">
        <v>234</v>
      </c>
      <c r="H300" s="4" t="s">
        <v>217</v>
      </c>
      <c r="I300" s="6">
        <v>9500</v>
      </c>
      <c r="J300" s="6">
        <v>9500</v>
      </c>
      <c r="K300" s="6">
        <v>0</v>
      </c>
      <c r="L300" s="4" t="s">
        <v>579</v>
      </c>
      <c r="M300" s="4" t="s">
        <v>485</v>
      </c>
    </row>
    <row r="301" ht="36" customHeight="1" spans="1:13">
      <c r="A301" s="4" t="s">
        <v>511</v>
      </c>
      <c r="B301" s="5">
        <v>112</v>
      </c>
      <c r="C301" s="4" t="s">
        <v>175</v>
      </c>
      <c r="D301" s="4" t="s">
        <v>102</v>
      </c>
      <c r="E301" s="4" t="s">
        <v>66</v>
      </c>
      <c r="F301" s="4" t="s">
        <v>67</v>
      </c>
      <c r="G301" s="4" t="s">
        <v>234</v>
      </c>
      <c r="H301" s="4" t="s">
        <v>217</v>
      </c>
      <c r="I301" s="6">
        <v>4800</v>
      </c>
      <c r="J301" s="6">
        <v>4800</v>
      </c>
      <c r="K301" s="6">
        <v>0</v>
      </c>
      <c r="L301" s="4" t="s">
        <v>579</v>
      </c>
      <c r="M301" s="4" t="s">
        <v>236</v>
      </c>
    </row>
    <row r="302" ht="36" customHeight="1" spans="1:13">
      <c r="A302" s="4" t="s">
        <v>511</v>
      </c>
      <c r="B302" s="5">
        <v>115</v>
      </c>
      <c r="C302" s="4" t="s">
        <v>175</v>
      </c>
      <c r="D302" s="4" t="s">
        <v>109</v>
      </c>
      <c r="E302" s="4" t="s">
        <v>66</v>
      </c>
      <c r="F302" s="4" t="s">
        <v>67</v>
      </c>
      <c r="G302" s="4" t="s">
        <v>243</v>
      </c>
      <c r="H302" s="4" t="s">
        <v>244</v>
      </c>
      <c r="I302" s="6">
        <v>2400</v>
      </c>
      <c r="J302" s="6">
        <v>2400</v>
      </c>
      <c r="K302" s="6">
        <v>0</v>
      </c>
      <c r="L302" s="4" t="s">
        <v>579</v>
      </c>
      <c r="M302" s="4" t="s">
        <v>246</v>
      </c>
    </row>
    <row r="303" ht="18" customHeight="1" spans="1:13">
      <c r="A303" s="4" t="s">
        <v>511</v>
      </c>
      <c r="B303" s="5">
        <v>116</v>
      </c>
      <c r="C303" s="4" t="s">
        <v>175</v>
      </c>
      <c r="D303" s="4" t="s">
        <v>109</v>
      </c>
      <c r="E303" s="4" t="s">
        <v>82</v>
      </c>
      <c r="F303" s="4" t="s">
        <v>83</v>
      </c>
      <c r="G303" s="4" t="s">
        <v>243</v>
      </c>
      <c r="H303" s="4" t="s">
        <v>212</v>
      </c>
      <c r="I303" s="6">
        <v>10500</v>
      </c>
      <c r="J303" s="6">
        <v>10500</v>
      </c>
      <c r="K303" s="6">
        <v>0</v>
      </c>
      <c r="L303" s="4" t="s">
        <v>579</v>
      </c>
      <c r="M303" s="4" t="s">
        <v>213</v>
      </c>
    </row>
    <row r="304" ht="36" customHeight="1" spans="1:13">
      <c r="A304" s="4" t="s">
        <v>511</v>
      </c>
      <c r="B304" s="5">
        <v>117</v>
      </c>
      <c r="C304" s="4" t="s">
        <v>175</v>
      </c>
      <c r="D304" s="4" t="s">
        <v>109</v>
      </c>
      <c r="E304" s="4" t="s">
        <v>68</v>
      </c>
      <c r="F304" s="4" t="s">
        <v>69</v>
      </c>
      <c r="G304" s="4" t="s">
        <v>243</v>
      </c>
      <c r="H304" s="5"/>
      <c r="I304" s="6">
        <v>13000</v>
      </c>
      <c r="J304" s="6">
        <v>13000</v>
      </c>
      <c r="K304" s="6">
        <v>0</v>
      </c>
      <c r="L304" s="4" t="s">
        <v>579</v>
      </c>
      <c r="M304" s="4" t="s">
        <v>487</v>
      </c>
    </row>
    <row r="305" ht="18" customHeight="1" spans="1:13">
      <c r="A305" s="4" t="s">
        <v>511</v>
      </c>
      <c r="B305" s="5">
        <v>118</v>
      </c>
      <c r="C305" s="4" t="s">
        <v>175</v>
      </c>
      <c r="D305" s="4" t="s">
        <v>109</v>
      </c>
      <c r="E305" s="4" t="s">
        <v>84</v>
      </c>
      <c r="F305" s="4" t="s">
        <v>110</v>
      </c>
      <c r="G305" s="4" t="s">
        <v>243</v>
      </c>
      <c r="H305" s="4" t="s">
        <v>202</v>
      </c>
      <c r="I305" s="6">
        <v>14400</v>
      </c>
      <c r="J305" s="6">
        <v>14400</v>
      </c>
      <c r="K305" s="6">
        <v>0</v>
      </c>
      <c r="L305" s="4" t="s">
        <v>579</v>
      </c>
      <c r="M305" s="4" t="s">
        <v>488</v>
      </c>
    </row>
    <row r="306" ht="18" customHeight="1" spans="1:13">
      <c r="A306" s="4" t="s">
        <v>511</v>
      </c>
      <c r="B306" s="5">
        <v>119</v>
      </c>
      <c r="C306" s="4" t="s">
        <v>175</v>
      </c>
      <c r="D306" s="4" t="s">
        <v>109</v>
      </c>
      <c r="E306" s="4" t="s">
        <v>96</v>
      </c>
      <c r="F306" s="4" t="s">
        <v>97</v>
      </c>
      <c r="G306" s="4" t="s">
        <v>243</v>
      </c>
      <c r="H306" s="4" t="s">
        <v>250</v>
      </c>
      <c r="I306" s="6">
        <v>3600</v>
      </c>
      <c r="J306" s="6">
        <v>3600</v>
      </c>
      <c r="K306" s="6">
        <v>0</v>
      </c>
      <c r="L306" s="4" t="s">
        <v>579</v>
      </c>
      <c r="M306" s="4" t="s">
        <v>489</v>
      </c>
    </row>
    <row r="307" ht="18" customHeight="1" spans="1:13">
      <c r="A307" s="4" t="s">
        <v>511</v>
      </c>
      <c r="B307" s="5">
        <v>120</v>
      </c>
      <c r="C307" s="4" t="s">
        <v>175</v>
      </c>
      <c r="D307" s="4" t="s">
        <v>109</v>
      </c>
      <c r="E307" s="4" t="s">
        <v>111</v>
      </c>
      <c r="F307" s="4" t="s">
        <v>112</v>
      </c>
      <c r="G307" s="4" t="s">
        <v>243</v>
      </c>
      <c r="H307" s="4" t="s">
        <v>253</v>
      </c>
      <c r="I307" s="6">
        <v>11660</v>
      </c>
      <c r="J307" s="6">
        <v>11660</v>
      </c>
      <c r="K307" s="6">
        <v>0</v>
      </c>
      <c r="L307" s="4" t="s">
        <v>579</v>
      </c>
      <c r="M307" s="4" t="s">
        <v>490</v>
      </c>
    </row>
    <row r="308" ht="36" customHeight="1" spans="1:13">
      <c r="A308" s="4" t="s">
        <v>511</v>
      </c>
      <c r="B308" s="5">
        <v>121</v>
      </c>
      <c r="C308" s="4" t="s">
        <v>175</v>
      </c>
      <c r="D308" s="4" t="s">
        <v>109</v>
      </c>
      <c r="E308" s="4" t="s">
        <v>66</v>
      </c>
      <c r="F308" s="4" t="s">
        <v>67</v>
      </c>
      <c r="G308" s="4" t="s">
        <v>243</v>
      </c>
      <c r="H308" s="4" t="s">
        <v>244</v>
      </c>
      <c r="I308" s="6">
        <v>2400</v>
      </c>
      <c r="J308" s="6">
        <v>2400</v>
      </c>
      <c r="K308" s="6">
        <v>0</v>
      </c>
      <c r="L308" s="4" t="s">
        <v>579</v>
      </c>
      <c r="M308" s="4" t="s">
        <v>246</v>
      </c>
    </row>
    <row r="309" ht="36" customHeight="1" spans="1:13">
      <c r="A309" s="4" t="s">
        <v>511</v>
      </c>
      <c r="B309" s="5">
        <v>124</v>
      </c>
      <c r="C309" s="4" t="s">
        <v>175</v>
      </c>
      <c r="D309" s="4" t="s">
        <v>113</v>
      </c>
      <c r="E309" s="4" t="s">
        <v>66</v>
      </c>
      <c r="F309" s="4" t="s">
        <v>67</v>
      </c>
      <c r="G309" s="4" t="s">
        <v>258</v>
      </c>
      <c r="H309" s="4" t="s">
        <v>244</v>
      </c>
      <c r="I309" s="6">
        <v>2400</v>
      </c>
      <c r="J309" s="6">
        <v>2400</v>
      </c>
      <c r="K309" s="6">
        <v>0</v>
      </c>
      <c r="L309" s="4" t="s">
        <v>579</v>
      </c>
      <c r="M309" s="4" t="s">
        <v>246</v>
      </c>
    </row>
    <row r="310" ht="36" customHeight="1" spans="1:13">
      <c r="A310" s="4" t="s">
        <v>511</v>
      </c>
      <c r="B310" s="5">
        <v>125</v>
      </c>
      <c r="C310" s="4" t="s">
        <v>175</v>
      </c>
      <c r="D310" s="4" t="s">
        <v>113</v>
      </c>
      <c r="E310" s="4" t="s">
        <v>114</v>
      </c>
      <c r="F310" s="4" t="s">
        <v>115</v>
      </c>
      <c r="G310" s="4" t="s">
        <v>258</v>
      </c>
      <c r="H310" s="4" t="s">
        <v>259</v>
      </c>
      <c r="I310" s="6">
        <v>50400</v>
      </c>
      <c r="J310" s="6">
        <v>50400</v>
      </c>
      <c r="K310" s="6">
        <v>0</v>
      </c>
      <c r="L310" s="4" t="s">
        <v>579</v>
      </c>
      <c r="M310" s="4" t="s">
        <v>492</v>
      </c>
    </row>
    <row r="311" ht="36" customHeight="1" spans="1:13">
      <c r="A311" s="4" t="s">
        <v>511</v>
      </c>
      <c r="B311" s="5">
        <v>126</v>
      </c>
      <c r="C311" s="4" t="s">
        <v>175</v>
      </c>
      <c r="D311" s="4" t="s">
        <v>113</v>
      </c>
      <c r="E311" s="4" t="s">
        <v>66</v>
      </c>
      <c r="F311" s="4" t="s">
        <v>67</v>
      </c>
      <c r="G311" s="4" t="s">
        <v>258</v>
      </c>
      <c r="H311" s="4" t="s">
        <v>244</v>
      </c>
      <c r="I311" s="6">
        <v>2400</v>
      </c>
      <c r="J311" s="6">
        <v>2400</v>
      </c>
      <c r="K311" s="6">
        <v>0</v>
      </c>
      <c r="L311" s="4" t="s">
        <v>579</v>
      </c>
      <c r="M311" s="4" t="s">
        <v>246</v>
      </c>
    </row>
    <row r="312" ht="36" customHeight="1" spans="1:13">
      <c r="A312" s="4" t="s">
        <v>511</v>
      </c>
      <c r="B312" s="5">
        <v>129</v>
      </c>
      <c r="C312" s="4" t="s">
        <v>175</v>
      </c>
      <c r="D312" s="4" t="s">
        <v>116</v>
      </c>
      <c r="E312" s="4" t="s">
        <v>66</v>
      </c>
      <c r="F312" s="4" t="s">
        <v>67</v>
      </c>
      <c r="G312" s="4" t="s">
        <v>263</v>
      </c>
      <c r="H312" s="4" t="s">
        <v>244</v>
      </c>
      <c r="I312" s="6">
        <v>2400</v>
      </c>
      <c r="J312" s="6">
        <v>2400</v>
      </c>
      <c r="K312" s="6">
        <v>0</v>
      </c>
      <c r="L312" s="4" t="s">
        <v>579</v>
      </c>
      <c r="M312" s="4" t="s">
        <v>246</v>
      </c>
    </row>
    <row r="313" ht="36" customHeight="1" spans="1:13">
      <c r="A313" s="4" t="s">
        <v>511</v>
      </c>
      <c r="B313" s="5">
        <v>130</v>
      </c>
      <c r="C313" s="4" t="s">
        <v>175</v>
      </c>
      <c r="D313" s="4" t="s">
        <v>116</v>
      </c>
      <c r="E313" s="4" t="s">
        <v>117</v>
      </c>
      <c r="F313" s="4" t="s">
        <v>118</v>
      </c>
      <c r="G313" s="4" t="s">
        <v>263</v>
      </c>
      <c r="H313" s="4" t="s">
        <v>264</v>
      </c>
      <c r="I313" s="6">
        <v>57600</v>
      </c>
      <c r="J313" s="6">
        <v>57600</v>
      </c>
      <c r="K313" s="6">
        <v>0</v>
      </c>
      <c r="L313" s="4" t="s">
        <v>579</v>
      </c>
      <c r="M313" s="4" t="s">
        <v>494</v>
      </c>
    </row>
    <row r="314" ht="36" customHeight="1" spans="1:13">
      <c r="A314" s="4" t="s">
        <v>511</v>
      </c>
      <c r="B314" s="5">
        <v>131</v>
      </c>
      <c r="C314" s="4" t="s">
        <v>175</v>
      </c>
      <c r="D314" s="4" t="s">
        <v>116</v>
      </c>
      <c r="E314" s="4" t="s">
        <v>66</v>
      </c>
      <c r="F314" s="4" t="s">
        <v>67</v>
      </c>
      <c r="G314" s="4" t="s">
        <v>263</v>
      </c>
      <c r="H314" s="4" t="s">
        <v>244</v>
      </c>
      <c r="I314" s="6">
        <v>2400</v>
      </c>
      <c r="J314" s="6">
        <v>2400</v>
      </c>
      <c r="K314" s="6">
        <v>0</v>
      </c>
      <c r="L314" s="4" t="s">
        <v>579</v>
      </c>
      <c r="M314" s="4" t="s">
        <v>246</v>
      </c>
    </row>
    <row r="315" ht="36" customHeight="1" spans="1:13">
      <c r="A315" s="4" t="s">
        <v>511</v>
      </c>
      <c r="B315" s="5">
        <v>134</v>
      </c>
      <c r="C315" s="4" t="s">
        <v>175</v>
      </c>
      <c r="D315" s="4" t="s">
        <v>394</v>
      </c>
      <c r="E315" s="4" t="s">
        <v>66</v>
      </c>
      <c r="F315" s="4" t="s">
        <v>67</v>
      </c>
      <c r="G315" s="4" t="s">
        <v>268</v>
      </c>
      <c r="H315" s="4" t="s">
        <v>244</v>
      </c>
      <c r="I315" s="6">
        <v>2400</v>
      </c>
      <c r="J315" s="6">
        <v>2400</v>
      </c>
      <c r="K315" s="6">
        <v>0</v>
      </c>
      <c r="L315" s="4" t="s">
        <v>579</v>
      </c>
      <c r="M315" s="4" t="s">
        <v>246</v>
      </c>
    </row>
    <row r="316" ht="18" customHeight="1" spans="1:13">
      <c r="A316" s="4" t="s">
        <v>511</v>
      </c>
      <c r="B316" s="5">
        <v>135</v>
      </c>
      <c r="C316" s="4" t="s">
        <v>175</v>
      </c>
      <c r="D316" s="4" t="s">
        <v>394</v>
      </c>
      <c r="E316" s="4" t="s">
        <v>120</v>
      </c>
      <c r="F316" s="4" t="s">
        <v>121</v>
      </c>
      <c r="G316" s="4" t="s">
        <v>268</v>
      </c>
      <c r="H316" s="4" t="s">
        <v>271</v>
      </c>
      <c r="I316" s="6">
        <v>55935</v>
      </c>
      <c r="J316" s="6">
        <v>55935</v>
      </c>
      <c r="K316" s="6">
        <v>0</v>
      </c>
      <c r="L316" s="4" t="s">
        <v>579</v>
      </c>
      <c r="M316" s="4" t="s">
        <v>495</v>
      </c>
    </row>
    <row r="317" ht="36" customHeight="1" spans="1:13">
      <c r="A317" s="4" t="s">
        <v>511</v>
      </c>
      <c r="B317" s="5">
        <v>136</v>
      </c>
      <c r="C317" s="4" t="s">
        <v>175</v>
      </c>
      <c r="D317" s="4" t="s">
        <v>394</v>
      </c>
      <c r="E317" s="4" t="s">
        <v>66</v>
      </c>
      <c r="F317" s="4" t="s">
        <v>67</v>
      </c>
      <c r="G317" s="4" t="s">
        <v>268</v>
      </c>
      <c r="H317" s="4" t="s">
        <v>244</v>
      </c>
      <c r="I317" s="6">
        <v>2400</v>
      </c>
      <c r="J317" s="6">
        <v>2400</v>
      </c>
      <c r="K317" s="6">
        <v>0</v>
      </c>
      <c r="L317" s="4" t="s">
        <v>579</v>
      </c>
      <c r="M317" s="4" t="s">
        <v>246</v>
      </c>
    </row>
    <row r="318" ht="53" customHeight="1" spans="1:13">
      <c r="A318" s="4" t="s">
        <v>511</v>
      </c>
      <c r="B318" s="5">
        <v>137</v>
      </c>
      <c r="C318" s="4" t="s">
        <v>175</v>
      </c>
      <c r="D318" s="4" t="s">
        <v>394</v>
      </c>
      <c r="E318" s="4" t="s">
        <v>123</v>
      </c>
      <c r="F318" s="4" t="s">
        <v>123</v>
      </c>
      <c r="G318" s="4" t="s">
        <v>268</v>
      </c>
      <c r="H318" s="4" t="s">
        <v>333</v>
      </c>
      <c r="I318" s="6">
        <v>23100</v>
      </c>
      <c r="J318" s="6">
        <v>23100</v>
      </c>
      <c r="K318" s="6">
        <v>0</v>
      </c>
      <c r="L318" s="4" t="s">
        <v>579</v>
      </c>
      <c r="M318" s="4" t="s">
        <v>496</v>
      </c>
    </row>
    <row r="319" ht="36" customHeight="1" spans="1:13">
      <c r="A319" s="4" t="s">
        <v>511</v>
      </c>
      <c r="B319" s="5">
        <v>140</v>
      </c>
      <c r="C319" s="4" t="s">
        <v>175</v>
      </c>
      <c r="D319" s="4" t="s">
        <v>399</v>
      </c>
      <c r="E319" s="4" t="s">
        <v>66</v>
      </c>
      <c r="F319" s="4" t="s">
        <v>67</v>
      </c>
      <c r="G319" s="4" t="s">
        <v>280</v>
      </c>
      <c r="H319" s="4" t="s">
        <v>244</v>
      </c>
      <c r="I319" s="6">
        <v>2400</v>
      </c>
      <c r="J319" s="6">
        <v>2400</v>
      </c>
      <c r="K319" s="6">
        <v>0</v>
      </c>
      <c r="L319" s="4" t="s">
        <v>579</v>
      </c>
      <c r="M319" s="4" t="s">
        <v>246</v>
      </c>
    </row>
    <row r="320" ht="36" customHeight="1" spans="1:13">
      <c r="A320" s="4" t="s">
        <v>511</v>
      </c>
      <c r="B320" s="5">
        <v>141</v>
      </c>
      <c r="C320" s="4" t="s">
        <v>175</v>
      </c>
      <c r="D320" s="4" t="s">
        <v>399</v>
      </c>
      <c r="E320" s="4" t="s">
        <v>125</v>
      </c>
      <c r="F320" s="4" t="s">
        <v>126</v>
      </c>
      <c r="G320" s="4" t="s">
        <v>280</v>
      </c>
      <c r="H320" s="4" t="s">
        <v>207</v>
      </c>
      <c r="I320" s="6">
        <v>5000</v>
      </c>
      <c r="J320" s="6">
        <v>5000</v>
      </c>
      <c r="K320" s="6">
        <v>0</v>
      </c>
      <c r="L320" s="4" t="s">
        <v>579</v>
      </c>
      <c r="M320" s="4" t="s">
        <v>428</v>
      </c>
    </row>
    <row r="321" ht="36" customHeight="1" spans="1:13">
      <c r="A321" s="4" t="s">
        <v>511</v>
      </c>
      <c r="B321" s="5">
        <v>142</v>
      </c>
      <c r="C321" s="4" t="s">
        <v>175</v>
      </c>
      <c r="D321" s="4" t="s">
        <v>399</v>
      </c>
      <c r="E321" s="4" t="s">
        <v>66</v>
      </c>
      <c r="F321" s="4" t="s">
        <v>67</v>
      </c>
      <c r="G321" s="4" t="s">
        <v>280</v>
      </c>
      <c r="H321" s="4" t="s">
        <v>244</v>
      </c>
      <c r="I321" s="6">
        <v>2400</v>
      </c>
      <c r="J321" s="6">
        <v>2400</v>
      </c>
      <c r="K321" s="6">
        <v>0</v>
      </c>
      <c r="L321" s="4" t="s">
        <v>579</v>
      </c>
      <c r="M321" s="4" t="s">
        <v>246</v>
      </c>
    </row>
    <row r="322" ht="36" customHeight="1" spans="1:13">
      <c r="A322" s="4" t="s">
        <v>511</v>
      </c>
      <c r="B322" s="5">
        <v>145</v>
      </c>
      <c r="C322" s="4" t="s">
        <v>175</v>
      </c>
      <c r="D322" s="4" t="s">
        <v>127</v>
      </c>
      <c r="E322" s="4" t="s">
        <v>66</v>
      </c>
      <c r="F322" s="4" t="s">
        <v>67</v>
      </c>
      <c r="G322" s="4" t="s">
        <v>283</v>
      </c>
      <c r="H322" s="4" t="s">
        <v>244</v>
      </c>
      <c r="I322" s="6">
        <v>2400</v>
      </c>
      <c r="J322" s="6">
        <v>2400</v>
      </c>
      <c r="K322" s="6">
        <v>0</v>
      </c>
      <c r="L322" s="4" t="s">
        <v>579</v>
      </c>
      <c r="M322" s="4" t="s">
        <v>246</v>
      </c>
    </row>
    <row r="323" ht="36" customHeight="1" spans="1:13">
      <c r="A323" s="4" t="s">
        <v>511</v>
      </c>
      <c r="B323" s="5">
        <v>146</v>
      </c>
      <c r="C323" s="4" t="s">
        <v>175</v>
      </c>
      <c r="D323" s="4" t="s">
        <v>127</v>
      </c>
      <c r="E323" s="4" t="s">
        <v>128</v>
      </c>
      <c r="F323" s="4" t="s">
        <v>129</v>
      </c>
      <c r="G323" s="4" t="s">
        <v>283</v>
      </c>
      <c r="H323" s="4" t="s">
        <v>284</v>
      </c>
      <c r="I323" s="6">
        <v>30000</v>
      </c>
      <c r="J323" s="6">
        <v>30000</v>
      </c>
      <c r="K323" s="6">
        <v>0</v>
      </c>
      <c r="L323" s="4" t="s">
        <v>579</v>
      </c>
      <c r="M323" s="4" t="s">
        <v>497</v>
      </c>
    </row>
    <row r="324" ht="36" customHeight="1" spans="1:13">
      <c r="A324" s="4" t="s">
        <v>511</v>
      </c>
      <c r="B324" s="5">
        <v>147</v>
      </c>
      <c r="C324" s="4" t="s">
        <v>175</v>
      </c>
      <c r="D324" s="4" t="s">
        <v>127</v>
      </c>
      <c r="E324" s="4" t="s">
        <v>66</v>
      </c>
      <c r="F324" s="4" t="s">
        <v>67</v>
      </c>
      <c r="G324" s="4" t="s">
        <v>283</v>
      </c>
      <c r="H324" s="4" t="s">
        <v>244</v>
      </c>
      <c r="I324" s="6">
        <v>2400</v>
      </c>
      <c r="J324" s="6">
        <v>2400</v>
      </c>
      <c r="K324" s="6">
        <v>0</v>
      </c>
      <c r="L324" s="4" t="s">
        <v>579</v>
      </c>
      <c r="M324" s="4" t="s">
        <v>246</v>
      </c>
    </row>
    <row r="325" ht="36" customHeight="1" spans="1:13">
      <c r="A325" s="4" t="s">
        <v>511</v>
      </c>
      <c r="B325" s="5">
        <v>150</v>
      </c>
      <c r="C325" s="4" t="s">
        <v>175</v>
      </c>
      <c r="D325" s="4" t="s">
        <v>130</v>
      </c>
      <c r="E325" s="4" t="s">
        <v>66</v>
      </c>
      <c r="F325" s="4" t="s">
        <v>67</v>
      </c>
      <c r="G325" s="4" t="s">
        <v>288</v>
      </c>
      <c r="H325" s="4" t="s">
        <v>244</v>
      </c>
      <c r="I325" s="6">
        <v>2400</v>
      </c>
      <c r="J325" s="6">
        <v>2400</v>
      </c>
      <c r="K325" s="6">
        <v>0</v>
      </c>
      <c r="L325" s="4" t="s">
        <v>579</v>
      </c>
      <c r="M325" s="4" t="s">
        <v>246</v>
      </c>
    </row>
    <row r="326" ht="36" customHeight="1" spans="1:13">
      <c r="A326" s="4" t="s">
        <v>511</v>
      </c>
      <c r="B326" s="5">
        <v>151</v>
      </c>
      <c r="C326" s="4" t="s">
        <v>175</v>
      </c>
      <c r="D326" s="4" t="s">
        <v>130</v>
      </c>
      <c r="E326" s="4" t="s">
        <v>131</v>
      </c>
      <c r="F326" s="4" t="s">
        <v>132</v>
      </c>
      <c r="G326" s="4" t="s">
        <v>288</v>
      </c>
      <c r="H326" s="4" t="s">
        <v>284</v>
      </c>
      <c r="I326" s="6">
        <v>30000</v>
      </c>
      <c r="J326" s="6">
        <v>30000</v>
      </c>
      <c r="K326" s="6">
        <v>0</v>
      </c>
      <c r="L326" s="4" t="s">
        <v>579</v>
      </c>
      <c r="M326" s="4" t="s">
        <v>497</v>
      </c>
    </row>
    <row r="327" ht="36" customHeight="1" spans="1:13">
      <c r="A327" s="4" t="s">
        <v>511</v>
      </c>
      <c r="B327" s="5">
        <v>152</v>
      </c>
      <c r="C327" s="4" t="s">
        <v>175</v>
      </c>
      <c r="D327" s="4" t="s">
        <v>130</v>
      </c>
      <c r="E327" s="4" t="s">
        <v>66</v>
      </c>
      <c r="F327" s="4" t="s">
        <v>67</v>
      </c>
      <c r="G327" s="4" t="s">
        <v>288</v>
      </c>
      <c r="H327" s="4" t="s">
        <v>244</v>
      </c>
      <c r="I327" s="6">
        <v>2400</v>
      </c>
      <c r="J327" s="6">
        <v>2400</v>
      </c>
      <c r="K327" s="6">
        <v>0</v>
      </c>
      <c r="L327" s="4" t="s">
        <v>579</v>
      </c>
      <c r="M327" s="4" t="s">
        <v>246</v>
      </c>
    </row>
    <row r="328" ht="36" customHeight="1" spans="1:13">
      <c r="A328" s="4" t="s">
        <v>511</v>
      </c>
      <c r="B328" s="5">
        <v>155</v>
      </c>
      <c r="C328" s="4" t="s">
        <v>175</v>
      </c>
      <c r="D328" s="4" t="s">
        <v>133</v>
      </c>
      <c r="E328" s="4" t="s">
        <v>66</v>
      </c>
      <c r="F328" s="4" t="s">
        <v>67</v>
      </c>
      <c r="G328" s="4" t="s">
        <v>291</v>
      </c>
      <c r="H328" s="4" t="s">
        <v>244</v>
      </c>
      <c r="I328" s="6">
        <v>2400</v>
      </c>
      <c r="J328" s="6">
        <v>2400</v>
      </c>
      <c r="K328" s="6">
        <v>0</v>
      </c>
      <c r="L328" s="4" t="s">
        <v>579</v>
      </c>
      <c r="M328" s="4" t="s">
        <v>246</v>
      </c>
    </row>
    <row r="329" ht="36" customHeight="1" spans="1:13">
      <c r="A329" s="4" t="s">
        <v>511</v>
      </c>
      <c r="B329" s="5">
        <v>156</v>
      </c>
      <c r="C329" s="4" t="s">
        <v>175</v>
      </c>
      <c r="D329" s="4" t="s">
        <v>133</v>
      </c>
      <c r="E329" s="4" t="s">
        <v>131</v>
      </c>
      <c r="F329" s="4" t="s">
        <v>134</v>
      </c>
      <c r="G329" s="4" t="s">
        <v>291</v>
      </c>
      <c r="H329" s="4" t="s">
        <v>292</v>
      </c>
      <c r="I329" s="6">
        <v>33000</v>
      </c>
      <c r="J329" s="6">
        <v>33000</v>
      </c>
      <c r="K329" s="6">
        <v>0</v>
      </c>
      <c r="L329" s="4" t="s">
        <v>579</v>
      </c>
      <c r="M329" s="4" t="s">
        <v>498</v>
      </c>
    </row>
    <row r="330" ht="36" customHeight="1" spans="1:13">
      <c r="A330" s="4" t="s">
        <v>511</v>
      </c>
      <c r="B330" s="5">
        <v>157</v>
      </c>
      <c r="C330" s="4" t="s">
        <v>175</v>
      </c>
      <c r="D330" s="4" t="s">
        <v>133</v>
      </c>
      <c r="E330" s="4" t="s">
        <v>66</v>
      </c>
      <c r="F330" s="4" t="s">
        <v>67</v>
      </c>
      <c r="G330" s="4" t="s">
        <v>291</v>
      </c>
      <c r="H330" s="4" t="s">
        <v>244</v>
      </c>
      <c r="I330" s="6">
        <v>2400</v>
      </c>
      <c r="J330" s="6">
        <v>2400</v>
      </c>
      <c r="K330" s="6">
        <v>0</v>
      </c>
      <c r="L330" s="4" t="s">
        <v>579</v>
      </c>
      <c r="M330" s="4" t="s">
        <v>246</v>
      </c>
    </row>
    <row r="331" ht="36" customHeight="1" spans="1:13">
      <c r="A331" s="4" t="s">
        <v>511</v>
      </c>
      <c r="B331" s="5">
        <v>160</v>
      </c>
      <c r="C331" s="4" t="s">
        <v>175</v>
      </c>
      <c r="D331" s="4" t="s">
        <v>136</v>
      </c>
      <c r="E331" s="4" t="s">
        <v>66</v>
      </c>
      <c r="F331" s="4" t="s">
        <v>67</v>
      </c>
      <c r="G331" s="4" t="s">
        <v>339</v>
      </c>
      <c r="H331" s="4" t="s">
        <v>340</v>
      </c>
      <c r="I331" s="6">
        <v>6000</v>
      </c>
      <c r="J331" s="6">
        <v>6000</v>
      </c>
      <c r="K331" s="6">
        <v>0</v>
      </c>
      <c r="L331" s="4" t="s">
        <v>579</v>
      </c>
      <c r="M331" s="4" t="s">
        <v>343</v>
      </c>
    </row>
    <row r="332" ht="18" customHeight="1" spans="1:13">
      <c r="A332" s="4" t="s">
        <v>511</v>
      </c>
      <c r="B332" s="5">
        <v>161</v>
      </c>
      <c r="C332" s="4" t="s">
        <v>175</v>
      </c>
      <c r="D332" s="4" t="s">
        <v>136</v>
      </c>
      <c r="E332" s="4" t="s">
        <v>139</v>
      </c>
      <c r="F332" s="4" t="s">
        <v>140</v>
      </c>
      <c r="G332" s="4" t="s">
        <v>339</v>
      </c>
      <c r="H332" s="4" t="s">
        <v>344</v>
      </c>
      <c r="I332" s="6">
        <v>12000</v>
      </c>
      <c r="J332" s="6">
        <v>12000</v>
      </c>
      <c r="K332" s="6">
        <v>0</v>
      </c>
      <c r="L332" s="4" t="s">
        <v>579</v>
      </c>
      <c r="M332" s="4" t="s">
        <v>505</v>
      </c>
    </row>
    <row r="333" ht="18" customHeight="1" spans="1:13">
      <c r="A333" s="4" t="s">
        <v>511</v>
      </c>
      <c r="B333" s="5">
        <v>162</v>
      </c>
      <c r="C333" s="4" t="s">
        <v>175</v>
      </c>
      <c r="D333" s="4" t="s">
        <v>136</v>
      </c>
      <c r="E333" s="4" t="s">
        <v>139</v>
      </c>
      <c r="F333" s="4" t="s">
        <v>141</v>
      </c>
      <c r="G333" s="4" t="s">
        <v>339</v>
      </c>
      <c r="H333" s="4" t="s">
        <v>344</v>
      </c>
      <c r="I333" s="6">
        <v>12000</v>
      </c>
      <c r="J333" s="6">
        <v>12000</v>
      </c>
      <c r="K333" s="6">
        <v>0</v>
      </c>
      <c r="L333" s="4" t="s">
        <v>579</v>
      </c>
      <c r="M333" s="4" t="s">
        <v>505</v>
      </c>
    </row>
    <row r="334" ht="18" customHeight="1" spans="1:13">
      <c r="A334" s="4" t="s">
        <v>511</v>
      </c>
      <c r="B334" s="5">
        <v>163</v>
      </c>
      <c r="C334" s="4" t="s">
        <v>175</v>
      </c>
      <c r="D334" s="4" t="s">
        <v>136</v>
      </c>
      <c r="E334" s="4" t="s">
        <v>139</v>
      </c>
      <c r="F334" s="4" t="s">
        <v>142</v>
      </c>
      <c r="G334" s="4" t="s">
        <v>339</v>
      </c>
      <c r="H334" s="4" t="s">
        <v>344</v>
      </c>
      <c r="I334" s="6">
        <v>12000</v>
      </c>
      <c r="J334" s="6">
        <v>12000</v>
      </c>
      <c r="K334" s="6">
        <v>0</v>
      </c>
      <c r="L334" s="4" t="s">
        <v>579</v>
      </c>
      <c r="M334" s="4" t="s">
        <v>505</v>
      </c>
    </row>
    <row r="335" ht="18" customHeight="1" spans="1:13">
      <c r="A335" s="4" t="s">
        <v>511</v>
      </c>
      <c r="B335" s="5">
        <v>164</v>
      </c>
      <c r="C335" s="4" t="s">
        <v>175</v>
      </c>
      <c r="D335" s="4" t="s">
        <v>136</v>
      </c>
      <c r="E335" s="4" t="s">
        <v>139</v>
      </c>
      <c r="F335" s="4" t="s">
        <v>143</v>
      </c>
      <c r="G335" s="4" t="s">
        <v>339</v>
      </c>
      <c r="H335" s="4" t="s">
        <v>344</v>
      </c>
      <c r="I335" s="6">
        <v>12000</v>
      </c>
      <c r="J335" s="6">
        <v>12000</v>
      </c>
      <c r="K335" s="6">
        <v>0</v>
      </c>
      <c r="L335" s="4" t="s">
        <v>579</v>
      </c>
      <c r="M335" s="4" t="s">
        <v>505</v>
      </c>
    </row>
    <row r="336" ht="18" customHeight="1" spans="1:13">
      <c r="A336" s="4" t="s">
        <v>511</v>
      </c>
      <c r="B336" s="5">
        <v>165</v>
      </c>
      <c r="C336" s="4" t="s">
        <v>175</v>
      </c>
      <c r="D336" s="4" t="s">
        <v>136</v>
      </c>
      <c r="E336" s="4" t="s">
        <v>139</v>
      </c>
      <c r="F336" s="4" t="s">
        <v>144</v>
      </c>
      <c r="G336" s="4" t="s">
        <v>339</v>
      </c>
      <c r="H336" s="4" t="s">
        <v>344</v>
      </c>
      <c r="I336" s="6">
        <v>12000</v>
      </c>
      <c r="J336" s="6">
        <v>12000</v>
      </c>
      <c r="K336" s="6">
        <v>0</v>
      </c>
      <c r="L336" s="4" t="s">
        <v>579</v>
      </c>
      <c r="M336" s="4" t="s">
        <v>505</v>
      </c>
    </row>
    <row r="337" ht="36" customHeight="1" spans="1:13">
      <c r="A337" s="4" t="s">
        <v>511</v>
      </c>
      <c r="B337" s="5">
        <v>166</v>
      </c>
      <c r="C337" s="4" t="s">
        <v>175</v>
      </c>
      <c r="D337" s="4" t="s">
        <v>136</v>
      </c>
      <c r="E337" s="4" t="s">
        <v>66</v>
      </c>
      <c r="F337" s="4" t="s">
        <v>67</v>
      </c>
      <c r="G337" s="4" t="s">
        <v>339</v>
      </c>
      <c r="H337" s="4" t="s">
        <v>346</v>
      </c>
      <c r="I337" s="6">
        <v>3600</v>
      </c>
      <c r="J337" s="6">
        <v>3600</v>
      </c>
      <c r="K337" s="6">
        <v>0</v>
      </c>
      <c r="L337" s="4" t="s">
        <v>579</v>
      </c>
      <c r="M337" s="4" t="s">
        <v>347</v>
      </c>
    </row>
    <row r="338" ht="36" customHeight="1" spans="1:13">
      <c r="A338" s="4" t="s">
        <v>511</v>
      </c>
      <c r="B338" s="5">
        <v>169</v>
      </c>
      <c r="C338" s="4" t="s">
        <v>175</v>
      </c>
      <c r="D338" s="4" t="s">
        <v>405</v>
      </c>
      <c r="E338" s="4" t="s">
        <v>66</v>
      </c>
      <c r="F338" s="4" t="s">
        <v>67</v>
      </c>
      <c r="G338" s="4" t="s">
        <v>350</v>
      </c>
      <c r="H338" s="4" t="s">
        <v>244</v>
      </c>
      <c r="I338" s="6">
        <v>2400</v>
      </c>
      <c r="J338" s="6">
        <v>2400</v>
      </c>
      <c r="K338" s="6">
        <v>0</v>
      </c>
      <c r="L338" s="4" t="s">
        <v>579</v>
      </c>
      <c r="M338" s="4" t="s">
        <v>246</v>
      </c>
    </row>
    <row r="339" ht="18" customHeight="1" spans="1:13">
      <c r="A339" s="4" t="s">
        <v>511</v>
      </c>
      <c r="B339" s="5">
        <v>170</v>
      </c>
      <c r="C339" s="4" t="s">
        <v>175</v>
      </c>
      <c r="D339" s="4" t="s">
        <v>405</v>
      </c>
      <c r="E339" s="4" t="s">
        <v>137</v>
      </c>
      <c r="F339" s="4" t="s">
        <v>297</v>
      </c>
      <c r="G339" s="4" t="s">
        <v>350</v>
      </c>
      <c r="H339" s="4" t="s">
        <v>198</v>
      </c>
      <c r="I339" s="6">
        <v>6600</v>
      </c>
      <c r="J339" s="6">
        <v>6600</v>
      </c>
      <c r="K339" s="6">
        <v>0</v>
      </c>
      <c r="L339" s="4" t="s">
        <v>579</v>
      </c>
      <c r="M339" s="4" t="s">
        <v>298</v>
      </c>
    </row>
    <row r="340" ht="36" customHeight="1" spans="1:13">
      <c r="A340" s="4" t="s">
        <v>511</v>
      </c>
      <c r="B340" s="5">
        <v>171</v>
      </c>
      <c r="C340" s="4" t="s">
        <v>175</v>
      </c>
      <c r="D340" s="4" t="s">
        <v>405</v>
      </c>
      <c r="E340" s="4" t="s">
        <v>66</v>
      </c>
      <c r="F340" s="4" t="s">
        <v>67</v>
      </c>
      <c r="G340" s="4" t="s">
        <v>350</v>
      </c>
      <c r="H340" s="4" t="s">
        <v>244</v>
      </c>
      <c r="I340" s="6">
        <v>2400</v>
      </c>
      <c r="J340" s="6">
        <v>2400</v>
      </c>
      <c r="K340" s="6">
        <v>0</v>
      </c>
      <c r="L340" s="4" t="s">
        <v>579</v>
      </c>
      <c r="M340" s="4" t="s">
        <v>246</v>
      </c>
    </row>
  </sheetData>
  <conditionalFormatting sqref="K2:K340">
    <cfRule type="cellIs" dxfId="32" priority="1" operator="notEqual">
      <formula>0</formula>
    </cfRule>
  </conditionalFormatting>
  <conditionalFormatting sqref="L2:L340">
    <cfRule type="expression" dxfId="33" priority="2">
      <formula>$L2="已修正"</formula>
    </cfRule>
    <cfRule type="expression" dxfId="30" priority="3">
      <formula>$L2="OK"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样品及辅助设备需求</vt:lpstr>
      <vt:lpstr>费用预估</vt:lpstr>
      <vt:lpstr>SGS</vt:lpstr>
      <vt:lpstr>华测</vt:lpstr>
      <vt:lpstr>苏勃</vt:lpstr>
      <vt:lpstr>费用对比</vt:lpstr>
      <vt:lpstr>特殊项目费用</vt:lpstr>
      <vt:lpstr>费用规则校验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clytia</cp:lastModifiedBy>
  <dcterms:created xsi:type="dcterms:W3CDTF">2026-06-17T11:13:00Z</dcterms:created>
  <dcterms:modified xsi:type="dcterms:W3CDTF">2026-06-23T11:42:00Z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4A61A8BD6A978DCCACFC396A167C8891_43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