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80" windowHeight="12560" tabRatio="600" firstSheet="0" activeTab="1" autoFilterDateGrouping="1"/>
  </bookViews>
  <sheets>
    <sheet xmlns:r="http://schemas.openxmlformats.org/officeDocument/2006/relationships" name="费用规则去重表" sheetId="1" state="visible" r:id="rId1"/>
    <sheet xmlns:r="http://schemas.openxmlformats.org/officeDocument/2006/relationships" name="版本记录" sheetId="2" state="visible" r:id="rId2"/>
  </sheets>
  <definedNames>
    <definedName name="_xlnm._FilterDatabase" localSheetId="0" hidden="1">'费用规则去重表'!$A$1:$AC$32</definedName>
    <definedName name="_xlnm._FilterDatabase" localSheetId="1" hidden="1">'版本记录'!$A$1:$F$3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Microsoft YaHei"/>
      <charset val="134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7C2D12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pane xSplit="3" ySplit="1" topLeftCell="AA24" activePane="bottomRight" state="frozen"/>
      <selection activeCell="A1" sqref="A1"/>
      <selection pane="topRight" activeCell="A1" sqref="A1"/>
      <selection pane="bottomLeft" activeCell="A1" sqref="A1"/>
      <selection pane="bottomRight" activeCell="AD28" sqref="AD28"/>
    </sheetView>
  </sheetViews>
  <sheetFormatPr baseColWidth="8" defaultColWidth="9" defaultRowHeight="15.2"/>
  <cols>
    <col width="15" customWidth="1" style="3" min="1" max="1"/>
    <col width="12" customWidth="1" style="3" min="2" max="2"/>
    <col width="27.2109375" customWidth="1" style="3" min="3" max="3"/>
    <col width="13" customWidth="1" style="3" min="4" max="4"/>
    <col width="18" customWidth="1" style="3" min="5" max="5"/>
    <col width="12" customWidth="1" style="3" min="6" max="6"/>
    <col width="14" customWidth="1" style="3" min="7" max="9"/>
    <col width="34" customWidth="1" style="3" min="10" max="10"/>
    <col width="11" customWidth="1" style="3" min="11" max="11"/>
    <col width="12" customWidth="1" style="3" min="12" max="17"/>
    <col width="14" customWidth="1" style="3" min="18" max="22"/>
    <col width="16" customWidth="1" style="3" min="23" max="23"/>
    <col width="14" customWidth="1" style="3" min="24" max="24"/>
    <col width="22.1328125" customWidth="1" style="3" min="25" max="25"/>
    <col width="24.2109375" customWidth="1" style="3" min="26" max="26"/>
    <col width="51.6875" customWidth="1" style="4" min="27" max="27"/>
    <col width="36.9765625" customWidth="1" style="3" min="28" max="28"/>
    <col width="12.625" customWidth="1" style="3" min="29" max="29"/>
    <col width="15.4921875" customWidth="1" style="3" min="30" max="30"/>
    <col width="9" customWidth="1" style="3" min="31" max="16384"/>
  </cols>
  <sheetData>
    <row r="1" ht="31" customHeight="1">
      <c r="A1" s="1" t="inlineStr">
        <is>
          <t>ruleKey_勿改</t>
        </is>
      </c>
      <c r="B1" s="1" t="inlineStr">
        <is>
          <t>测试编号</t>
        </is>
      </c>
      <c r="C1" s="1" t="inlineStr">
        <is>
          <t>测试项目</t>
        </is>
      </c>
      <c r="D1" s="1" t="inlineStr">
        <is>
          <t>费用归属_可选</t>
        </is>
      </c>
      <c r="E1" s="1" t="inlineStr">
        <is>
          <t>收费单位</t>
        </is>
      </c>
      <c r="F1" s="1" t="inlineStr">
        <is>
          <t>计费方式</t>
        </is>
      </c>
      <c r="G1" s="1" t="inlineStr">
        <is>
          <t>样品数量_可修改</t>
        </is>
      </c>
      <c r="H1" s="1" t="inlineStr">
        <is>
          <t>环境箱判定_自动</t>
        </is>
      </c>
      <c r="I1" s="1" t="inlineStr">
        <is>
          <t>默认基数_可修改</t>
        </is>
      </c>
      <c r="J1" s="1" t="inlineStr">
        <is>
          <t>基数备注</t>
        </is>
      </c>
      <c r="K1" s="1" t="inlineStr">
        <is>
          <t>特殊计算</t>
        </is>
      </c>
      <c r="L1" s="1" t="inlineStr">
        <is>
          <t>大箱SGS单价_可修改</t>
        </is>
      </c>
      <c r="M1" s="1" t="inlineStr">
        <is>
          <t>大箱华测单价_可修改</t>
        </is>
      </c>
      <c r="N1" s="1" t="inlineStr">
        <is>
          <t>大箱苏勃单价_可修改</t>
        </is>
      </c>
      <c r="O1" s="1" t="inlineStr">
        <is>
          <t>小箱SGS单价_可修改</t>
        </is>
      </c>
      <c r="P1" s="1" t="inlineStr">
        <is>
          <t>小箱华测单价_可修改</t>
        </is>
      </c>
      <c r="Q1" s="1" t="inlineStr">
        <is>
          <t>小箱苏勃单价_可修改</t>
        </is>
      </c>
      <c r="R1" s="1" t="inlineStr">
        <is>
          <t>SGS单价_自动</t>
        </is>
      </c>
      <c r="S1" s="1" t="inlineStr">
        <is>
          <t>SGS费用_自动</t>
        </is>
      </c>
      <c r="T1" s="1" t="inlineStr">
        <is>
          <t>华测单价_自动</t>
        </is>
      </c>
      <c r="U1" s="1" t="inlineStr">
        <is>
          <t>华测费用_自动</t>
        </is>
      </c>
      <c r="V1" s="1" t="inlineStr">
        <is>
          <t>苏勃单价_自动</t>
        </is>
      </c>
      <c r="W1" s="1" t="inlineStr">
        <is>
          <t>苏勃费用_自动</t>
        </is>
      </c>
      <c r="X1" s="1" t="inlineStr">
        <is>
          <t>建议费用_自动</t>
        </is>
      </c>
      <c r="Y1" s="1" t="inlineStr">
        <is>
          <t>手动覆盖费用_可修改</t>
        </is>
      </c>
      <c r="Z1" s="1" t="inlineStr">
        <is>
          <t>导回费用_自动</t>
        </is>
      </c>
      <c r="AA1" s="1" t="inlineStr">
        <is>
          <t>计算差异说明</t>
        </is>
      </c>
      <c r="AB1" s="1" t="inlineStr">
        <is>
          <t>规则备注</t>
        </is>
      </c>
      <c r="AC1" s="1" t="inlineStr">
        <is>
          <t>原明细出现次数</t>
        </is>
      </c>
      <c r="AD1" s="1" t="inlineStr">
        <is>
          <t>分包情况</t>
        </is>
      </c>
    </row>
    <row r="2" ht="31" customHeight="1">
      <c r="A2" s="5" t="inlineStr">
        <is>
          <t>E-1</t>
        </is>
      </c>
      <c r="B2" s="5" t="inlineStr">
        <is>
          <t>E-1</t>
        </is>
      </c>
      <c r="C2" s="5" t="inlineStr">
        <is>
          <t>E-1 Restricted Substance Management</t>
        </is>
      </c>
      <c r="D2" s="6" t="inlineStr">
        <is>
          <t>委外费用</t>
        </is>
      </c>
      <c r="E2" s="5" t="inlineStr">
        <is>
          <t>按样品数量计费/个</t>
        </is>
      </c>
      <c r="F2" s="5" t="inlineStr">
        <is>
          <t>quantity</t>
        </is>
      </c>
      <c r="G2" s="6" t="inlineStr"/>
      <c r="H2" s="6">
        <f>IF(G2="","",IF(G2&lt;=6,"小环境箱","大环境箱"))</f>
        <v/>
      </c>
      <c r="I2" s="6" t="n">
        <v>1</v>
      </c>
      <c r="J2" s="5" t="inlineStr"/>
      <c r="K2" s="5" t="inlineStr">
        <is>
          <t>否</t>
        </is>
      </c>
      <c r="L2" s="6" t="inlineStr"/>
      <c r="M2" s="6" t="inlineStr"/>
      <c r="N2" s="6" t="inlineStr"/>
      <c r="O2" s="6" t="inlineStr"/>
      <c r="P2" s="6" t="inlineStr"/>
      <c r="Q2" s="6" t="inlineStr"/>
      <c r="R2" s="7" t="inlineStr"/>
      <c r="S2" s="7">
        <f>IF(K2="是","",IF(OR(I2="",R2="",R2="N/A"),"",I2*R2))</f>
        <v/>
      </c>
      <c r="T2" s="7" t="inlineStr"/>
      <c r="U2" s="7">
        <f>IF(K2="是","",IF(OR(I2="",T2="",T2="N/A"),"",I2*T2))</f>
        <v/>
      </c>
      <c r="V2" s="7" t="inlineStr"/>
      <c r="W2" s="7">
        <f>IF(K2="是","",IF(OR(I2="",V2="",V2="N/A"),"",I2*V2))</f>
        <v/>
      </c>
      <c r="X2" s="7">
        <f>IFERROR(MEDIAN(S2,U2,W2),"")</f>
        <v/>
      </c>
      <c r="Y2" s="6" t="inlineStr"/>
      <c r="Z2" s="8">
        <f>IF(Y2&lt;&gt;"",Y2,X2)</f>
        <v/>
      </c>
      <c r="AA2" s="9" t="inlineStr">
        <is>
          <t>普通项目按 默认基数 × 实验室单价 自动计算。</t>
        </is>
      </c>
      <c r="AB2" s="5" t="inlineStr">
        <is>
          <t>禁限用物质总价 20000，其中 1500 为评估费</t>
        </is>
      </c>
      <c r="AC2" s="5" t="n">
        <v>2</v>
      </c>
      <c r="AD2" s="3" t="inlineStr">
        <is>
          <t>实验室为瑞旭</t>
        </is>
      </c>
    </row>
    <row r="3" ht="31" customHeight="1">
      <c r="A3" s="5" t="inlineStr">
        <is>
          <t>E-2</t>
        </is>
      </c>
      <c r="B3" s="5" t="inlineStr">
        <is>
          <t>E-2</t>
        </is>
      </c>
      <c r="C3" s="5" t="inlineStr">
        <is>
          <t>E-2 Operating Noise &amp; Transient Noise</t>
        </is>
      </c>
      <c r="D3" s="6" t="inlineStr">
        <is>
          <t>委外费用</t>
        </is>
      </c>
      <c r="E3" s="5" t="inlineStr">
        <is>
          <t>按样品数量计费/个</t>
        </is>
      </c>
      <c r="F3" s="5" t="inlineStr">
        <is>
          <t>quantity</t>
        </is>
      </c>
      <c r="G3" s="6" t="inlineStr"/>
      <c r="H3" s="6">
        <f>IF(G3="","",IF(G3&lt;=6,"小环境箱","大环境箱"))</f>
        <v/>
      </c>
      <c r="I3" s="6" t="n">
        <v>25</v>
      </c>
      <c r="J3" s="5" t="inlineStr"/>
      <c r="K3" s="5" t="inlineStr">
        <is>
          <t>否</t>
        </is>
      </c>
      <c r="L3" s="6" t="inlineStr"/>
      <c r="M3" s="6" t="inlineStr"/>
      <c r="N3" s="6" t="inlineStr"/>
      <c r="O3" s="6" t="inlineStr"/>
      <c r="P3" s="6" t="inlineStr"/>
      <c r="Q3" s="6" t="inlineStr"/>
      <c r="R3" s="6">
        <f>IF($L3&lt;&gt;"",IF($H3="小环境箱",$O3,$L3),1700)</f>
        <v/>
      </c>
      <c r="S3" s="7">
        <f>IF(K3="是","",IF(OR(I3="",R3="",R3="N/A"),"",I3*R3))</f>
        <v/>
      </c>
      <c r="T3" s="7" t="inlineStr">
        <is>
          <t>N/A</t>
        </is>
      </c>
      <c r="U3" s="7">
        <f>IF(K3="是","",IF(OR(I3="",T3="",T3="N/A"),"",I3*T3))</f>
        <v/>
      </c>
      <c r="V3" s="7" t="inlineStr">
        <is>
          <t>N/A</t>
        </is>
      </c>
      <c r="W3" s="7">
        <f>IF(K3="是","",IF(OR(I3="",V3="",V3="N/A"),"",I3*V3))</f>
        <v/>
      </c>
      <c r="X3" s="7">
        <f>IFERROR(MEDIAN(S3,U3,W3),"")</f>
        <v/>
      </c>
      <c r="Y3" s="6" t="inlineStr"/>
      <c r="Z3" s="8">
        <f>IF(Y3&lt;&gt;"",Y3,X3)</f>
        <v/>
      </c>
      <c r="AA3" s="9" t="inlineStr">
        <is>
          <t>普通项目按 默认基数 × 实验室单价 自动计算。</t>
        </is>
      </c>
      <c r="AB3" s="5" t="inlineStr">
        <is>
          <t>操作噪声暂按 SGS 合作价 1700/台样机计算</t>
        </is>
      </c>
      <c r="AC3" s="5" t="n">
        <v>2</v>
      </c>
      <c r="AD3" s="3" t="inlineStr">
        <is>
          <t>实验室为SGS</t>
        </is>
      </c>
    </row>
    <row r="4" ht="31" customHeight="1">
      <c r="A4" s="5" t="inlineStr">
        <is>
          <t>K1</t>
        </is>
      </c>
      <c r="B4" s="5" t="inlineStr">
        <is>
          <t>K1</t>
        </is>
      </c>
      <c r="C4" s="5" t="inlineStr">
        <is>
          <t>K1 Low Temperature Exposure</t>
        </is>
      </c>
      <c r="D4" s="6" t="inlineStr">
        <is>
          <t>委外费用</t>
        </is>
      </c>
      <c r="E4" s="5" t="inlineStr">
        <is>
          <t>按小时计费/h</t>
        </is>
      </c>
      <c r="F4" s="5" t="inlineStr">
        <is>
          <t>hour</t>
        </is>
      </c>
      <c r="G4" s="6" t="n">
        <v>12</v>
      </c>
      <c r="H4" s="6">
        <f>IF(G4="","",IF(G4&lt;=6,"小环境箱","大环境箱"))</f>
        <v/>
      </c>
      <c r="I4" s="6" t="n">
        <v>24</v>
      </c>
      <c r="J4" s="5" t="inlineStr"/>
      <c r="K4" s="5" t="inlineStr">
        <is>
          <t>否</t>
        </is>
      </c>
      <c r="L4" s="6" t="n">
        <v>30</v>
      </c>
      <c r="M4" s="6" t="n">
        <v>25</v>
      </c>
      <c r="N4" s="6" t="n">
        <v>40</v>
      </c>
      <c r="O4" s="6" t="n">
        <v>23</v>
      </c>
      <c r="P4" s="6" t="n">
        <v>18</v>
      </c>
      <c r="Q4" s="6" t="n">
        <v>30</v>
      </c>
      <c r="R4" s="6">
        <f>IF($L4&lt;&gt;"",IF($H4="小环境箱",$O4,$L4),30)</f>
        <v/>
      </c>
      <c r="S4" s="7">
        <f>IF(K4="是","",IF(OR(I4="",R4="",R4="N/A"),"",I4*R4))</f>
        <v/>
      </c>
      <c r="T4" s="6">
        <f>IF($M4&lt;&gt;"",IF($H4="小环境箱",$P4,$M4),25)</f>
        <v/>
      </c>
      <c r="U4" s="7">
        <f>IF(K4="是","",IF(OR(I4="",T4="",T4="N/A"),"",I4*T4))</f>
        <v/>
      </c>
      <c r="V4" s="6">
        <f>IF($N4&lt;&gt;"",IF($H4="小环境箱",$Q4,$N4),40)</f>
        <v/>
      </c>
      <c r="W4" s="7">
        <f>IF(K4="是","",IF(OR(I4="",V4="",V4="N/A"),"",I4*V4))</f>
        <v/>
      </c>
      <c r="X4" s="7">
        <f>IFERROR(MEDIAN(S4,U4,W4),"")</f>
        <v/>
      </c>
      <c r="Y4" s="6" t="inlineStr"/>
      <c r="Z4" s="8">
        <f>IF(Y4&lt;&gt;"",Y4,X4)</f>
        <v/>
      </c>
      <c r="AA4" s="9" t="inlineStr">
        <is>
          <t>环境箱项目：样品数量 ≤ 6 自动按小环境箱，否则按大环境箱；
请修改大箱/小箱单价列，后面的实验室单价会自动带出。</t>
        </is>
      </c>
      <c r="AB4" s="5" t="inlineStr"/>
      <c r="AC4" s="5" t="n">
        <v>2</v>
      </c>
    </row>
    <row r="5" ht="31" customHeight="1">
      <c r="A5" s="5" t="inlineStr">
        <is>
          <t>K2</t>
        </is>
      </c>
      <c r="B5" s="5" t="inlineStr">
        <is>
          <t>K2</t>
        </is>
      </c>
      <c r="C5" s="5" t="inlineStr">
        <is>
          <t>K2 High Temperature Exposure</t>
        </is>
      </c>
      <c r="D5" s="6" t="inlineStr">
        <is>
          <t>委外费用</t>
        </is>
      </c>
      <c r="E5" s="5" t="inlineStr">
        <is>
          <t>按小时计费/h</t>
        </is>
      </c>
      <c r="F5" s="5" t="inlineStr">
        <is>
          <t>hour</t>
        </is>
      </c>
      <c r="G5" s="6" t="n">
        <v>12</v>
      </c>
      <c r="H5" s="6">
        <f>IF(G5="","",IF(G5&lt;=6,"小环境箱","大环境箱"))</f>
        <v/>
      </c>
      <c r="I5" s="6" t="n">
        <v>24</v>
      </c>
      <c r="J5" s="5" t="inlineStr"/>
      <c r="K5" s="5" t="inlineStr">
        <is>
          <t>否</t>
        </is>
      </c>
      <c r="L5" s="6" t="n">
        <v>30</v>
      </c>
      <c r="M5" s="6" t="n">
        <v>25</v>
      </c>
      <c r="N5" s="6" t="n">
        <v>40</v>
      </c>
      <c r="O5" s="6" t="n">
        <v>23</v>
      </c>
      <c r="P5" s="6" t="n">
        <v>18</v>
      </c>
      <c r="Q5" s="6" t="n">
        <v>30</v>
      </c>
      <c r="R5" s="6">
        <f>IF($L5&lt;&gt;"",IF($H5="小环境箱",$O5,$L5),30)</f>
        <v/>
      </c>
      <c r="S5" s="7">
        <f>IF(K5="是","",IF(OR(I5="",R5="",R5="N/A"),"",I5*R5))</f>
        <v/>
      </c>
      <c r="T5" s="6">
        <f>IF($M5&lt;&gt;"",IF($H5="小环境箱",$P5,$M5),25)</f>
        <v/>
      </c>
      <c r="U5" s="7">
        <f>IF(K5="是","",IF(OR(I5="",T5="",T5="N/A"),"",I5*T5))</f>
        <v/>
      </c>
      <c r="V5" s="6">
        <f>IF($N5&lt;&gt;"",IF($H5="小环境箱",$Q5,$N5),40)</f>
        <v/>
      </c>
      <c r="W5" s="7">
        <f>IF(K5="是","",IF(OR(I5="",V5="",V5="N/A"),"",I5*V5))</f>
        <v/>
      </c>
      <c r="X5" s="7">
        <f>IFERROR(MEDIAN(S5,U5,W5),"")</f>
        <v/>
      </c>
      <c r="Y5" s="6" t="inlineStr"/>
      <c r="Z5" s="8">
        <f>IF(Y5&lt;&gt;"",Y5,X5)</f>
        <v/>
      </c>
      <c r="AA5" s="9" t="inlineStr">
        <is>
          <t>环境箱项目：样品数量 ≤ 6 自动按小环境箱，否则按大环境箱；
请修改大箱/小箱单价列，后面的实验室单价会自动带出。</t>
        </is>
      </c>
      <c r="AB5" s="5" t="inlineStr"/>
      <c r="AC5" s="5" t="n">
        <v>2</v>
      </c>
    </row>
    <row r="6" ht="31" customHeight="1">
      <c r="A6" s="5" t="inlineStr">
        <is>
          <t>K3</t>
        </is>
      </c>
      <c r="B6" s="5" t="inlineStr">
        <is>
          <t>K3</t>
        </is>
      </c>
      <c r="C6" s="5" t="inlineStr">
        <is>
          <t>K3 Low Temperature Operation</t>
        </is>
      </c>
      <c r="D6" s="6" t="inlineStr">
        <is>
          <t>委外费用</t>
        </is>
      </c>
      <c r="E6" s="5" t="inlineStr">
        <is>
          <t>按小时计费/h</t>
        </is>
      </c>
      <c r="F6" s="5" t="inlineStr">
        <is>
          <t>hour</t>
        </is>
      </c>
      <c r="G6" s="6" t="n">
        <v>12</v>
      </c>
      <c r="H6" s="6">
        <f>IF(G6="","",IF(G6&lt;=6,"小环境箱","大环境箱"))</f>
        <v/>
      </c>
      <c r="I6" s="6" t="n">
        <v>24</v>
      </c>
      <c r="J6" s="5" t="inlineStr"/>
      <c r="K6" s="5" t="inlineStr">
        <is>
          <t>否</t>
        </is>
      </c>
      <c r="L6" s="6" t="n">
        <v>30</v>
      </c>
      <c r="M6" s="6" t="n">
        <v>25</v>
      </c>
      <c r="N6" s="6" t="n">
        <v>40</v>
      </c>
      <c r="O6" s="6" t="n">
        <v>23</v>
      </c>
      <c r="P6" s="6" t="n">
        <v>18</v>
      </c>
      <c r="Q6" s="6" t="n">
        <v>30</v>
      </c>
      <c r="R6" s="6">
        <f>IF($L6&lt;&gt;"",IF($H6="小环境箱",$O6,$L6),30)</f>
        <v/>
      </c>
      <c r="S6" s="7">
        <f>IF(K6="是","",IF(OR(I6="",R6="",R6="N/A"),"",I6*R6))</f>
        <v/>
      </c>
      <c r="T6" s="6">
        <f>IF($M6&lt;&gt;"",IF($H6="小环境箱",$P6,$M6),25)</f>
        <v/>
      </c>
      <c r="U6" s="7">
        <f>IF(K6="是","",IF(OR(I6="",T6="",T6="N/A"),"",I6*T6))</f>
        <v/>
      </c>
      <c r="V6" s="6">
        <f>IF($N6&lt;&gt;"",IF($H6="小环境箱",$Q6,$N6),40)</f>
        <v/>
      </c>
      <c r="W6" s="7">
        <f>IF(K6="是","",IF(OR(I6="",V6="",V6="N/A"),"",I6*V6))</f>
        <v/>
      </c>
      <c r="X6" s="7">
        <f>IFERROR(MEDIAN(S6,U6,W6),"")</f>
        <v/>
      </c>
      <c r="Y6" s="6" t="inlineStr"/>
      <c r="Z6" s="8">
        <f>IF(Y6&lt;&gt;"",Y6,X6)</f>
        <v/>
      </c>
      <c r="AA6" s="9" t="inlineStr">
        <is>
          <t>环境箱项目：样品数量 ≤ 6 自动按小环境箱，否则按大环境箱；
请修改大箱/小箱单价列，后面的实验室单价会自动带出。</t>
        </is>
      </c>
      <c r="AB6" s="5" t="inlineStr"/>
      <c r="AC6" s="5" t="n">
        <v>2</v>
      </c>
    </row>
    <row r="7" ht="31" customHeight="1">
      <c r="A7" s="5" t="inlineStr">
        <is>
          <t>K4</t>
        </is>
      </c>
      <c r="B7" s="5" t="inlineStr">
        <is>
          <t>K4</t>
        </is>
      </c>
      <c r="C7" s="5" t="inlineStr">
        <is>
          <t>K4 High Temperature Operation</t>
        </is>
      </c>
      <c r="D7" s="6" t="inlineStr">
        <is>
          <t>委外费用</t>
        </is>
      </c>
      <c r="E7" s="5" t="inlineStr">
        <is>
          <t>按小时计费/h</t>
        </is>
      </c>
      <c r="F7" s="5" t="inlineStr">
        <is>
          <t>hour</t>
        </is>
      </c>
      <c r="G7" s="6" t="n">
        <v>12</v>
      </c>
      <c r="H7" s="6">
        <f>IF(G7="","",IF(G7&lt;=6,"小环境箱","大环境箱"))</f>
        <v/>
      </c>
      <c r="I7" s="6" t="n">
        <v>96</v>
      </c>
      <c r="J7" s="5" t="inlineStr"/>
      <c r="K7" s="5" t="inlineStr">
        <is>
          <t>否</t>
        </is>
      </c>
      <c r="L7" s="6" t="n">
        <v>30</v>
      </c>
      <c r="M7" s="6" t="n">
        <v>25</v>
      </c>
      <c r="N7" s="6" t="n">
        <v>40</v>
      </c>
      <c r="O7" s="6" t="n">
        <v>23</v>
      </c>
      <c r="P7" s="6" t="n">
        <v>18</v>
      </c>
      <c r="Q7" s="6" t="n">
        <v>30</v>
      </c>
      <c r="R7" s="6">
        <f>IF($L7&lt;&gt;"",IF($H7="小环境箱",$O7,$L7),30)</f>
        <v/>
      </c>
      <c r="S7" s="7">
        <f>IF(K7="是","",IF(OR(I7="",R7="",R7="N/A"),"",I7*R7))</f>
        <v/>
      </c>
      <c r="T7" s="6">
        <f>IF($M7&lt;&gt;"",IF($H7="小环境箱",$P7,$M7),25)</f>
        <v/>
      </c>
      <c r="U7" s="7">
        <f>IF(K7="是","",IF(OR(I7="",T7="",T7="N/A"),"",I7*T7))</f>
        <v/>
      </c>
      <c r="V7" s="6">
        <f>IF($N7&lt;&gt;"",IF($H7="小环境箱",$Q7,$N7),40)</f>
        <v/>
      </c>
      <c r="W7" s="7">
        <f>IF(K7="是","",IF(OR(I7="",V7="",V7="N/A"),"",I7*V7))</f>
        <v/>
      </c>
      <c r="X7" s="7">
        <f>IFERROR(MEDIAN(S7,U7,W7),"")</f>
        <v/>
      </c>
      <c r="Y7" s="6" t="inlineStr"/>
      <c r="Z7" s="8">
        <f>IF(Y7&lt;&gt;"",Y7,X7)</f>
        <v/>
      </c>
      <c r="AA7" s="9" t="inlineStr">
        <is>
          <t>环境箱项目：样品数量 ≤ 6 自动按小环境箱，否则按大环境箱；
请修改大箱/小箱单价列，后面的实验室单价会自动带出。</t>
        </is>
      </c>
      <c r="AB7" s="5" t="inlineStr"/>
      <c r="AC7" s="5" t="n">
        <v>2</v>
      </c>
    </row>
    <row r="8" ht="16" customHeight="1">
      <c r="A8" s="5" t="inlineStr">
        <is>
          <t>K5</t>
        </is>
      </c>
      <c r="B8" s="5" t="inlineStr">
        <is>
          <t>K5</t>
        </is>
      </c>
      <c r="C8" s="5" t="inlineStr">
        <is>
          <t>K5 Temperature Step Test</t>
        </is>
      </c>
      <c r="D8" s="6" t="inlineStr">
        <is>
          <t>委外费用</t>
        </is>
      </c>
      <c r="E8" s="5" t="inlineStr">
        <is>
          <t>按批次计费/批次</t>
        </is>
      </c>
      <c r="F8" s="5" t="inlineStr">
        <is>
          <t>batch</t>
        </is>
      </c>
      <c r="G8" s="6" t="inlineStr"/>
      <c r="H8" s="6">
        <f>IF(G8="","",IF(G8&lt;=6,"小环境箱","大环境箱"))</f>
        <v/>
      </c>
      <c r="I8" s="6" t="n">
        <v>1</v>
      </c>
      <c r="J8" s="5" t="inlineStr"/>
      <c r="K8" s="5" t="inlineStr">
        <is>
          <t>否</t>
        </is>
      </c>
      <c r="L8" s="6" t="inlineStr"/>
      <c r="M8" s="6" t="inlineStr"/>
      <c r="N8" s="6" t="inlineStr"/>
      <c r="O8" s="6" t="inlineStr"/>
      <c r="P8" s="6" t="inlineStr"/>
      <c r="Q8" s="6" t="inlineStr"/>
      <c r="R8" s="6">
        <f>IF($L8&lt;&gt;"",IF($H8="小环境箱",$O8,$L8),3360)</f>
        <v/>
      </c>
      <c r="S8" s="7">
        <f>IF(K8="是","",IF(OR(I8="",R8="",R8="N/A"),"",I8*R8))</f>
        <v/>
      </c>
      <c r="T8" s="6">
        <f>IF($M8&lt;&gt;"",IF($H8="小环境箱",$P8,$M8),5000)</f>
        <v/>
      </c>
      <c r="U8" s="7">
        <f>IF(K8="是","",IF(OR(I8="",T8="",T8="N/A"),"",I8*T8))</f>
        <v/>
      </c>
      <c r="V8" s="6">
        <f>IF($N8&lt;&gt;"",IF($H8="小环境箱",$Q8,$N8),5000)</f>
        <v/>
      </c>
      <c r="W8" s="7">
        <f>IF(K8="是","",IF(OR(I8="",V8="",V8="N/A"),"",I8*V8))</f>
        <v/>
      </c>
      <c r="X8" s="7">
        <f>IFERROR(MEDIAN(S8,U8,W8),"")</f>
        <v/>
      </c>
      <c r="Y8" s="6" t="inlineStr"/>
      <c r="Z8" s="8">
        <f>IF(Y8&lt;&gt;"",Y8,X8)</f>
        <v/>
      </c>
      <c r="AA8" s="9" t="inlineStr">
        <is>
          <t>普通项目按 默认基数 × 实验室单价 自动计算。</t>
        </is>
      </c>
      <c r="AB8" s="5" t="inlineStr"/>
      <c r="AC8" s="5" t="n">
        <v>2</v>
      </c>
    </row>
    <row r="9" ht="31" customHeight="1">
      <c r="A9" s="5" t="inlineStr">
        <is>
          <t>K6</t>
        </is>
      </c>
      <c r="B9" s="5" t="inlineStr">
        <is>
          <t>K6</t>
        </is>
      </c>
      <c r="C9" s="5" t="inlineStr">
        <is>
          <t>K6 Power Thermal Cycle</t>
        </is>
      </c>
      <c r="D9" s="6" t="inlineStr">
        <is>
          <t>委外费用</t>
        </is>
      </c>
      <c r="E9" s="5" t="inlineStr">
        <is>
          <t>按小时计费/h</t>
        </is>
      </c>
      <c r="F9" s="5" t="inlineStr">
        <is>
          <t>hour</t>
        </is>
      </c>
      <c r="G9" s="6" t="n">
        <v>12</v>
      </c>
      <c r="H9" s="6">
        <f>IF(G9="","",IF(G9&lt;=6,"小环境箱","大环境箱"))</f>
        <v/>
      </c>
      <c r="I9" s="6" t="n">
        <v>240</v>
      </c>
      <c r="J9" s="5" t="inlineStr"/>
      <c r="K9" s="5" t="inlineStr">
        <is>
          <t>否</t>
        </is>
      </c>
      <c r="L9" s="6" t="n">
        <v>30</v>
      </c>
      <c r="M9" s="6" t="n">
        <v>25</v>
      </c>
      <c r="N9" s="6" t="n">
        <v>40</v>
      </c>
      <c r="O9" s="6" t="n">
        <v>23</v>
      </c>
      <c r="P9" s="6" t="n">
        <v>18</v>
      </c>
      <c r="Q9" s="6" t="n">
        <v>30</v>
      </c>
      <c r="R9" s="6">
        <f>IF($L9&lt;&gt;"",IF($H9="小环境箱",$O9,$L9),30)</f>
        <v/>
      </c>
      <c r="S9" s="7">
        <f>IF(K9="是","",IF(OR(I9="",R9="",R9="N/A"),"",I9*R9))</f>
        <v/>
      </c>
      <c r="T9" s="6">
        <f>IF($M9&lt;&gt;"",IF($H9="小环境箱",$P9,$M9),25)</f>
        <v/>
      </c>
      <c r="U9" s="7">
        <f>IF(K9="是","",IF(OR(I9="",T9="",T9="N/A"),"",I9*T9))</f>
        <v/>
      </c>
      <c r="V9" s="6">
        <f>IF($N9&lt;&gt;"",IF($H9="小环境箱",$Q9,$N9),40)</f>
        <v/>
      </c>
      <c r="W9" s="7">
        <f>IF(K9="是","",IF(OR(I9="",V9="",V9="N/A"),"",I9*V9))</f>
        <v/>
      </c>
      <c r="X9" s="7">
        <f>IFERROR(MEDIAN(S9,U9,W9),"")</f>
        <v/>
      </c>
      <c r="Y9" s="6" t="inlineStr"/>
      <c r="Z9" s="8">
        <f>IF(Y9&lt;&gt;"",Y9,X9)</f>
        <v/>
      </c>
      <c r="AA9" s="9" t="inlineStr">
        <is>
          <t>环境箱项目：样品数量 ≤ 6 自动按小环境箱，否则按大环境箱；
请修改大箱/小箱单价列，后面的实验室单价会自动带出。</t>
        </is>
      </c>
      <c r="AB9" s="5" t="inlineStr"/>
      <c r="AC9" s="5" t="n">
        <v>2</v>
      </c>
    </row>
    <row r="10" ht="16" customHeight="1">
      <c r="A10" s="5" t="inlineStr">
        <is>
          <t>K7</t>
        </is>
      </c>
      <c r="B10" s="5" t="inlineStr">
        <is>
          <t>K7</t>
        </is>
      </c>
      <c r="C10" s="5" t="inlineStr">
        <is>
          <t>K7 Thermal Shock in Air</t>
        </is>
      </c>
      <c r="D10" s="6" t="inlineStr">
        <is>
          <t>委外费用</t>
        </is>
      </c>
      <c r="E10" s="5" t="inlineStr">
        <is>
          <t>按小时计费/h</t>
        </is>
      </c>
      <c r="F10" s="5" t="inlineStr">
        <is>
          <t>hour</t>
        </is>
      </c>
      <c r="G10" s="6" t="inlineStr"/>
      <c r="H10" s="6">
        <f>IF(G10="","",IF(G10&lt;=6,"小环境箱","大环境箱"))</f>
        <v/>
      </c>
      <c r="I10" s="6" t="n">
        <v>305</v>
      </c>
      <c r="J10" s="5" t="inlineStr"/>
      <c r="K10" s="5" t="inlineStr">
        <is>
          <t>否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>
        <f>IF($L10&lt;&gt;"",IF($H10="小环境箱",$O10,$L10),100)</f>
        <v/>
      </c>
      <c r="S10" s="7">
        <f>IF(K10="是","",IF(OR(I10="",R10="",R10="N/A"),"",I10*R10))</f>
        <v/>
      </c>
      <c r="T10" s="6">
        <f>IF($M10&lt;&gt;"",IF($H10="小环境箱",$P10,$M10),70)</f>
        <v/>
      </c>
      <c r="U10" s="7">
        <f>IF(K10="是","",IF(OR(I10="",T10="",T10="N/A"),"",I10*T10))</f>
        <v/>
      </c>
      <c r="V10" s="6">
        <f>IF($N10&lt;&gt;"",IF($H10="小环境箱",$Q10,$N10),100)</f>
        <v/>
      </c>
      <c r="W10" s="7">
        <f>IF(K10="是","",IF(OR(I10="",V10="",V10="N/A"),"",I10*V10))</f>
        <v/>
      </c>
      <c r="X10" s="7">
        <f>IFERROR(MEDIAN(S10,U10,W10),"")</f>
        <v/>
      </c>
      <c r="Y10" s="6" t="inlineStr"/>
      <c r="Z10" s="8">
        <f>IF(Y10&lt;&gt;"",Y10,X10)</f>
        <v/>
      </c>
      <c r="AA10" s="9" t="inlineStr">
        <is>
          <t>普通项目按 默认基数 × 实验室单价 自动计算。</t>
        </is>
      </c>
      <c r="AB10" s="5" t="inlineStr"/>
      <c r="AC10" s="5" t="n">
        <v>4</v>
      </c>
    </row>
    <row r="11" ht="16" customHeight="1">
      <c r="A11" s="5" t="inlineStr">
        <is>
          <t>K8</t>
        </is>
      </c>
      <c r="B11" s="5" t="inlineStr">
        <is>
          <t>K8</t>
        </is>
      </c>
      <c r="C11" s="5" t="inlineStr">
        <is>
          <t>K8 Dewing Test</t>
        </is>
      </c>
      <c r="D11" s="6" t="inlineStr">
        <is>
          <t>委外费用</t>
        </is>
      </c>
      <c r="E11" s="5" t="inlineStr">
        <is>
          <t>按批次计费/批次</t>
        </is>
      </c>
      <c r="F11" s="5" t="inlineStr">
        <is>
          <t>batch</t>
        </is>
      </c>
      <c r="G11" s="6" t="inlineStr"/>
      <c r="H11" s="6">
        <f>IF(G11="","",IF(G11&lt;=6,"小环境箱","大环境箱"))</f>
        <v/>
      </c>
      <c r="I11" s="6" t="n">
        <v>1</v>
      </c>
      <c r="J11" s="5" t="inlineStr"/>
      <c r="K11" s="5" t="inlineStr">
        <is>
          <t>否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6">
        <f>IF($L11&lt;&gt;"",IF($H11="小环境箱",$O11,$L11),4100)</f>
        <v/>
      </c>
      <c r="S11" s="7">
        <f>IF(K11="是","",IF(OR(I11="",R11="",R11="N/A"),"",I11*R11))</f>
        <v/>
      </c>
      <c r="T11" s="6">
        <f>IF($M11&lt;&gt;"",IF($H11="小环境箱",$P11,$M11),5000)</f>
        <v/>
      </c>
      <c r="U11" s="7">
        <f>IF(K11="是","",IF(OR(I11="",T11="",T11="N/A"),"",I11*T11))</f>
        <v/>
      </c>
      <c r="V11" s="6">
        <f>IF($N11&lt;&gt;"",IF($H11="小环境箱",$Q11,$N11),5000)</f>
        <v/>
      </c>
      <c r="W11" s="7">
        <f>IF(K11="是","",IF(OR(I11="",V11="",V11="N/A"),"",I11*V11))</f>
        <v/>
      </c>
      <c r="X11" s="7">
        <f>IFERROR(MEDIAN(S11,U11,W11),"")</f>
        <v/>
      </c>
      <c r="Y11" s="6" t="inlineStr"/>
      <c r="Z11" s="8">
        <f>IF(Y11&lt;&gt;"",Y11,X11)</f>
        <v/>
      </c>
      <c r="AA11" s="9" t="inlineStr">
        <is>
          <t>普通项目按 默认基数 × 实验室单价 自动计算。</t>
        </is>
      </c>
      <c r="AB11" s="5" t="inlineStr"/>
      <c r="AC11" s="5" t="n">
        <v>2</v>
      </c>
    </row>
    <row r="12" ht="31" customHeight="1">
      <c r="A12" s="5" t="inlineStr">
        <is>
          <t>K9</t>
        </is>
      </c>
      <c r="B12" s="5" t="inlineStr">
        <is>
          <t>K9</t>
        </is>
      </c>
      <c r="C12" s="5" t="inlineStr">
        <is>
          <t>K9 Temperature/Humidity Cycle</t>
        </is>
      </c>
      <c r="D12" s="6" t="inlineStr">
        <is>
          <t>委外费用</t>
        </is>
      </c>
      <c r="E12" s="5" t="inlineStr">
        <is>
          <t>按小时计费/h</t>
        </is>
      </c>
      <c r="F12" s="5" t="inlineStr">
        <is>
          <t>hour</t>
        </is>
      </c>
      <c r="G12" s="6" t="n">
        <v>12</v>
      </c>
      <c r="H12" s="6">
        <f>IF(G12="","",IF(G12&lt;=6,"小环境箱","大环境箱"))</f>
        <v/>
      </c>
      <c r="I12" s="6" t="n">
        <v>264</v>
      </c>
      <c r="J12" s="5" t="inlineStr"/>
      <c r="K12" s="5" t="inlineStr">
        <is>
          <t>否</t>
        </is>
      </c>
      <c r="L12" s="6" t="n">
        <v>30</v>
      </c>
      <c r="M12" s="6" t="n">
        <v>25</v>
      </c>
      <c r="N12" s="6" t="n">
        <v>40</v>
      </c>
      <c r="O12" s="6" t="n">
        <v>23</v>
      </c>
      <c r="P12" s="6" t="n">
        <v>18</v>
      </c>
      <c r="Q12" s="6" t="n">
        <v>30</v>
      </c>
      <c r="R12" s="6">
        <f>IF($L12&lt;&gt;"",IF($H12="小环境箱",$O12,$L12),30)</f>
        <v/>
      </c>
      <c r="S12" s="7">
        <f>IF(K12="是","",IF(OR(I12="",R12="",R12="N/A"),"",I12*R12))</f>
        <v/>
      </c>
      <c r="T12" s="6">
        <f>IF($M12&lt;&gt;"",IF($H12="小环境箱",$P12,$M12),25)</f>
        <v/>
      </c>
      <c r="U12" s="7">
        <f>IF(K12="是","",IF(OR(I12="",T12="",T12="N/A"),"",I12*T12))</f>
        <v/>
      </c>
      <c r="V12" s="6">
        <f>IF($N12&lt;&gt;"",IF($H12="小环境箱",$Q12,$N12),40)</f>
        <v/>
      </c>
      <c r="W12" s="7">
        <f>IF(K12="是","",IF(OR(I12="",V12="",V12="N/A"),"",I12*V12))</f>
        <v/>
      </c>
      <c r="X12" s="7">
        <f>IFERROR(MEDIAN(S12,U12,W12),"")</f>
        <v/>
      </c>
      <c r="Y12" s="6" t="inlineStr"/>
      <c r="Z12" s="8">
        <f>IF(Y12&lt;&gt;"",Y12,X12)</f>
        <v/>
      </c>
      <c r="AA12" s="9" t="inlineStr">
        <is>
          <t>环境箱项目：样品数量 ≤ 6 自动按小环境箱，否则按大环境箱；
请修改大箱/小箱单价列，后面的实验室单价会自动带出。</t>
        </is>
      </c>
      <c r="AB12" s="5" t="inlineStr"/>
      <c r="AC12" s="5" t="n">
        <v>2</v>
      </c>
    </row>
    <row r="13" ht="16" customHeight="1">
      <c r="A13" s="5" t="inlineStr">
        <is>
          <t>K10</t>
        </is>
      </c>
      <c r="B13" s="5" t="inlineStr">
        <is>
          <t>K10</t>
        </is>
      </c>
      <c r="C13" s="5" t="inlineStr">
        <is>
          <t>K10 Water/Fluid Ingress Test</t>
        </is>
      </c>
      <c r="D13" s="6" t="inlineStr">
        <is>
          <t>委外费用</t>
        </is>
      </c>
      <c r="E13" s="5" t="inlineStr">
        <is>
          <t>按样品数量计费/个</t>
        </is>
      </c>
      <c r="F13" s="5" t="inlineStr">
        <is>
          <t>quantity</t>
        </is>
      </c>
      <c r="G13" s="6" t="inlineStr"/>
      <c r="H13" s="6">
        <f>IF(G13="","",IF(G13&lt;=6,"小环境箱","大环境箱"))</f>
        <v/>
      </c>
      <c r="I13" s="6" t="n">
        <v>12</v>
      </c>
      <c r="J13" s="5" t="inlineStr"/>
      <c r="K13" s="5" t="inlineStr">
        <is>
          <t>否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6">
        <f>IF($L13&lt;&gt;"",IF($H13="小环境箱",$O13,$L13),500)</f>
        <v/>
      </c>
      <c r="S13" s="7">
        <f>IF(K13="是","",IF(OR(I13="",R13="",R13="N/A"),"",I13*R13))</f>
        <v/>
      </c>
      <c r="T13" s="6">
        <f>IF($M13&lt;&gt;"",IF($H13="小环境箱",$P13,$M13),500)</f>
        <v/>
      </c>
      <c r="U13" s="7">
        <f>IF(K13="是","",IF(OR(I13="",T13="",T13="N/A"),"",I13*T13))</f>
        <v/>
      </c>
      <c r="V13" s="6">
        <f>IF($N13&lt;&gt;"",IF($H13="小环境箱",$Q13,$N13),500)</f>
        <v/>
      </c>
      <c r="W13" s="7">
        <f>IF(K13="是","",IF(OR(I13="",V13="",V13="N/A"),"",I13*V13))</f>
        <v/>
      </c>
      <c r="X13" s="7">
        <f>IFERROR(MEDIAN(S13,U13,W13),"")</f>
        <v/>
      </c>
      <c r="Y13" s="6" t="inlineStr"/>
      <c r="Z13" s="8">
        <f>IF(Y13&lt;&gt;"",Y13,X13)</f>
        <v/>
      </c>
      <c r="AA13" s="9" t="inlineStr">
        <is>
          <t>普通项目按 默认基数 × 实验室单价 自动计算。</t>
        </is>
      </c>
      <c r="AB13" s="5" t="inlineStr"/>
      <c r="AC13" s="5" t="n">
        <v>2</v>
      </c>
    </row>
    <row r="14" ht="16" customHeight="1">
      <c r="A14" s="5" t="inlineStr">
        <is>
          <t>K13</t>
        </is>
      </c>
      <c r="B14" s="5" t="inlineStr">
        <is>
          <t>K13</t>
        </is>
      </c>
      <c r="C14" s="5" t="inlineStr">
        <is>
          <t>K13 Dust Ingress</t>
        </is>
      </c>
      <c r="D14" s="6" t="inlineStr">
        <is>
          <t>委外费用</t>
        </is>
      </c>
      <c r="E14" s="5" t="inlineStr">
        <is>
          <t>按批次计费/批次</t>
        </is>
      </c>
      <c r="F14" s="5" t="inlineStr">
        <is>
          <t>batch</t>
        </is>
      </c>
      <c r="G14" s="6" t="inlineStr"/>
      <c r="H14" s="6">
        <f>IF(G14="","",IF(G14&lt;=6,"小环境箱","大环境箱"))</f>
        <v/>
      </c>
      <c r="I14" s="6" t="n">
        <v>4</v>
      </c>
      <c r="J14" s="5" t="inlineStr">
        <is>
          <t>不同使用场景出现过这些基数：4 / 2</t>
        </is>
      </c>
      <c r="K14" s="5" t="inlineStr">
        <is>
          <t>否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>
        <f>IF($L14&lt;&gt;"",IF($H14="小环境箱",$O14,$L14),1500)</f>
        <v/>
      </c>
      <c r="S14" s="7">
        <f>IF(K14="是","",IF(OR(I14="",R14="",R14="N/A"),"",I14*R14))</f>
        <v/>
      </c>
      <c r="T14" s="6">
        <f>IF($M14&lt;&gt;"",IF($H14="小环境箱",$P14,$M14),1500)</f>
        <v/>
      </c>
      <c r="U14" s="7">
        <f>IF(K14="是","",IF(OR(I14="",T14="",T14="N/A"),"",I14*T14))</f>
        <v/>
      </c>
      <c r="V14" s="6">
        <f>IF($N14&lt;&gt;"",IF($H14="小环境箱",$Q14,$N14),1800)</f>
        <v/>
      </c>
      <c r="W14" s="7">
        <f>IF(K14="是","",IF(OR(I14="",V14="",V14="N/A"),"",I14*V14))</f>
        <v/>
      </c>
      <c r="X14" s="7">
        <f>IFERROR(MEDIAN(S14,U14,W14),"")</f>
        <v/>
      </c>
      <c r="Y14" s="6" t="inlineStr"/>
      <c r="Z14" s="8">
        <f>IF(Y14&lt;&gt;"",Y14,X14)</f>
        <v/>
      </c>
      <c r="AA14" s="9" t="inlineStr">
        <is>
          <t>普通项目按 默认基数 × 实验室单价 自动计算。</t>
        </is>
      </c>
      <c r="AB14" s="5" t="inlineStr"/>
      <c r="AC14" s="5" t="n">
        <v>4</v>
      </c>
    </row>
    <row r="15" ht="31" customHeight="1">
      <c r="A15" s="5" t="inlineStr">
        <is>
          <t>K14</t>
        </is>
      </c>
      <c r="B15" s="5" t="inlineStr">
        <is>
          <t>K14</t>
        </is>
      </c>
      <c r="C15" s="5" t="inlineStr">
        <is>
          <t>K14 Dust Blowing Test</t>
        </is>
      </c>
      <c r="D15" s="6" t="inlineStr">
        <is>
          <t>委外费用</t>
        </is>
      </c>
      <c r="E15" s="5" t="inlineStr">
        <is>
          <t>按批次计费/批次</t>
        </is>
      </c>
      <c r="F15" s="5" t="inlineStr">
        <is>
          <t>batch</t>
        </is>
      </c>
      <c r="G15" s="6" t="inlineStr"/>
      <c r="H15" s="6">
        <f>IF(G15="","",IF(G15&lt;=6,"小环境箱","大环境箱"))</f>
        <v/>
      </c>
      <c r="I15" s="6" t="n">
        <v>0</v>
      </c>
      <c r="J15" s="5" t="inlineStr">
        <is>
          <t>不同使用场景出现过这些基数：4 / 2</t>
        </is>
      </c>
      <c r="K15" s="5" t="inlineStr">
        <is>
          <t>否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7" t="inlineStr"/>
      <c r="S15" s="7">
        <f>IF(K15="是","",IF(OR(I15="",R15="",R15="N/A"),"",I15*R15))</f>
        <v/>
      </c>
      <c r="T15" s="7" t="inlineStr"/>
      <c r="U15" s="7">
        <f>IF(K15="是","",IF(OR(I15="",T15="",T15="N/A"),"",I15*T15))</f>
        <v/>
      </c>
      <c r="V15" s="7" t="inlineStr"/>
      <c r="W15" s="7">
        <f>IF(K15="是","",IF(OR(I15="",V15="",V15="N/A"),"",I15*V15))</f>
        <v/>
      </c>
      <c r="X15" s="7">
        <f>IFERROR(MEDIAN(S15,U15,W15),"")</f>
        <v/>
      </c>
      <c r="Y15" s="6" t="inlineStr"/>
      <c r="Z15" s="8">
        <f>IF(Y15&lt;&gt;"",Y15,X15)</f>
        <v/>
      </c>
      <c r="AA15" s="9" t="inlineStr">
        <is>
          <t>普通项目按 默认基数 × 实验室单价 自动计算。</t>
        </is>
      </c>
      <c r="AB15" s="5" t="inlineStr">
        <is>
          <t>K14 Dust Blowing 指定国测，按 3000/批计算；每批 3 台样品</t>
        </is>
      </c>
      <c r="AC15" s="5" t="n">
        <v>4</v>
      </c>
    </row>
    <row r="16" ht="16" customHeight="1">
      <c r="A16" s="5" t="inlineStr">
        <is>
          <t>K15</t>
        </is>
      </c>
      <c r="B16" s="5" t="inlineStr">
        <is>
          <t>K15</t>
        </is>
      </c>
      <c r="C16" s="5" t="inlineStr">
        <is>
          <t>K15 Vibration</t>
        </is>
      </c>
      <c r="D16" s="6" t="inlineStr">
        <is>
          <t>委外费用</t>
        </is>
      </c>
      <c r="E16" s="5" t="inlineStr">
        <is>
          <t>按小时计费/h</t>
        </is>
      </c>
      <c r="F16" s="5" t="inlineStr">
        <is>
          <t>hour</t>
        </is>
      </c>
      <c r="G16" s="6" t="inlineStr"/>
      <c r="H16" s="6">
        <f>IF(G16="","",IF(G16&lt;=6,"小环境箱","大环境箱"))</f>
        <v/>
      </c>
      <c r="I16" s="6" t="n">
        <v>48</v>
      </c>
      <c r="J16" s="5" t="inlineStr">
        <is>
          <t>不同使用场景出现过这些基数：48 / 24</t>
        </is>
      </c>
      <c r="K16" s="5" t="inlineStr">
        <is>
          <t>否</t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>
        <f>IF($L16&lt;&gt;"",IF($H16="小环境箱",$O16,$L16),500)</f>
        <v/>
      </c>
      <c r="S16" s="7">
        <f>IF(K16="是","",IF(OR(I16="",R16="",R16="N/A"),"",I16*R16))</f>
        <v/>
      </c>
      <c r="T16" s="6">
        <f>IF($M16&lt;&gt;"",IF($H16="小环境箱",$P16,$M16),400)</f>
        <v/>
      </c>
      <c r="U16" s="7">
        <f>IF(K16="是","",IF(OR(I16="",T16="",T16="N/A"),"",I16*T16))</f>
        <v/>
      </c>
      <c r="V16" s="6">
        <f>IF($N16&lt;&gt;"",IF($H16="小环境箱",$Q16,$N16),600)</f>
        <v/>
      </c>
      <c r="W16" s="7">
        <f>IF(K16="是","",IF(OR(I16="",V16="",V16="N/A"),"",I16*V16))</f>
        <v/>
      </c>
      <c r="X16" s="7">
        <f>IFERROR(MEDIAN(S16,U16,W16),"")</f>
        <v/>
      </c>
      <c r="Y16" s="6" t="inlineStr"/>
      <c r="Z16" s="8">
        <f>IF(Y16&lt;&gt;"",Y16,X16)</f>
        <v/>
      </c>
      <c r="AA16" s="9" t="inlineStr">
        <is>
          <t>普通项目按 默认基数 × 实验室单价 自动计算。</t>
        </is>
      </c>
      <c r="AB16" s="5" t="inlineStr"/>
      <c r="AC16" s="5" t="n">
        <v>4</v>
      </c>
    </row>
    <row r="17" ht="31" customHeight="1">
      <c r="A17" s="5" t="inlineStr">
        <is>
          <t>K16.1</t>
        </is>
      </c>
      <c r="B17" s="5" t="inlineStr">
        <is>
          <t>K16.1</t>
        </is>
      </c>
      <c r="C17" s="5" t="inlineStr">
        <is>
          <t>K16.1 Mechanical Shock Package Drop</t>
        </is>
      </c>
      <c r="D17" s="6" t="inlineStr">
        <is>
          <t>委外费用</t>
        </is>
      </c>
      <c r="E17" s="5" t="inlineStr">
        <is>
          <t>按样品数量计费/个</t>
        </is>
      </c>
      <c r="F17" s="5" t="inlineStr">
        <is>
          <t>quantity</t>
        </is>
      </c>
      <c r="G17" s="6" t="inlineStr"/>
      <c r="H17" s="6">
        <f>IF(G17="","",IF(G17&lt;=6,"小环境箱","大环境箱"))</f>
        <v/>
      </c>
      <c r="I17" s="6" t="n">
        <v>14</v>
      </c>
      <c r="J17" s="5" t="inlineStr"/>
      <c r="K17" s="5" t="inlineStr">
        <is>
          <t>否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>
        <f>IF($L17&lt;&gt;"",IF($H17="小环境箱",$O17,$L17),300)</f>
        <v/>
      </c>
      <c r="S17" s="7">
        <f>IF(K17="是","",IF(OR(I17="",R17="",R17="N/A"),"",I17*R17))</f>
        <v/>
      </c>
      <c r="T17" s="6">
        <f>IF($M17&lt;&gt;"",IF($H17="小环境箱",$P17,$M17),120)</f>
        <v/>
      </c>
      <c r="U17" s="7">
        <f>IF(K17="是","",IF(OR(I17="",T17="",T17="N/A"),"",I17*T17))</f>
        <v/>
      </c>
      <c r="V17" s="6">
        <f>IF($N17&lt;&gt;"",IF($H17="小环境箱",$Q17,$N17),300)</f>
        <v/>
      </c>
      <c r="W17" s="7">
        <f>IF(K17="是","",IF(OR(I17="",V17="",V17="N/A"),"",I17*V17))</f>
        <v/>
      </c>
      <c r="X17" s="7">
        <f>IFERROR(MEDIAN(S17,U17,W17),"")</f>
        <v/>
      </c>
      <c r="Y17" s="6" t="inlineStr"/>
      <c r="Z17" s="8">
        <f>IF(Y17&lt;&gt;"",Y17,X17)</f>
        <v/>
      </c>
      <c r="AA17" s="9" t="inlineStr">
        <is>
          <t>普通项目按 默认基数 × 实验室单价 自动计算。</t>
        </is>
      </c>
      <c r="AB17" s="5" t="inlineStr"/>
      <c r="AC17" s="5" t="n">
        <v>2</v>
      </c>
    </row>
    <row r="18" ht="16" customHeight="1">
      <c r="A18" s="5" t="inlineStr">
        <is>
          <t>K16.4</t>
        </is>
      </c>
      <c r="B18" s="5" t="inlineStr">
        <is>
          <t>K16.4</t>
        </is>
      </c>
      <c r="C18" s="5" t="inlineStr">
        <is>
          <t>K16.4 Mechanical Shock Low</t>
        </is>
      </c>
      <c r="D18" s="6" t="inlineStr">
        <is>
          <t>委外费用</t>
        </is>
      </c>
      <c r="E18" s="5" t="inlineStr">
        <is>
          <t>按样品数量计费/个</t>
        </is>
      </c>
      <c r="F18" s="5" t="inlineStr">
        <is>
          <t>quantity</t>
        </is>
      </c>
      <c r="G18" s="6" t="inlineStr"/>
      <c r="H18" s="6">
        <f>IF(G18="","",IF(G18&lt;=6,"小环境箱","大环境箱"))</f>
        <v/>
      </c>
      <c r="I18" s="6" t="n">
        <v>12</v>
      </c>
      <c r="J18" s="5" t="inlineStr"/>
      <c r="K18" s="5" t="inlineStr">
        <is>
          <t>否</t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>
        <f>IF($L18&lt;&gt;"",IF($H18="小环境箱",$O18,$L18),333)</f>
        <v/>
      </c>
      <c r="S18" s="7">
        <f>IF(K18="是","",IF(OR(I18="",R18="",R18="N/A"),"",I18*R18))</f>
        <v/>
      </c>
      <c r="T18" s="6">
        <f>IF($M18&lt;&gt;"",IF($H18="小环境箱",$P18,$M18),167)</f>
        <v/>
      </c>
      <c r="U18" s="7">
        <f>IF(K18="是","",IF(OR(I18="",T18="",T18="N/A"),"",I18*T18))</f>
        <v/>
      </c>
      <c r="V18" s="6">
        <f>IF($N18&lt;&gt;"",IF($H18="小环境箱",$Q18,$N18),300)</f>
        <v/>
      </c>
      <c r="W18" s="7">
        <f>IF(K18="是","",IF(OR(I18="",V18="",V18="N/A"),"",I18*V18))</f>
        <v/>
      </c>
      <c r="X18" s="7">
        <f>IFERROR(MEDIAN(S18,U18,W18),"")</f>
        <v/>
      </c>
      <c r="Y18" s="6" t="inlineStr"/>
      <c r="Z18" s="8">
        <f>IF(Y18&lt;&gt;"",Y18,X18)</f>
        <v/>
      </c>
      <c r="AA18" s="9" t="inlineStr">
        <is>
          <t>普通项目按 默认基数 × 实验室单价 自动计算。</t>
        </is>
      </c>
      <c r="AB18" s="5" t="inlineStr"/>
      <c r="AC18" s="5" t="n">
        <v>2</v>
      </c>
    </row>
    <row r="19" ht="31" customHeight="1">
      <c r="A19" s="5" t="inlineStr">
        <is>
          <t>K17</t>
        </is>
      </c>
      <c r="B19" s="5" t="inlineStr">
        <is>
          <t>K17</t>
        </is>
      </c>
      <c r="C19" s="5" t="inlineStr">
        <is>
          <t>K17 Audible Noise</t>
        </is>
      </c>
      <c r="D19" s="6" t="inlineStr">
        <is>
          <t>委外费用</t>
        </is>
      </c>
      <c r="E19" s="5" t="inlineStr">
        <is>
          <t>按样品数量计费/个</t>
        </is>
      </c>
      <c r="F19" s="5" t="inlineStr">
        <is>
          <t>quantity</t>
        </is>
      </c>
      <c r="G19" s="6" t="inlineStr"/>
      <c r="H19" s="6">
        <f>IF(G19="","",IF(G19&lt;=6,"小环境箱","大环境箱"))</f>
        <v/>
      </c>
      <c r="I19" s="6" t="n">
        <v>12</v>
      </c>
      <c r="J19" s="5" t="inlineStr"/>
      <c r="K19" s="5" t="inlineStr">
        <is>
          <t>否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n">
        <v>4000</v>
      </c>
      <c r="S19" s="7">
        <f>IF(K19="是","",IF(OR(I19="",R19="",R19="N/A"),"",I19*R19))</f>
        <v/>
      </c>
      <c r="T19" s="6" t="n">
        <v>3333</v>
      </c>
      <c r="U19" s="7">
        <f>IF(K19="是","",IF(OR(I19="",T19="",T19="N/A"),"",I19*T19))</f>
        <v/>
      </c>
      <c r="V19" s="6" t="n">
        <v>1000</v>
      </c>
      <c r="W19" s="7">
        <f>IF(K19="是","",IF(OR(I19="",V19="",V19="N/A"),"",I19*V19))</f>
        <v/>
      </c>
      <c r="X19" s="7">
        <f>IFERROR(MEDIAN(S19,U19,W19),"")</f>
        <v/>
      </c>
      <c r="Y19" s="6" t="inlineStr"/>
      <c r="Z19" s="8">
        <f>IF(Y19&lt;&gt;"",Y19,X19)</f>
        <v/>
      </c>
      <c r="AA19" s="9" t="inlineStr">
        <is>
          <t>普通项目按 默认基数 × 实验室单价 自动计算。</t>
        </is>
      </c>
      <c r="AB19" s="5" t="inlineStr">
        <is>
          <t>K17 Audible Noise 按 EMA 三个方向的组合单价 × 样机数计算</t>
        </is>
      </c>
      <c r="AC19" s="5" t="n">
        <v>2</v>
      </c>
      <c r="AD19" s="3" t="inlineStr">
        <is>
          <t>华测需要分包</t>
        </is>
      </c>
    </row>
    <row r="20" ht="46" customHeight="1">
      <c r="A20" s="5" t="inlineStr">
        <is>
          <t>K18</t>
        </is>
      </c>
      <c r="B20" s="5" t="inlineStr">
        <is>
          <t>K18</t>
        </is>
      </c>
      <c r="C20" s="5" t="inlineStr">
        <is>
          <t>K18 Connector and lead/lock strength</t>
        </is>
      </c>
      <c r="D20" s="6" t="inlineStr">
        <is>
          <t>委外费用</t>
        </is>
      </c>
      <c r="E20" s="5" t="inlineStr">
        <is>
          <t>按样品数量计费/个</t>
        </is>
      </c>
      <c r="F20" s="5" t="inlineStr">
        <is>
          <t>quantity</t>
        </is>
      </c>
      <c r="G20" s="6" t="inlineStr"/>
      <c r="H20" s="6">
        <f>IF(G20="","",IF(G20&lt;=6,"小环境箱","大环境箱"))</f>
        <v/>
      </c>
      <c r="I20" s="6" t="n">
        <v>12</v>
      </c>
      <c r="J20" s="5" t="inlineStr"/>
      <c r="K20" s="5" t="inlineStr">
        <is>
          <t>是</t>
        </is>
      </c>
      <c r="L20" s="6" t="inlineStr"/>
      <c r="M20" s="6" t="inlineStr"/>
      <c r="N20" s="6" t="inlineStr"/>
      <c r="O20" s="6" t="inlineStr"/>
      <c r="P20" s="6" t="inlineStr"/>
      <c r="Q20" s="6" t="inlineStr"/>
      <c r="R20" s="6">
        <f>IF($L20&lt;&gt;"",IF($H20="小环境箱",$O20,$L20),325)</f>
        <v/>
      </c>
      <c r="S20" s="7" t="n">
        <v>19000</v>
      </c>
      <c r="T20" s="6">
        <f>IF($M20&lt;&gt;"",IF($H20="小环境箱",$P20,$M20),500)</f>
        <v/>
      </c>
      <c r="U20" s="7" t="n">
        <v>27500</v>
      </c>
      <c r="V20" s="6">
        <f>IF($N20&lt;&gt;"",IF($H20="小环境箱",$Q20,$N20),125)</f>
        <v/>
      </c>
      <c r="W20" s="7" t="n">
        <v>9500</v>
      </c>
      <c r="X20" s="7">
        <f>IFERROR(MEDIAN(S20,U20,W20),"")</f>
        <v/>
      </c>
      <c r="Y20" s="6" t="inlineStr"/>
      <c r="Z20" s="8">
        <f>IF(Y20&lt;&gt;"",Y20,X20)</f>
        <v/>
      </c>
      <c r="AA20" s="9" t="inlineStr">
        <is>
          <t>SGS: 四项单价 325；微应力 3400 = 19000；
华测: 四项单价 500；微应力 3500 = 27500；
苏勃: 四项单价 125；微应力 3500 = 9500；</t>
        </is>
      </c>
      <c r="AB20" s="5" t="inlineStr">
        <is>
          <t>K18.1-K18.4 四项 × 12 台样机 × 单价 + K18.1 微应力费用</t>
        </is>
      </c>
      <c r="AC20" s="5" t="n">
        <v>2</v>
      </c>
      <c r="AD20" s="3" t="inlineStr">
        <is>
          <t>苏勃需要分包</t>
        </is>
      </c>
    </row>
    <row r="21" ht="16" customHeight="1">
      <c r="A21" s="5" t="inlineStr">
        <is>
          <t>K20</t>
        </is>
      </c>
      <c r="B21" s="5" t="inlineStr">
        <is>
          <t>K20</t>
        </is>
      </c>
      <c r="C21" s="5" t="inlineStr">
        <is>
          <t>K20 Solar Radiation</t>
        </is>
      </c>
      <c r="D21" s="6" t="inlineStr">
        <is>
          <t>委外费用</t>
        </is>
      </c>
      <c r="E21" s="5" t="inlineStr">
        <is>
          <t>按小时计费/h</t>
        </is>
      </c>
      <c r="F21" s="5" t="inlineStr">
        <is>
          <t>hour</t>
        </is>
      </c>
      <c r="G21" s="6" t="inlineStr"/>
      <c r="H21" s="6">
        <f>IF(G21="","",IF(G21&lt;=6,"小环境箱","大环境箱"))</f>
        <v/>
      </c>
      <c r="I21" s="6" t="n">
        <v>24</v>
      </c>
      <c r="J21" s="5" t="inlineStr"/>
      <c r="K21" s="5" t="inlineStr">
        <is>
          <t>否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6">
        <f>IF($L21&lt;&gt;"",IF($H21="小环境箱",$O21,$L21),145)</f>
        <v/>
      </c>
      <c r="S21" s="7">
        <f>IF(K21="是","",IF(OR(I21="",R21="",R21="N/A"),"",I21*R21))</f>
        <v/>
      </c>
      <c r="T21" s="6">
        <f>IF($M21&lt;&gt;"",IF($H21="小环境箱",$P21,$M21),400)</f>
        <v/>
      </c>
      <c r="U21" s="7">
        <f>IF(K21="是","",IF(OR(I21="",T21="",T21="N/A"),"",I21*T21))</f>
        <v/>
      </c>
      <c r="V21" s="6">
        <f>IF($N21&lt;&gt;"",IF($H21="小环境箱",$Q21,$N21),80)</f>
        <v/>
      </c>
      <c r="W21" s="7">
        <f>IF(K21="是","",IF(OR(I21="",V21="",V21="N/A"),"",I21*V21))</f>
        <v/>
      </c>
      <c r="X21" s="7">
        <f>IFERROR(MEDIAN(S21,U21,W21),"")</f>
        <v/>
      </c>
      <c r="Y21" s="6" t="inlineStr"/>
      <c r="Z21" s="8">
        <f>IF(Y21&lt;&gt;"",Y21,X21)</f>
        <v/>
      </c>
      <c r="AA21" s="9" t="inlineStr">
        <is>
          <t>普通项目按 默认基数 × 实验室单价 自动计算。</t>
        </is>
      </c>
      <c r="AB21" s="5" t="inlineStr"/>
      <c r="AC21" s="5" t="n">
        <v>2</v>
      </c>
    </row>
    <row r="22" ht="16" customHeight="1">
      <c r="A22" s="5" t="inlineStr">
        <is>
          <t>K21</t>
        </is>
      </c>
      <c r="B22" s="5" t="inlineStr">
        <is>
          <t>K21</t>
        </is>
      </c>
      <c r="C22" s="5" t="inlineStr">
        <is>
          <t>K21 Corrosive Gases</t>
        </is>
      </c>
      <c r="D22" s="6" t="inlineStr">
        <is>
          <t>委外费用</t>
        </is>
      </c>
      <c r="E22" s="5" t="inlineStr">
        <is>
          <t>按小时计费/h</t>
        </is>
      </c>
      <c r="F22" s="5" t="inlineStr">
        <is>
          <t>hour</t>
        </is>
      </c>
      <c r="G22" s="6" t="inlineStr"/>
      <c r="H22" s="6">
        <f>IF(G22="","",IF(G22&lt;=6,"小环境箱","大环境箱"))</f>
        <v/>
      </c>
      <c r="I22" s="6" t="n">
        <v>1000</v>
      </c>
      <c r="J22" s="5" t="inlineStr"/>
      <c r="K22" s="5" t="inlineStr">
        <is>
          <t>否</t>
        </is>
      </c>
      <c r="L22" s="6" t="inlineStr"/>
      <c r="M22" s="6" t="inlineStr"/>
      <c r="N22" s="6" t="inlineStr"/>
      <c r="O22" s="6" t="inlineStr"/>
      <c r="P22" s="6" t="inlineStr"/>
      <c r="Q22" s="6" t="inlineStr"/>
      <c r="R22" s="6">
        <f>IF($L22&lt;&gt;"",IF($H22="小环境箱",$O22,$L22),100)</f>
        <v/>
      </c>
      <c r="S22" s="7">
        <f>IF(K22="是","",IF(OR(I22="",R22="",R22="N/A"),"",I22*R22))</f>
        <v/>
      </c>
      <c r="T22" s="6">
        <f>IF($M22&lt;&gt;"",IF($H22="小环境箱",$P22,$M22),120)</f>
        <v/>
      </c>
      <c r="U22" s="7">
        <f>IF(K22="是","",IF(OR(I22="",T22="",T22="N/A"),"",I22*T22))</f>
        <v/>
      </c>
      <c r="V22" s="6">
        <f>IF($N22&lt;&gt;"",IF($H22="小环境箱",$Q22,$N22),150)</f>
        <v/>
      </c>
      <c r="W22" s="7">
        <f>IF(K22="是","",IF(OR(I22="",V22="",V22="N/A"),"",I22*V22))</f>
        <v/>
      </c>
      <c r="X22" s="7">
        <f>IFERROR(MEDIAN(S22,U22,W22),"")</f>
        <v/>
      </c>
      <c r="Y22" s="6" t="inlineStr"/>
      <c r="Z22" s="8">
        <f>IF(Y22&lt;&gt;"",Y22,X22)</f>
        <v/>
      </c>
      <c r="AA22" s="9" t="inlineStr">
        <is>
          <t>普通项目按 默认基数 × 实验室单价 自动计算；EMA K21 SGS 单价按 100/h。</t>
        </is>
      </c>
      <c r="AB22" s="5" t="inlineStr"/>
      <c r="AC22" s="5" t="n">
        <v>2</v>
      </c>
      <c r="AD22" s="3" t="inlineStr">
        <is>
          <t>SGS和苏勃需要分包</t>
        </is>
      </c>
    </row>
    <row r="23" ht="31" customHeight="1">
      <c r="A23" s="5" t="inlineStr">
        <is>
          <t>K22</t>
        </is>
      </c>
      <c r="B23" s="5" t="inlineStr">
        <is>
          <t>K22</t>
        </is>
      </c>
      <c r="C23" s="5" t="inlineStr">
        <is>
          <t>K22 Chemical Resistance</t>
        </is>
      </c>
      <c r="D23" s="6" t="inlineStr">
        <is>
          <t>委外费用</t>
        </is>
      </c>
      <c r="E23" s="5" t="inlineStr">
        <is>
          <t>按点位计费/点位</t>
        </is>
      </c>
      <c r="F23" s="5" t="inlineStr">
        <is>
          <t>quantity</t>
        </is>
      </c>
      <c r="G23" s="6" t="inlineStr"/>
      <c r="H23" s="6">
        <f>IF(G23="","",IF(G23&lt;=6,"小环境箱","大环境箱"))</f>
        <v/>
      </c>
      <c r="I23" s="6" t="n">
        <v>11</v>
      </c>
      <c r="J23" s="5" t="inlineStr"/>
      <c r="K23" s="5" t="inlineStr">
        <is>
          <t>否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6" t="n">
        <v>650</v>
      </c>
      <c r="S23" s="7" t="n">
        <v>7150</v>
      </c>
      <c r="T23" s="6" t="n">
        <v>700</v>
      </c>
      <c r="U23" s="7" t="n">
        <v>7700</v>
      </c>
      <c r="V23" s="6" t="n">
        <v>300</v>
      </c>
      <c r="W23" s="7" t="n">
        <v>3300</v>
      </c>
      <c r="X23" s="7">
        <f>IFERROR(MEDIAN(S23,U23,W23),"")</f>
        <v/>
      </c>
      <c r="Y23" s="6" t="inlineStr"/>
      <c r="Z23" s="8">
        <f>IF(Y23&lt;&gt;"",Y23,X23)</f>
        <v/>
      </c>
      <c r="AA23" s="9" t="inlineStr">
        <is>
          <t>普通项目按 默认基数 × 实验室单价 自动计算。</t>
        </is>
      </c>
      <c r="AB23" s="5" t="inlineStr">
        <is>
          <t>K22 Chemical Resistance 按 EMA 条件 2 的 11 种试剂；试剂数量 × 各实验室试剂单价计算</t>
        </is>
      </c>
      <c r="AC23" s="5" t="n">
        <v>2</v>
      </c>
    </row>
    <row r="24" ht="16" customHeight="1">
      <c r="A24" s="5" t="inlineStr">
        <is>
          <t>K23</t>
        </is>
      </c>
      <c r="B24" s="5" t="inlineStr">
        <is>
          <t>K23</t>
        </is>
      </c>
      <c r="C24" s="5" t="inlineStr">
        <is>
          <t>K23 Thermal Shock Endurance</t>
        </is>
      </c>
      <c r="D24" s="6" t="inlineStr">
        <is>
          <t>委外费用</t>
        </is>
      </c>
      <c r="E24" s="5" t="inlineStr">
        <is>
          <t>按小时计费/h</t>
        </is>
      </c>
      <c r="F24" s="5" t="inlineStr">
        <is>
          <t>hour</t>
        </is>
      </c>
      <c r="G24" s="6" t="inlineStr"/>
      <c r="H24" s="6">
        <f>IF(G24="","",IF(G24&lt;=6,"小环境箱","大环境箱"))</f>
        <v/>
      </c>
      <c r="I24" s="6" t="n">
        <v>1017</v>
      </c>
      <c r="J24" s="5" t="inlineStr"/>
      <c r="K24" s="5" t="inlineStr">
        <is>
          <t>否</t>
        </is>
      </c>
      <c r="L24" s="6" t="inlineStr"/>
      <c r="M24" s="6" t="inlineStr"/>
      <c r="N24" s="6" t="inlineStr"/>
      <c r="O24" s="6" t="inlineStr"/>
      <c r="P24" s="6" t="inlineStr"/>
      <c r="Q24" s="6" t="inlineStr"/>
      <c r="R24" s="6">
        <f>IF($L24&lt;&gt;"",IF($H24="小环境箱",$O24,$L24),40)</f>
        <v/>
      </c>
      <c r="S24" s="7">
        <f>IF(K24="是","",IF(OR(I24="",R24="",R24="N/A"),"",I24*R24))</f>
        <v/>
      </c>
      <c r="T24" s="6">
        <f>IF($M24&lt;&gt;"",IF($H24="小环境箱",$P24,$M24),50)</f>
        <v/>
      </c>
      <c r="U24" s="7">
        <f>IF(K24="是","",IF(OR(I24="",T24="",T24="N/A"),"",I24*T24))</f>
        <v/>
      </c>
      <c r="V24" s="6">
        <f>IF($N24&lt;&gt;"",IF($H24="小环境箱",$Q24,$N24),55)</f>
        <v/>
      </c>
      <c r="W24" s="7">
        <f>IF(K24="是","",IF(OR(I24="",V24="",V24="N/A"),"",I24*V24))</f>
        <v/>
      </c>
      <c r="X24" s="7">
        <f>IFERROR(MEDIAN(S24,U24,W24),"")</f>
        <v/>
      </c>
      <c r="Y24" s="6" t="inlineStr"/>
      <c r="Z24" s="8">
        <f>IF(Y24&lt;&gt;"",Y24,X24)</f>
        <v/>
      </c>
      <c r="AA24" s="9" t="inlineStr">
        <is>
          <t>普通项目按 默认基数 × 实验室单价 自动计算。</t>
        </is>
      </c>
      <c r="AB24" s="5" t="inlineStr"/>
      <c r="AC24" s="5" t="n">
        <v>2</v>
      </c>
    </row>
    <row r="25" ht="16" customHeight="1">
      <c r="A25" s="5" t="inlineStr">
        <is>
          <t>K24</t>
        </is>
      </c>
      <c r="B25" s="5" t="inlineStr">
        <is>
          <t>K24</t>
        </is>
      </c>
      <c r="C25" s="5" t="inlineStr">
        <is>
          <t>K24 High Temperature Endurance</t>
        </is>
      </c>
      <c r="D25" s="6" t="inlineStr">
        <is>
          <t>委外费用</t>
        </is>
      </c>
      <c r="E25" s="5" t="inlineStr">
        <is>
          <t>按小时计费/h</t>
        </is>
      </c>
      <c r="F25" s="5" t="inlineStr">
        <is>
          <t>hour</t>
        </is>
      </c>
      <c r="G25" s="6" t="inlineStr"/>
      <c r="H25" s="6">
        <f>IF(G25="","",IF(G25&lt;=6,"小环境箱","大环境箱"))</f>
        <v/>
      </c>
      <c r="I25" s="6" t="n">
        <v>1000</v>
      </c>
      <c r="J25" s="5" t="inlineStr"/>
      <c r="K25" s="5" t="inlineStr">
        <is>
          <t>否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6">
        <f>IF($L25&lt;&gt;"",IF($H25="小环境箱",$O25,$L25),23)</f>
        <v/>
      </c>
      <c r="S25" s="7">
        <f>IF(K25="是","",IF(OR(I25="",R25="",R25="N/A"),"",I25*R25))</f>
        <v/>
      </c>
      <c r="T25" s="6">
        <f>IF($M25&lt;&gt;"",IF($H25="小环境箱",$P25,$M25),15)</f>
        <v/>
      </c>
      <c r="U25" s="7">
        <f>IF(K25="是","",IF(OR(I25="",T25="",T25="N/A"),"",I25*T25))</f>
        <v/>
      </c>
      <c r="V25" s="6">
        <f>IF($N25&lt;&gt;"",IF($H25="小环境箱",$Q25,$N25),30)</f>
        <v/>
      </c>
      <c r="W25" s="7">
        <f>IF(K25="是","",IF(OR(I25="",V25="",V25="N/A"),"",I25*V25))</f>
        <v/>
      </c>
      <c r="X25" s="7">
        <f>IFERROR(MEDIAN(S25,U25,W25),"")</f>
        <v/>
      </c>
      <c r="Y25" s="6" t="inlineStr"/>
      <c r="Z25" s="8">
        <f>IF(Y25&lt;&gt;"",Y25,X25)</f>
        <v/>
      </c>
      <c r="AA25" s="9" t="inlineStr">
        <is>
          <t>普通项目按 默认基数 × 实验室单价 自动计算。</t>
        </is>
      </c>
      <c r="AB25" s="5" t="inlineStr"/>
      <c r="AC25" s="5" t="n">
        <v>2</v>
      </c>
    </row>
    <row r="26" ht="46" customHeight="1">
      <c r="A26" s="5" t="inlineStr">
        <is>
          <t>K26</t>
        </is>
      </c>
      <c r="B26" s="5" t="inlineStr">
        <is>
          <t>K26</t>
        </is>
      </c>
      <c r="C26" s="5" t="inlineStr">
        <is>
          <t>K26 Mechanical Wear-Out</t>
        </is>
      </c>
      <c r="D26" s="6" t="inlineStr">
        <is>
          <t>委外费用</t>
        </is>
      </c>
      <c r="E26" s="5" t="inlineStr">
        <is>
          <t>按小时计费/h</t>
        </is>
      </c>
      <c r="F26" s="5" t="inlineStr">
        <is>
          <t>hour</t>
        </is>
      </c>
      <c r="G26" s="6" t="inlineStr"/>
      <c r="H26" s="6">
        <f>IF(G26="","",IF(G26&lt;=6,"小环境箱","大环境箱"))</f>
        <v/>
      </c>
      <c r="I26" s="6" t="n">
        <v>500</v>
      </c>
      <c r="J26" s="5" t="inlineStr"/>
      <c r="K26" s="5" t="inlineStr">
        <is>
          <t>是</t>
        </is>
      </c>
      <c r="L26" s="6" t="inlineStr"/>
      <c r="M26" s="6" t="inlineStr"/>
      <c r="N26" s="6" t="inlineStr"/>
      <c r="O26" s="6" t="inlineStr"/>
      <c r="P26" s="6" t="inlineStr"/>
      <c r="Q26" s="6" t="inlineStr"/>
      <c r="R26" s="7" t="inlineStr">
        <is>
          <t>N/A</t>
        </is>
      </c>
      <c r="S26" s="7" t="n">
        <v>7158</v>
      </c>
      <c r="T26" s="7" t="inlineStr">
        <is>
          <t>N/A</t>
        </is>
      </c>
      <c r="U26" s="7" t="n">
        <v>6488</v>
      </c>
      <c r="V26" s="7" t="inlineStr">
        <is>
          <t>N/A</t>
        </is>
      </c>
      <c r="W26" s="7" t="n">
        <v>11660</v>
      </c>
      <c r="X26" s="7">
        <f>IFERROR(MEDIAN(S26,U26,W26),"")</f>
        <v/>
      </c>
      <c r="Y26" s="6" t="inlineStr"/>
      <c r="Z26" s="8">
        <f>IF(Y26&lt;&gt;"",Y26,X26)</f>
        <v/>
      </c>
      <c r="AA26" s="9" t="inlineStr">
        <is>
          <t>SGS: 334 h × 10 + 83 h × 23 + 83 h × 23 = 7158；
华测: 334 h × 7 + 83 h × 25 + 83 h × 25 = 6488；
苏勃: 334 h × 20 + 83 h × 30 + 83 h × 30 = 11660；</t>
        </is>
      </c>
      <c r="AB26" s="5" t="inlineStr">
        <is>
          <t>K26 Mechanical Wear-Out 按 334h 常温 + 83h 低温 + 83h 高温分别计费后取实验室总价中值</t>
        </is>
      </c>
      <c r="AC26" s="5" t="n">
        <v>2</v>
      </c>
    </row>
    <row r="27" ht="31" customHeight="1">
      <c r="A27" s="5" t="inlineStr">
        <is>
          <t>K27</t>
        </is>
      </c>
      <c r="B27" s="5" t="inlineStr">
        <is>
          <t>K27</t>
        </is>
      </c>
      <c r="C27" s="5" t="inlineStr">
        <is>
          <t>K27 85/85 High Temperature -High Humidity Endurance</t>
        </is>
      </c>
      <c r="D27" s="6" t="inlineStr">
        <is>
          <t>委外费用</t>
        </is>
      </c>
      <c r="E27" s="5" t="inlineStr">
        <is>
          <t>按小时计费/h</t>
        </is>
      </c>
      <c r="F27" s="5" t="inlineStr">
        <is>
          <t>hour</t>
        </is>
      </c>
      <c r="G27" s="6" t="inlineStr"/>
      <c r="H27" s="6">
        <f>IF(G27="","",IF(G27&lt;=6,"小环境箱","大环境箱"))</f>
        <v/>
      </c>
      <c r="I27" s="6" t="n">
        <v>1000</v>
      </c>
      <c r="J27" s="5" t="inlineStr">
        <is>
          <t>不同使用场景出现过这些基数：1000 / 1100</t>
        </is>
      </c>
      <c r="K27" s="5" t="inlineStr">
        <is>
          <t>否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6">
        <f>IF($L27&lt;&gt;"",IF($H27="小环境箱",$O27,$L27),23)</f>
        <v/>
      </c>
      <c r="S27" s="7">
        <f>IF(K27="是","",IF(OR(I27="",R27="",R27="N/A"),"",I27*R27))</f>
        <v/>
      </c>
      <c r="T27" s="6">
        <f>IF($M27&lt;&gt;"",IF($H27="小环境箱",$P27,$M27),20)</f>
        <v/>
      </c>
      <c r="U27" s="7">
        <f>IF(K27="是","",IF(OR(I27="",T27="",T27="N/A"),"",I27*T27))</f>
        <v/>
      </c>
      <c r="V27" s="6">
        <f>IF($N27&lt;&gt;"",IF($H27="小环境箱",$Q27,$N27),30)</f>
        <v/>
      </c>
      <c r="W27" s="7">
        <f>IF(K27="是","",IF(OR(I27="",V27="",V27="N/A"),"",I27*V27))</f>
        <v/>
      </c>
      <c r="X27" s="7">
        <f>IFERROR(MEDIAN(S27,U27,W27),"")</f>
        <v/>
      </c>
      <c r="Y27" s="6" t="inlineStr"/>
      <c r="Z27" s="8">
        <f>IF(Y27&lt;&gt;"",Y27,X27)</f>
        <v/>
      </c>
      <c r="AA27" s="9" t="inlineStr">
        <is>
          <t>普通项目按 默认基数 × 实验室单价 自动计算。</t>
        </is>
      </c>
      <c r="AB27" s="5" t="inlineStr"/>
      <c r="AC27" s="5" t="n">
        <v>4</v>
      </c>
    </row>
    <row r="28" ht="46" customHeight="1">
      <c r="A28" s="5" t="inlineStr">
        <is>
          <t>K28</t>
        </is>
      </c>
      <c r="B28" s="5" t="inlineStr">
        <is>
          <t>K28</t>
        </is>
      </c>
      <c r="C28" s="5" t="inlineStr">
        <is>
          <t>HALT</t>
        </is>
      </c>
      <c r="D28" s="6" t="inlineStr">
        <is>
          <t>委外费用</t>
        </is>
      </c>
      <c r="E28" s="5" t="inlineStr">
        <is>
          <t>按小时计费/h</t>
        </is>
      </c>
      <c r="F28" s="5" t="inlineStr">
        <is>
          <t>hour</t>
        </is>
      </c>
      <c r="G28" s="6" t="inlineStr"/>
      <c r="H28" s="6">
        <f>IF(G28="","",IF(G28&lt;=6,"小环境箱","大环境箱"))</f>
        <v/>
      </c>
      <c r="I28" s="6" t="n">
        <v>8</v>
      </c>
      <c r="J28" s="5" t="inlineStr">
        <is>
          <t>子项：HALT Cold / HALT Hot / HALT Thermal Shock / HALT Vibration / HALT TST &amp; Vibration；每项 8h</t>
        </is>
      </c>
      <c r="K28" s="5" t="inlineStr">
        <is>
          <t>否</t>
        </is>
      </c>
      <c r="L28" s="6" t="inlineStr"/>
      <c r="M28" s="6" t="inlineStr"/>
      <c r="N28" s="6" t="inlineStr"/>
      <c r="O28" s="6" t="inlineStr"/>
      <c r="P28" s="6" t="inlineStr"/>
      <c r="Q28" s="6" t="inlineStr"/>
      <c r="R28" s="6">
        <f>IF($L28&lt;&gt;"",IF($H28="小环境箱",$O28,$L28),800)</f>
        <v/>
      </c>
      <c r="S28" s="7">
        <f>IF(K28="是","",IF(OR(I28="",R28="",R28="N/A"),"",I28*R28))</f>
        <v/>
      </c>
      <c r="T28" s="6">
        <f>IF($M28&lt;&gt;"",IF($H28="小环境箱",$P28,$M28),600)</f>
        <v/>
      </c>
      <c r="U28" s="7">
        <f>IF(K28="是","",IF(OR(I28="",T28="",T28="N/A"),"",I28*T28))</f>
        <v/>
      </c>
      <c r="V28" s="6">
        <f>IF($N28&lt;&gt;"",IF($H28="小环境箱",$Q28,$N28),1500)</f>
        <v/>
      </c>
      <c r="W28" s="7">
        <f>IF(K28="是","",IF(OR(I28="",V28="",V28="N/A"),"",I28*V28))</f>
        <v/>
      </c>
      <c r="X28" s="7">
        <f>IFERROR(MEDIAN(S28,U28,W28),"")</f>
        <v/>
      </c>
      <c r="Y28" s="6" t="inlineStr"/>
      <c r="Z28" s="8">
        <f>IF(Y28&lt;&gt;"",Y28,X28)</f>
        <v/>
      </c>
      <c r="AA28" s="9" t="inlineStr">
        <is>
          <t>普通项目按 默认基数 × 实验室单价 自动计算。</t>
        </is>
      </c>
      <c r="AB28" s="5" t="inlineStr">
        <is>
          <t>HALT 测试项目按五个子项计费；子项：HALT Cold / HALT Hot / HALT Thermal Shock / HALT Vibration / HALT TST &amp; Vibration；每项 8h</t>
        </is>
      </c>
      <c r="AC28" s="5" t="n">
        <v>5</v>
      </c>
      <c r="AD28" s="3" t="inlineStr">
        <is>
          <t>SGS和苏勃需要分包</t>
        </is>
      </c>
    </row>
    <row r="29" ht="31" customHeight="1">
      <c r="A29" s="5" t="inlineStr">
        <is>
          <t>L1&amp;L4</t>
        </is>
      </c>
      <c r="B29" s="5" t="inlineStr">
        <is>
          <t>L1&amp;L4</t>
        </is>
      </c>
      <c r="C29" s="5" t="inlineStr">
        <is>
          <t>L1&amp;L4 Performance Evaluation &amp; Functional Evaluation</t>
        </is>
      </c>
      <c r="D29" s="6" t="inlineStr">
        <is>
          <t>委外费用</t>
        </is>
      </c>
      <c r="E29" s="5" t="inlineStr">
        <is>
          <t>按样品数量计费/个</t>
        </is>
      </c>
      <c r="F29" s="5" t="inlineStr">
        <is>
          <t>quantity</t>
        </is>
      </c>
      <c r="G29" s="6" t="inlineStr"/>
      <c r="H29" s="6">
        <f>IF(G29="","",IF(G29&lt;=6,"小环境箱","大环境箱"))</f>
        <v/>
      </c>
      <c r="I29" s="6" t="n">
        <v>82</v>
      </c>
      <c r="J29" s="5" t="inlineStr">
        <is>
          <t>不同使用场景出现过这些基数：82 / 12 / 6 / 97</t>
        </is>
      </c>
      <c r="K29" s="5" t="inlineStr">
        <is>
          <t>否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6">
        <f>IF($L29&lt;&gt;"",IF($H29="小环境箱",$O29,$L29),400)</f>
        <v/>
      </c>
      <c r="S29" s="7">
        <f>IF(K29="是","",IF(OR(I29="",R29="",R29="N/A"),"",I29*R29))</f>
        <v/>
      </c>
      <c r="T29" s="6">
        <f>IF($M29&lt;&gt;"",IF($H29="小环境箱",$P29,$M29),700)</f>
        <v/>
      </c>
      <c r="U29" s="7">
        <f>IF(K29="是","",IF(OR(I29="",T29="",T29="N/A"),"",I29*T29))</f>
        <v/>
      </c>
      <c r="V29" s="6">
        <f>IF($N29&lt;&gt;"",IF($H29="小环境箱",$Q29,$N29),400)</f>
        <v/>
      </c>
      <c r="W29" s="7">
        <f>IF(K29="是","",IF(OR(I29="",V29="",V29="N/A"),"",I29*V29))</f>
        <v/>
      </c>
      <c r="X29" s="7">
        <f>IFERROR(MEDIAN(S29,U29,W29),"")</f>
        <v/>
      </c>
      <c r="Y29" s="6" t="inlineStr"/>
      <c r="Z29" s="8">
        <f>IF(Y29&lt;&gt;"",Y29,X29)</f>
        <v/>
      </c>
      <c r="AA29" s="9" t="inlineStr">
        <is>
          <t>普通项目按 默认基数 × 实验室单价 自动计算。</t>
        </is>
      </c>
      <c r="AB29" s="5" t="inlineStr"/>
      <c r="AC29" s="5" t="n">
        <v>46</v>
      </c>
    </row>
    <row r="30" ht="31" customHeight="1">
      <c r="A30" s="5" t="inlineStr">
        <is>
          <t>L6-photo&amp;xray</t>
        </is>
      </c>
      <c r="B30" s="5" t="inlineStr">
        <is>
          <t>L6-photo&amp;xray</t>
        </is>
      </c>
      <c r="C30" s="5" t="inlineStr">
        <is>
          <t>L6-photo&amp;xray</t>
        </is>
      </c>
      <c r="D30" s="6" t="inlineStr">
        <is>
          <t>内部费用</t>
        </is>
      </c>
      <c r="E30" s="5" t="inlineStr">
        <is>
          <t>按样品数量计费/个</t>
        </is>
      </c>
      <c r="F30" s="5" t="inlineStr">
        <is>
          <t>quantity</t>
        </is>
      </c>
      <c r="G30" s="6" t="inlineStr"/>
      <c r="H30" s="6">
        <f>IF(G30="","",IF(G30&lt;=6,"小环境箱","大环境箱"))</f>
        <v/>
      </c>
      <c r="I30" s="6" t="n">
        <v>12</v>
      </c>
      <c r="J30" s="5" t="inlineStr">
        <is>
          <t>不同使用场景出现过这些基数：12 / 6 / 8 / 15</t>
        </is>
      </c>
      <c r="K30" s="5" t="inlineStr">
        <is>
          <t>否</t>
        </is>
      </c>
      <c r="L30" s="6" t="inlineStr"/>
      <c r="M30" s="6" t="inlineStr"/>
      <c r="N30" s="6" t="inlineStr"/>
      <c r="O30" s="6" t="inlineStr"/>
      <c r="P30" s="6" t="inlineStr"/>
      <c r="Q30" s="6" t="inlineStr"/>
      <c r="R30" s="6">
        <f>IF($L30&lt;&gt;"",IF($H30="小环境箱",$O30,$L30),400)</f>
        <v/>
      </c>
      <c r="S30" s="7">
        <f>IF(K30="是","",IF(OR(I30="",R30="",R30="N/A"),"",I30*R30))</f>
        <v/>
      </c>
      <c r="T30" s="7" t="inlineStr">
        <is>
          <t>N/A</t>
        </is>
      </c>
      <c r="U30" s="7">
        <f>IF(K30="是","",IF(OR(I30="",T30="",T30="N/A"),"",I30*T30))</f>
        <v/>
      </c>
      <c r="V30" s="7" t="inlineStr">
        <is>
          <t>N/A</t>
        </is>
      </c>
      <c r="W30" s="7">
        <f>IF(K30="是","",IF(OR(I30="",V30="",V30="N/A"),"",I30*V30))</f>
        <v/>
      </c>
      <c r="X30" s="7">
        <f>IFERROR(MEDIAN(S30,U30,W30),"")</f>
        <v/>
      </c>
      <c r="Y30" s="6" t="inlineStr"/>
      <c r="Z30" s="8">
        <f>IF(Y30&lt;&gt;"",Y30,X30)</f>
        <v/>
      </c>
      <c r="AA30" s="9" t="inlineStr">
        <is>
          <t>普通项目按 默认基数 × 实验室单价 自动计算。</t>
        </is>
      </c>
      <c r="AB30" s="5" t="inlineStr">
        <is>
          <t>L6-photo&amp;xray 固定单价 400/个样品；不按实验室报价中值计算</t>
        </is>
      </c>
      <c r="AC30" s="5" t="n">
        <v>23</v>
      </c>
    </row>
    <row r="31" ht="46" customHeight="1">
      <c r="A31" s="5" t="inlineStr">
        <is>
          <t>L6-SEM&amp;SECTION</t>
        </is>
      </c>
      <c r="B31" s="5" t="inlineStr">
        <is>
          <t>L6-SEM&amp;SECTION</t>
        </is>
      </c>
      <c r="C31" s="5" t="inlineStr">
        <is>
          <t>L6-SEM&amp;SECTION</t>
        </is>
      </c>
      <c r="D31" s="6" t="inlineStr">
        <is>
          <t>委外费用</t>
        </is>
      </c>
      <c r="E31" s="5" t="inlineStr">
        <is>
          <t>按点位计费/点位</t>
        </is>
      </c>
      <c r="F31" s="5" t="inlineStr">
        <is>
          <t>quantity</t>
        </is>
      </c>
      <c r="G31" s="6" t="inlineStr"/>
      <c r="H31" s="6">
        <f>IF(G31="","",IF(G31&lt;=6,"小环境箱","大环境箱"))</f>
        <v/>
      </c>
      <c r="I31" s="6" t="n">
        <v>33</v>
      </c>
      <c r="J31" s="5" t="inlineStr">
        <is>
          <t>3 样品 × 11 点位 = 33 点位</t>
        </is>
      </c>
      <c r="K31" s="5" t="inlineStr">
        <is>
          <t>否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6">
        <f>IF($L31&lt;&gt;"",IF($H31="小环境箱",$O31,$L31),650)</f>
        <v/>
      </c>
      <c r="S31" s="7">
        <f>IF(K31="是","",IF(OR(I31="",R31="",R31="N/A"),"",I31*R31))</f>
        <v/>
      </c>
      <c r="T31" s="6">
        <f>IF($M31&lt;&gt;"",IF($H31="小环境箱",$P31,$M31),500)</f>
        <v/>
      </c>
      <c r="U31" s="7">
        <f>IF(K31="是","",IF(OR(I31="",T31="",T31="N/A"),"",I31*T31))</f>
        <v/>
      </c>
      <c r="V31" s="6">
        <f>IF($N31&lt;&gt;"",IF($H31="小环境箱",$Q31,$N31),700)</f>
        <v/>
      </c>
      <c r="W31" s="7">
        <f>IF(K31="是","",IF(OR(I31="",V31="",V31="N/A"),"",I31*V31))</f>
        <v/>
      </c>
      <c r="X31" s="7">
        <f>IFERROR(MEDIAN(S31,U31,W31),"")</f>
        <v/>
      </c>
      <c r="Y31" s="6" t="inlineStr"/>
      <c r="Z31" s="8">
        <f>IF(Y31&lt;&gt;"",Y31,X31)</f>
        <v/>
      </c>
      <c r="AA31" s="9" t="inlineStr">
        <is>
          <t>普通项目按 默认基数 × 实验室单价 自动计算。</t>
        </is>
      </c>
      <c r="AB31" s="5" t="inlineStr">
        <is>
          <t>L6-SEM&amp;SECTION 委外组合报价：SEM &amp; Sectioning 按 33 个测试点位取实验室总价中值</t>
        </is>
      </c>
      <c r="AC31" s="5" t="n">
        <v>2</v>
      </c>
    </row>
    <row r="32" ht="61" customHeight="1">
      <c r="A32" s="5" t="inlineStr">
        <is>
          <t>Optical</t>
        </is>
      </c>
      <c r="B32" s="5" t="inlineStr">
        <is>
          <t>Optical</t>
        </is>
      </c>
      <c r="C32" s="5" t="inlineStr">
        <is>
          <t>Optical Test</t>
        </is>
      </c>
      <c r="D32" s="6" t="inlineStr">
        <is>
          <t>内部费用</t>
        </is>
      </c>
      <c r="E32" s="5" t="inlineStr">
        <is>
          <t>按样品数量计费/个</t>
        </is>
      </c>
      <c r="F32" s="5" t="inlineStr">
        <is>
          <t>quantity</t>
        </is>
      </c>
      <c r="G32" s="6" t="inlineStr"/>
      <c r="H32" s="6">
        <f>IF(G32="","",IF(G32&lt;=6,"小环境箱","大环境箱"))</f>
        <v/>
      </c>
      <c r="I32" s="6" t="n">
        <v>94</v>
      </c>
      <c r="J32" s="5" t="inlineStr">
        <is>
          <t>不同使用场景出现过这些基数：94 / 12 / 6 / 109 / 15</t>
        </is>
      </c>
      <c r="K32" s="5" t="inlineStr">
        <is>
          <t>是</t>
        </is>
      </c>
      <c r="L32" s="6" t="inlineStr"/>
      <c r="M32" s="6" t="inlineStr"/>
      <c r="N32" s="6" t="inlineStr"/>
      <c r="O32" s="6" t="inlineStr"/>
      <c r="P32" s="6" t="inlineStr"/>
      <c r="Q32" s="6" t="inlineStr"/>
      <c r="R32" s="7" t="inlineStr"/>
      <c r="S32" s="7">
        <f>IF(K32="是","",IF(OR(I32="",R32="",R32="N/A"),"",I32*R32))</f>
        <v/>
      </c>
      <c r="T32" s="7" t="inlineStr"/>
      <c r="U32" s="7">
        <f>IF(K32="是","",IF(OR(I32="",T32="",T32="N/A"),"",I32*T32))</f>
        <v/>
      </c>
      <c r="V32" s="7" t="inlineStr"/>
      <c r="W32" s="7">
        <f>IF(K32="是","",IF(OR(I32="",V32="",V32="N/A"),"",I32*V32))</f>
        <v/>
      </c>
      <c r="X32" s="7">
        <f>IFERROR(MEDIAN(S32,U32,W32),"")</f>
        <v/>
      </c>
      <c r="Y32" s="6" t="inlineStr"/>
      <c r="Z32" s="8">
        <f>IF(Y32&lt;&gt;"",Y32,X32)</f>
        <v/>
      </c>
      <c r="AA32" s="9" t="inlineStr">
        <is>
          <t>该项目存在特殊/组合计算，费用列按当前系统结果预填；
如需改公式，可在备注写明后交回我处理。</t>
        </is>
      </c>
      <c r="AB32" s="5" t="inlineStr">
        <is>
          <t>Optical Test: baseline 汇总，51 点位样品按组各取 1 台，其余按 19 点位计费；Optical Test: 1 台按 51 点位，其余按 19 点位计费；Optical Test: 全部按 19 点位计费</t>
        </is>
      </c>
      <c r="AC32" s="5" t="n">
        <v>40</v>
      </c>
    </row>
  </sheetData>
  <autoFilter ref="A1:AC32"/>
  <dataValidations count="1">
    <dataValidation sqref="D2:D32" showDropDown="0" showInputMessage="0" showErrorMessage="1" allowBlank="1" type="list">
      <formula1>"内部费用,委外费用,内外部都可,待确认"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tabSelected="1" workbookViewId="0">
      <pane ySplit="1" topLeftCell="A2" activePane="bottomLeft" state="frozen"/>
      <selection activeCell="A1" sqref="A1"/>
      <selection pane="bottomLeft" activeCell="B7" sqref="B7"/>
    </sheetView>
  </sheetViews>
  <sheetFormatPr baseColWidth="8" defaultColWidth="9" defaultRowHeight="15.2" outlineLevelRow="2"/>
  <cols>
    <col width="12" customWidth="1" min="1" max="1"/>
    <col width="14" customWidth="1" min="2" max="2"/>
    <col width="18" customWidth="1" min="3" max="3"/>
    <col width="72" customWidth="1" min="4" max="4"/>
    <col width="22" customWidth="1" min="5" max="5"/>
    <col width="60" customWidth="1" min="6" max="6"/>
  </cols>
  <sheetData>
    <row r="1" ht="28" customHeight="1">
      <c r="A1" s="1" t="inlineStr">
        <is>
          <t>版本</t>
        </is>
      </c>
      <c r="B1" s="1" t="inlineStr">
        <is>
          <t>更新日期</t>
        </is>
      </c>
      <c r="C1" s="1" t="inlineStr">
        <is>
          <t>更新类型</t>
        </is>
      </c>
      <c r="D1" s="1" t="inlineStr">
        <is>
          <t>更新内容</t>
        </is>
      </c>
      <c r="E1" s="1" t="inlineStr">
        <is>
          <t>影响范围</t>
        </is>
      </c>
      <c r="F1" s="1" t="inlineStr">
        <is>
          <t>维护备注</t>
        </is>
      </c>
    </row>
    <row r="2" ht="58" customHeight="1">
      <c r="A2" s="2" t="inlineStr">
        <is>
          <t>V.0</t>
        </is>
      </c>
      <c r="B2" s="2" t="inlineStr">
        <is>
          <t>2026-06-04</t>
        </is>
      </c>
      <c r="C2" s="2" t="inlineStr">
        <is>
          <t>初版导出</t>
        </is>
      </c>
      <c r="D2" s="2" t="inlineStr">
        <is>
          <t>按当前系统规则导出 JLR- EMA 费用规则单页去重版；包含 K28 HALT 五项 8h、E-2 SGS 参考价、K13 最新单价、L6 命名与费用规则；交付前修正 L6 已命名规则重复拆分问题，并保留 L6 内部/委外归属；K28 测试项目名称统一为 HALT，子项写入备注。</t>
        </is>
      </c>
      <c r="E2" s="2" t="inlineStr">
        <is>
          <t>费用规则去重表</t>
        </is>
      </c>
      <c r="F2" s="2" t="inlineStr">
        <is>
          <t>后续如修改单价或规则，请在本页追加 V.1 / V.2 记录，并保留历史版本。</t>
        </is>
      </c>
    </row>
    <row r="3" ht="31" customHeight="1">
      <c r="A3" s="2" t="inlineStr">
        <is>
          <t>V.1</t>
        </is>
      </c>
      <c r="B3" s="2" t="inlineStr">
        <is>
          <t>2026-06-08</t>
        </is>
      </c>
      <c r="C3" s="2" t="inlineStr">
        <is>
          <t>EMA 单价修正</t>
        </is>
      </c>
      <c r="D3" s="2" t="inlineStr">
        <is>
          <t>K21 Corrosive Gases 的 SGS 单价由 110/h 调整为 100/h；计费基数保持 1000h，建议费用仍按三家费用中值计算。</t>
        </is>
      </c>
      <c r="E3" s="2" t="inlineStr">
        <is>
          <t>费用规则去重表!R22:S22, X22:Z22</t>
        </is>
      </c>
      <c r="F3" s="2" t="inlineStr">
        <is>
          <t>按用户确认的 EMA 平台 K21 SGS 单价修正。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2026-06-05T07:43:00Z</dcterms:created>
  <dcterms:modified xmlns:dcterms="http://purl.org/dc/terms/" xmlns:xsi="http://www.w3.org/2001/XMLSchema-instance" xsi:type="dcterms:W3CDTF">2026-06-08T06:54:12Z</dcterms:modified>
  <cp:lastModifiedBy>Clytia♥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5444D91C5E6F2B7FD72F216AA47C36F3_42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