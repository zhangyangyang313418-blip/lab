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80" windowHeight="12560" tabRatio="600" firstSheet="0" activeTab="1" autoFilterDateGrouping="1"/>
  </bookViews>
  <sheets>
    <sheet xmlns:r="http://schemas.openxmlformats.org/officeDocument/2006/relationships" name="费用预估" sheetId="1" state="visible" r:id="rId1"/>
    <sheet xmlns:r="http://schemas.openxmlformats.org/officeDocument/2006/relationships" name="SGS" sheetId="2" state="visible" r:id="rId2"/>
    <sheet xmlns:r="http://schemas.openxmlformats.org/officeDocument/2006/relationships" name="华测" sheetId="3" state="visible" r:id="rId3"/>
    <sheet xmlns:r="http://schemas.openxmlformats.org/officeDocument/2006/relationships" name="苏勃" sheetId="4" state="visible" r:id="rId4"/>
    <sheet xmlns:r="http://schemas.openxmlformats.org/officeDocument/2006/relationships" name="费用对比" sheetId="5" state="visible" r:id="rId5"/>
    <sheet xmlns:r="http://schemas.openxmlformats.org/officeDocument/2006/relationships" name="特殊项目费用" sheetId="6" state="visible" r:id="rId6"/>
    <sheet xmlns:r="http://schemas.openxmlformats.org/officeDocument/2006/relationships" name="费用规则校验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&quot;￥&quot;#,##0.00;&quot;￥&quot;\-#,##0.00"/>
  </numFmts>
  <fonts count="49">
    <font>
      <name val="宋体"/>
      <charset val="134"/>
      <sz val="12"/>
    </font>
    <font>
      <name val="宋体"/>
      <charset val="134"/>
      <b val="1"/>
      <color rgb="FFFFFFFF"/>
      <sz val="12"/>
    </font>
    <font>
      <name val="Aptos"/>
      <charset val="134"/>
      <b val="1"/>
      <color rgb="FFFFFFFF"/>
      <sz val="14"/>
    </font>
    <font>
      <name val="Aptos"/>
      <charset val="134"/>
      <color rgb="FF1F2937"/>
      <sz val="10"/>
    </font>
    <font>
      <name val="Aptos"/>
      <charset val="134"/>
      <b val="1"/>
      <color rgb="FFFFFFFF"/>
      <sz val="10"/>
    </font>
    <font>
      <name val="Aptos"/>
      <charset val="134"/>
      <b val="1"/>
      <color rgb="FF12355B"/>
      <sz val="10"/>
    </font>
    <font>
      <name val="Aptos"/>
      <charset val="134"/>
      <b val="1"/>
      <color rgb="FF375623"/>
      <sz val="10"/>
    </font>
    <font>
      <name val="Aptos"/>
      <charset val="134"/>
      <b val="1"/>
      <color rgb="FF1F1F1F"/>
      <sz val="10"/>
    </font>
    <font>
      <name val="Aptos"/>
      <charset val="134"/>
      <b val="1"/>
      <color rgb="FFC00000"/>
      <sz val="10"/>
    </font>
    <font>
      <name val="Aptos"/>
      <charset val="134"/>
      <b val="1"/>
      <color rgb="FF38761D"/>
      <sz val="10"/>
    </font>
    <font>
      <name val="宋体"/>
      <charset val="134"/>
      <color rgb="FF1F1F1F"/>
      <sz val="12"/>
    </font>
    <font>
      <name val="宋体"/>
      <charset val="134"/>
      <b val="1"/>
      <color rgb="FF38761D"/>
      <sz val="12"/>
    </font>
    <font>
      <name val="Aptos"/>
      <charset val="134"/>
      <i val="1"/>
      <color rgb="FF9A3412"/>
      <sz val="10"/>
    </font>
    <font>
      <name val="Aptos"/>
      <charset val="134"/>
      <b val="1"/>
      <color rgb="FF3730A3"/>
      <sz val="10"/>
    </font>
    <font>
      <name val="Aptos"/>
      <charset val="134"/>
      <b val="1"/>
      <color rgb="FFFFFFFF"/>
      <sz val="12"/>
    </font>
    <font>
      <name val="Aptos"/>
      <charset val="134"/>
      <color rgb="FF9C0006"/>
      <sz val="10"/>
    </font>
    <font>
      <name val="Aptos"/>
      <charset val="134"/>
      <b val="1"/>
      <color rgb="FF1F2937"/>
      <sz val="10"/>
    </font>
    <font>
      <name val="Arial"/>
      <charset val="134"/>
      <b val="1"/>
      <color rgb="FFFFFFFF"/>
      <sz val="16"/>
    </font>
    <font>
      <name val="Arial"/>
      <charset val="134"/>
      <b val="1"/>
      <color rgb="FF1E3A8A"/>
      <sz val="10"/>
    </font>
    <font>
      <name val="Arial"/>
      <charset val="134"/>
      <b val="1"/>
      <color rgb="FF111827"/>
      <sz val="10"/>
    </font>
    <font>
      <name val="Arial"/>
      <charset val="134"/>
      <color rgb="FF111827"/>
      <sz val="10"/>
    </font>
    <font>
      <name val="Arial"/>
      <charset val="134"/>
      <sz val="10"/>
    </font>
    <font>
      <name val="Arial"/>
      <charset val="134"/>
      <b val="1"/>
      <color rgb="FF3730A3"/>
      <sz val="10"/>
    </font>
    <font>
      <name val="Arial"/>
      <charset val="134"/>
      <b val="1"/>
      <color rgb="FFFFFFFF"/>
      <sz val="10"/>
    </font>
    <font>
      <name val="黑体"/>
      <charset val="134"/>
      <b val="1"/>
      <color rgb="FFFFFFFF"/>
      <sz val="12"/>
    </font>
    <font>
      <name val="黑体"/>
      <charset val="134"/>
      <b val="1"/>
      <sz val="10"/>
    </font>
    <font>
      <name val="黑体"/>
      <charset val="134"/>
      <sz val="10"/>
    </font>
    <font>
      <name val="宋体-简"/>
      <charset val="134"/>
      <b val="1"/>
      <color rgb="FFFFFFFF"/>
      <sz val="10"/>
    </font>
    <font>
      <name val="黑体"/>
      <charset val="134"/>
      <sz val="12"/>
    </font>
    <font>
      <name val="宋体"/>
      <charset val="134"/>
      <color theme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  <font>
      <name val="宋体-简"/>
      <charset val="134"/>
      <sz val="10"/>
    </font>
  </fonts>
  <fills count="6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29" fillId="0" borderId="0" applyAlignment="1">
      <alignment vertical="center"/>
    </xf>
    <xf numFmtId="44" fontId="29" fillId="0" borderId="0" applyAlignment="1">
      <alignment vertical="center"/>
    </xf>
    <xf numFmtId="9" fontId="29" fillId="0" borderId="0" applyAlignment="1">
      <alignment vertical="center"/>
    </xf>
    <xf numFmtId="41" fontId="29" fillId="0" borderId="0" applyAlignment="1">
      <alignment vertical="center"/>
    </xf>
    <xf numFmtId="42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29" fillId="35" borderId="15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16" applyAlignment="1">
      <alignment vertical="center"/>
    </xf>
    <xf numFmtId="0" fontId="36" fillId="0" borderId="16" applyAlignment="1">
      <alignment vertical="center"/>
    </xf>
    <xf numFmtId="0" fontId="37" fillId="0" borderId="17" applyAlignment="1">
      <alignment vertical="center"/>
    </xf>
    <xf numFmtId="0" fontId="37" fillId="0" borderId="0" applyAlignment="1">
      <alignment vertical="center"/>
    </xf>
    <xf numFmtId="0" fontId="38" fillId="36" borderId="18" applyAlignment="1">
      <alignment vertical="center"/>
    </xf>
    <xf numFmtId="0" fontId="39" fillId="37" borderId="19" applyAlignment="1">
      <alignment vertical="center"/>
    </xf>
    <xf numFmtId="0" fontId="40" fillId="37" borderId="18" applyAlignment="1">
      <alignment vertical="center"/>
    </xf>
    <xf numFmtId="0" fontId="41" fillId="38" borderId="20" applyAlignment="1">
      <alignment vertical="center"/>
    </xf>
    <xf numFmtId="0" fontId="42" fillId="0" borderId="21" applyAlignment="1">
      <alignment vertical="center"/>
    </xf>
    <xf numFmtId="0" fontId="43" fillId="0" borderId="22" applyAlignment="1">
      <alignment vertical="center"/>
    </xf>
    <xf numFmtId="0" fontId="44" fillId="39" borderId="0" applyAlignment="1">
      <alignment vertical="center"/>
    </xf>
    <xf numFmtId="0" fontId="45" fillId="40" borderId="0" applyAlignment="1">
      <alignment vertical="center"/>
    </xf>
    <xf numFmtId="0" fontId="46" fillId="41" borderId="0" applyAlignment="1">
      <alignment vertical="center"/>
    </xf>
    <xf numFmtId="0" fontId="47" fillId="42" borderId="0" applyAlignment="1">
      <alignment vertical="center"/>
    </xf>
    <xf numFmtId="0" fontId="29" fillId="43" borderId="0" applyAlignment="1">
      <alignment vertical="center"/>
    </xf>
    <xf numFmtId="0" fontId="29" fillId="44" borderId="0" applyAlignment="1">
      <alignment vertical="center"/>
    </xf>
    <xf numFmtId="0" fontId="47" fillId="45" borderId="0" applyAlignment="1">
      <alignment vertical="center"/>
    </xf>
    <xf numFmtId="0" fontId="47" fillId="46" borderId="0" applyAlignment="1">
      <alignment vertical="center"/>
    </xf>
    <xf numFmtId="0" fontId="29" fillId="47" borderId="0" applyAlignment="1">
      <alignment vertical="center"/>
    </xf>
    <xf numFmtId="0" fontId="29" fillId="48" borderId="0" applyAlignment="1">
      <alignment vertical="center"/>
    </xf>
    <xf numFmtId="0" fontId="47" fillId="49" borderId="0" applyAlignment="1">
      <alignment vertical="center"/>
    </xf>
    <xf numFmtId="0" fontId="47" fillId="50" borderId="0" applyAlignment="1">
      <alignment vertical="center"/>
    </xf>
    <xf numFmtId="0" fontId="29" fillId="51" borderId="0" applyAlignment="1">
      <alignment vertical="center"/>
    </xf>
    <xf numFmtId="0" fontId="29" fillId="52" borderId="0" applyAlignment="1">
      <alignment vertical="center"/>
    </xf>
    <xf numFmtId="0" fontId="47" fillId="53" borderId="0" applyAlignment="1">
      <alignment vertical="center"/>
    </xf>
    <xf numFmtId="0" fontId="47" fillId="32" borderId="0" applyAlignment="1">
      <alignment vertical="center"/>
    </xf>
    <xf numFmtId="0" fontId="29" fillId="54" borderId="0" applyAlignment="1">
      <alignment vertical="center"/>
    </xf>
    <xf numFmtId="0" fontId="29" fillId="55" borderId="0" applyAlignment="1">
      <alignment vertical="center"/>
    </xf>
    <xf numFmtId="0" fontId="47" fillId="56" borderId="0" applyAlignment="1">
      <alignment vertical="center"/>
    </xf>
    <xf numFmtId="0" fontId="47" fillId="57" borderId="0" applyAlignment="1">
      <alignment vertical="center"/>
    </xf>
    <xf numFmtId="0" fontId="29" fillId="58" borderId="0" applyAlignment="1">
      <alignment vertical="center"/>
    </xf>
    <xf numFmtId="0" fontId="29" fillId="59" borderId="0" applyAlignment="1">
      <alignment vertical="center"/>
    </xf>
    <xf numFmtId="0" fontId="47" fillId="60" borderId="0" applyAlignment="1">
      <alignment vertical="center"/>
    </xf>
    <xf numFmtId="0" fontId="47" fillId="61" borderId="0" applyAlignment="1">
      <alignment vertical="center"/>
    </xf>
    <xf numFmtId="0" fontId="29" fillId="62" borderId="0" applyAlignment="1">
      <alignment vertical="center"/>
    </xf>
    <xf numFmtId="0" fontId="29" fillId="63" borderId="0" applyAlignment="1">
      <alignment vertical="center"/>
    </xf>
    <xf numFmtId="0" fontId="47" fillId="64" borderId="0" applyAlignment="1">
      <alignment vertical="center"/>
    </xf>
  </cellStyleXfs>
  <cellXfs count="17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3" fontId="3" fillId="11" borderId="0" applyAlignment="1" pivotButton="0" quotePrefix="0" xfId="0">
      <alignment horizontal="center" vertical="center" wrapText="1"/>
    </xf>
    <xf numFmtId="3" fontId="6" fillId="8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3" fontId="8" fillId="12" borderId="0" applyAlignment="1" pivotButton="0" quotePrefix="0" xfId="0">
      <alignment horizontal="center" vertical="center" wrapText="1"/>
    </xf>
    <xf numFmtId="3" fontId="9" fillId="8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vertical="center" wrapText="1"/>
    </xf>
    <xf numFmtId="0" fontId="11" fillId="14" borderId="0" applyAlignment="1" pivotButton="0" quotePrefix="0" xfId="0">
      <alignment horizontal="center" vertical="center" wrapText="1"/>
    </xf>
    <xf numFmtId="0" fontId="12" fillId="15" borderId="0" applyAlignment="1" pivotButton="0" quotePrefix="0" xfId="0">
      <alignment horizontal="left" vertical="center" wrapText="1"/>
    </xf>
    <xf numFmtId="0" fontId="13" fillId="16" borderId="0" applyAlignment="1" pivotButton="0" quotePrefix="0" xfId="0">
      <alignment horizontal="center" vertical="center" wrapText="1"/>
    </xf>
    <xf numFmtId="0" fontId="13" fillId="16" borderId="0" applyAlignment="1" pivotButton="0" quotePrefix="0" xfId="0">
      <alignment horizontal="left" vertical="center" wrapText="1"/>
    </xf>
    <xf numFmtId="0" fontId="14" fillId="17" borderId="0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3" fontId="15" fillId="12" borderId="0" applyAlignment="1" pivotButton="0" quotePrefix="0" xfId="0">
      <alignment horizontal="center" vertical="center" wrapText="1"/>
    </xf>
    <xf numFmtId="3" fontId="16" fillId="19" borderId="0" applyAlignment="1" pivotButton="0" quotePrefix="0" xfId="0">
      <alignment horizontal="center" vertical="center" wrapText="1"/>
    </xf>
    <xf numFmtId="3" fontId="16" fillId="20" borderId="0" applyAlignment="1" pivotButton="0" quotePrefix="0" xfId="0">
      <alignment horizontal="center" vertical="center" wrapText="1"/>
    </xf>
    <xf numFmtId="3" fontId="3" fillId="6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0" fillId="21" borderId="0" applyAlignment="1" pivotButton="0" quotePrefix="0" xfId="0">
      <alignment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left" vertical="center" wrapText="1"/>
    </xf>
    <xf numFmtId="3" fontId="3" fillId="22" borderId="0" applyAlignment="1" pivotButton="0" quotePrefix="0" xfId="0">
      <alignment horizontal="center" vertical="center" wrapText="1"/>
    </xf>
    <xf numFmtId="3" fontId="6" fillId="22" borderId="0" applyAlignment="1" pivotButton="0" quotePrefix="0" xfId="0">
      <alignment horizontal="center" vertical="center" wrapText="1"/>
    </xf>
    <xf numFmtId="3" fontId="15" fillId="22" borderId="0" applyAlignment="1" pivotButton="0" quotePrefix="0" xfId="0">
      <alignment horizontal="center" vertical="center" wrapText="1"/>
    </xf>
    <xf numFmtId="3" fontId="16" fillId="2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4" fillId="1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17" fillId="23" borderId="0" applyAlignment="1" pivotButton="0" quotePrefix="0" xfId="0">
      <alignment horizontal="center" vertical="center" wrapText="1"/>
    </xf>
    <xf numFmtId="3" fontId="17" fillId="23" borderId="0" applyAlignment="1" pivotButton="0" quotePrefix="0" xfId="0">
      <alignment horizontal="center" vertical="center" wrapText="1"/>
    </xf>
    <xf numFmtId="0" fontId="18" fillId="24" borderId="0" applyAlignment="1" pivotButton="0" quotePrefix="0" xfId="0">
      <alignment horizontal="center" vertical="center" wrapText="1"/>
    </xf>
    <xf numFmtId="0" fontId="19" fillId="11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  <xf numFmtId="3" fontId="20" fillId="11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3" fontId="21" fillId="0" borderId="0" applyAlignment="1" pivotButton="0" quotePrefix="0" xfId="0">
      <alignment vertical="center" wrapText="1"/>
    </xf>
    <xf numFmtId="0" fontId="22" fillId="16" borderId="0" applyAlignment="1" pivotButton="0" quotePrefix="0" xfId="0">
      <alignment vertical="center" wrapText="1"/>
    </xf>
    <xf numFmtId="3" fontId="22" fillId="16" borderId="0" applyAlignment="1" pivotButton="0" quotePrefix="0" xfId="0">
      <alignment vertical="center" wrapText="1"/>
    </xf>
    <xf numFmtId="0" fontId="23" fillId="25" borderId="0" applyAlignment="1" pivotButton="0" quotePrefix="0" xfId="0">
      <alignment horizontal="left" vertical="center" wrapText="1"/>
    </xf>
    <xf numFmtId="3" fontId="23" fillId="25" borderId="0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center" vertical="center" wrapText="1"/>
    </xf>
    <xf numFmtId="3" fontId="23" fillId="10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7" fillId="23" borderId="0" applyAlignment="1" pivotButton="0" quotePrefix="0" xfId="0">
      <alignment horizontal="left" vertical="center" wrapText="1"/>
    </xf>
    <xf numFmtId="0" fontId="24" fillId="2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center" vertical="center" wrapText="1"/>
    </xf>
    <xf numFmtId="3" fontId="20" fillId="11" borderId="0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0" fontId="25" fillId="26" borderId="1" applyAlignment="1" pivotButton="0" quotePrefix="0" xfId="0">
      <alignment horizontal="center" vertical="center"/>
    </xf>
    <xf numFmtId="0" fontId="25" fillId="27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164" fontId="25" fillId="26" borderId="1" applyAlignment="1" pivotButton="0" quotePrefix="0" xfId="0">
      <alignment horizontal="center" vertical="center"/>
    </xf>
    <xf numFmtId="164" fontId="25" fillId="27" borderId="1" applyAlignment="1" pivotButton="0" quotePrefix="0" xfId="0">
      <alignment horizontal="center" vertical="center"/>
    </xf>
    <xf numFmtId="0" fontId="22" fillId="16" borderId="0" applyAlignment="1" pivotButton="0" quotePrefix="0" xfId="0">
      <alignment horizontal="left" vertical="center" wrapText="1"/>
    </xf>
    <xf numFmtId="3" fontId="22" fillId="16" borderId="0" applyAlignment="1" pivotButton="0" quotePrefix="0" xfId="0">
      <alignment horizontal="left" vertical="center" wrapText="1"/>
    </xf>
    <xf numFmtId="0" fontId="23" fillId="25" borderId="1" applyAlignment="1" pivotButton="0" quotePrefix="0" xfId="0">
      <alignment horizontal="left" vertical="center" wrapText="1"/>
    </xf>
    <xf numFmtId="3" fontId="23" fillId="25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 wrapText="1"/>
    </xf>
    <xf numFmtId="3" fontId="27" fillId="1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3" fontId="21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3" fontId="23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left" vertical="center" wrapText="1"/>
    </xf>
    <xf numFmtId="0" fontId="21" fillId="28" borderId="1" applyAlignment="1" pivotButton="0" quotePrefix="0" xfId="0">
      <alignment horizontal="center" vertical="center" wrapText="1"/>
    </xf>
    <xf numFmtId="3" fontId="21" fillId="28" borderId="1" applyAlignment="1" pivotButton="0" quotePrefix="0" xfId="0">
      <alignment horizontal="center" vertical="center" wrapText="1"/>
    </xf>
    <xf numFmtId="0" fontId="21" fillId="28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 wrapText="1"/>
    </xf>
    <xf numFmtId="3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16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left" vertical="center" wrapText="1"/>
    </xf>
    <xf numFmtId="0" fontId="0" fillId="28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 wrapText="1"/>
    </xf>
    <xf numFmtId="164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4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5" fillId="29" borderId="1" applyAlignment="1" pivotButton="0" quotePrefix="0" xfId="0">
      <alignment horizontal="center" vertical="center"/>
    </xf>
    <xf numFmtId="0" fontId="28" fillId="0" borderId="2" pivotButton="0" quotePrefix="0" xfId="0"/>
    <xf numFmtId="0" fontId="28" fillId="0" borderId="3" pivotButton="0" quotePrefix="0" xfId="0"/>
    <xf numFmtId="0" fontId="28" fillId="0" borderId="2" applyAlignment="1" pivotButton="0" quotePrefix="0" xfId="0">
      <alignment wrapText="1"/>
    </xf>
    <xf numFmtId="0" fontId="25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0" fontId="25" fillId="30" borderId="4" applyAlignment="1" pivotButton="0" quotePrefix="0" xfId="0">
      <alignment horizontal="center" vertical="center"/>
    </xf>
    <xf numFmtId="0" fontId="26" fillId="30" borderId="5" applyAlignment="1" pivotButton="0" quotePrefix="0" xfId="0">
      <alignment horizontal="left" vertical="center"/>
    </xf>
    <xf numFmtId="0" fontId="28" fillId="0" borderId="5" pivotButton="0" quotePrefix="0" xfId="0"/>
    <xf numFmtId="0" fontId="28" fillId="0" borderId="5" applyAlignment="1" pivotButton="0" quotePrefix="0" xfId="0">
      <alignment wrapText="1"/>
    </xf>
    <xf numFmtId="164" fontId="28" fillId="0" borderId="5" pivotButton="0" quotePrefix="0" xfId="0"/>
    <xf numFmtId="0" fontId="28" fillId="0" borderId="6" applyAlignment="1" pivotButton="0" quotePrefix="0" xfId="0">
      <alignment wrapText="1"/>
    </xf>
    <xf numFmtId="0" fontId="25" fillId="30" borderId="7" applyAlignment="1" pivotButton="0" quotePrefix="0" xfId="0">
      <alignment horizontal="left" vertical="center"/>
    </xf>
    <xf numFmtId="0" fontId="28" fillId="0" borderId="1" pivotButton="0" quotePrefix="0" xfId="0"/>
    <xf numFmtId="0" fontId="28" fillId="0" borderId="1" applyAlignment="1" pivotButton="0" quotePrefix="0" xfId="0">
      <alignment wrapText="1"/>
    </xf>
    <xf numFmtId="164" fontId="28" fillId="0" borderId="1" pivotButton="0" quotePrefix="0" xfId="0"/>
    <xf numFmtId="0" fontId="28" fillId="0" borderId="8" applyAlignment="1" pivotButton="0" quotePrefix="0" xfId="0">
      <alignment wrapText="1"/>
    </xf>
    <xf numFmtId="0" fontId="25" fillId="0" borderId="1" applyAlignment="1" pivotButton="0" quotePrefix="0" xfId="0">
      <alignment horizontal="center" vertical="center" wrapText="1"/>
    </xf>
    <xf numFmtId="0" fontId="25" fillId="0" borderId="7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8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8" applyAlignment="1" pivotButton="0" quotePrefix="0" xfId="0">
      <alignment horizontal="left" vertical="center" wrapText="1"/>
    </xf>
    <xf numFmtId="0" fontId="26" fillId="31" borderId="7" applyAlignment="1" pivotButton="0" quotePrefix="0" xfId="0">
      <alignment horizontal="center" vertical="center"/>
    </xf>
    <xf numFmtId="0" fontId="26" fillId="31" borderId="1" applyAlignment="1" pivotButton="0" quotePrefix="0" xfId="0">
      <alignment horizontal="center" vertical="center"/>
    </xf>
    <xf numFmtId="0" fontId="26" fillId="31" borderId="1" applyAlignment="1" pivotButton="0" quotePrefix="0" xfId="0">
      <alignment vertical="center" wrapText="1"/>
    </xf>
    <xf numFmtId="164" fontId="26" fillId="31" borderId="1" applyAlignment="1" pivotButton="0" quotePrefix="0" xfId="0">
      <alignment horizontal="center" vertical="center"/>
    </xf>
    <xf numFmtId="0" fontId="26" fillId="31" borderId="1" applyAlignment="1" pivotButton="0" quotePrefix="0" xfId="0">
      <alignment horizontal="left" vertical="center" wrapText="1"/>
    </xf>
    <xf numFmtId="0" fontId="26" fillId="31" borderId="8" applyAlignment="1" pivotButton="0" quotePrefix="0" xfId="0">
      <alignment horizontal="left" vertical="center" wrapText="1"/>
    </xf>
    <xf numFmtId="0" fontId="26" fillId="32" borderId="9" applyAlignment="1" pivotButton="0" quotePrefix="0" xfId="0">
      <alignment horizontal="right" vertical="center"/>
    </xf>
    <xf numFmtId="0" fontId="26" fillId="32" borderId="3" applyAlignment="1" pivotButton="0" quotePrefix="0" xfId="0">
      <alignment horizontal="right" vertical="center"/>
    </xf>
    <xf numFmtId="0" fontId="26" fillId="32" borderId="3" applyAlignment="1" pivotButton="0" quotePrefix="0" xfId="0">
      <alignment horizontal="right" vertical="center" wrapText="1"/>
    </xf>
    <xf numFmtId="0" fontId="26" fillId="32" borderId="2" applyAlignment="1" pivotButton="0" quotePrefix="0" xfId="0">
      <alignment horizontal="right" vertical="center"/>
    </xf>
    <xf numFmtId="0" fontId="26" fillId="0" borderId="10" applyAlignment="1" pivotButton="0" quotePrefix="0" xfId="0">
      <alignment horizontal="center" vertical="center" wrapText="1"/>
    </xf>
    <xf numFmtId="0" fontId="26" fillId="0" borderId="11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vertical="center" wrapText="1"/>
    </xf>
    <xf numFmtId="164" fontId="26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left" vertical="center" wrapText="1"/>
    </xf>
    <xf numFmtId="0" fontId="26" fillId="0" borderId="14" applyAlignment="1" pivotButton="0" quotePrefix="0" xfId="0">
      <alignment horizontal="left" vertical="center" wrapText="1"/>
    </xf>
    <xf numFmtId="0" fontId="26" fillId="33" borderId="0" applyAlignment="1" pivotButton="0" quotePrefix="0" xfId="0">
      <alignment horizontal="center" vertical="center"/>
    </xf>
    <xf numFmtId="0" fontId="25" fillId="34" borderId="4" applyAlignment="1" pivotButton="0" quotePrefix="0" xfId="0">
      <alignment horizontal="center" vertical="center"/>
    </xf>
    <xf numFmtId="0" fontId="26" fillId="34" borderId="5" applyAlignment="1" pivotButton="0" quotePrefix="0" xfId="0">
      <alignment horizontal="left" vertical="center"/>
    </xf>
    <xf numFmtId="0" fontId="26" fillId="34" borderId="5" applyAlignment="1" pivotButton="0" quotePrefix="0" xfId="0">
      <alignment horizontal="left" vertical="center" wrapText="1"/>
    </xf>
    <xf numFmtId="164" fontId="26" fillId="34" borderId="5" applyAlignment="1" pivotButton="0" quotePrefix="0" xfId="0">
      <alignment horizontal="left" vertical="center"/>
    </xf>
    <xf numFmtId="0" fontId="26" fillId="34" borderId="6" applyAlignment="1" pivotButton="0" quotePrefix="0" xfId="0">
      <alignment horizontal="left" vertical="center" wrapText="1"/>
    </xf>
    <xf numFmtId="0" fontId="25" fillId="34" borderId="7" applyAlignment="1" pivotButton="0" quotePrefix="0" xfId="0">
      <alignment horizontal="left" vertical="center"/>
    </xf>
    <xf numFmtId="0" fontId="26" fillId="0" borderId="8" applyAlignment="1" pivotButton="0" quotePrefix="0" xfId="0">
      <alignment vertical="center" wrapText="1"/>
    </xf>
    <xf numFmtId="164" fontId="26" fillId="0" borderId="0" applyAlignment="1" pivotButton="0" quotePrefix="0" xfId="0">
      <alignment horizontal="center" vertical="center"/>
    </xf>
    <xf numFmtId="164" fontId="24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164" fontId="26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0" fontId="0" fillId="0" borderId="27" pivotButton="0" quotePrefix="0" xfId="0"/>
    <xf numFmtId="0" fontId="0" fillId="0" borderId="28" pivotButton="0" quotePrefix="0" xfId="0"/>
    <xf numFmtId="164" fontId="25" fillId="0" borderId="1" applyAlignment="1" pivotButton="0" quotePrefix="0" xfId="0">
      <alignment horizontal="center" vertical="center"/>
    </xf>
    <xf numFmtId="164" fontId="25" fillId="26" borderId="1" applyAlignment="1" pivotButton="0" quotePrefix="0" xfId="0">
      <alignment horizontal="center" vertical="center"/>
    </xf>
    <xf numFmtId="164" fontId="26" fillId="0" borderId="1" applyAlignment="1" pivotButton="0" quotePrefix="0" xfId="0">
      <alignment horizontal="center" vertical="center"/>
    </xf>
    <xf numFmtId="164" fontId="25" fillId="27" borderId="1" applyAlignment="1" pivotButton="0" quotePrefix="0" xfId="0">
      <alignment horizontal="center" vertical="center"/>
    </xf>
    <xf numFmtId="164" fontId="26" fillId="31" borderId="1" applyAlignment="1" pivotButton="0" quotePrefix="0" xfId="0">
      <alignment horizontal="center" vertical="center"/>
    </xf>
    <xf numFmtId="0" fontId="26" fillId="32" borderId="7" applyAlignment="1" pivotButton="0" quotePrefix="0" xfId="0">
      <alignment horizontal="right" vertical="center"/>
    </xf>
    <xf numFmtId="0" fontId="0" fillId="0" borderId="11" pivotButton="0" quotePrefix="0" xfId="0"/>
    <xf numFmtId="164" fontId="26" fillId="0" borderId="13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VQuoteCompare" displayName="DVQuoteCompare" ref="A10:O21" headerRowCount="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 headerRowCount="1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"/>
  <sheetViews>
    <sheetView showGridLines="0" topLeftCell="N6" workbookViewId="0">
      <selection activeCell="N26" sqref="N26"/>
    </sheetView>
  </sheetViews>
  <sheetFormatPr baseColWidth="8" defaultColWidth="9.642857142857141" defaultRowHeight="15.2"/>
  <cols>
    <col width="12.4285714285714" customWidth="1" style="96" min="1" max="1"/>
    <col width="8.71428571428571" customWidth="1" style="96" min="2" max="2"/>
    <col width="6.85714285714286" customWidth="1" style="96" min="3" max="3"/>
    <col width="18.4285714285714" customWidth="1" style="96" min="4" max="4"/>
    <col width="49.6964285714286" customWidth="1" style="97" min="5" max="5"/>
    <col width="8.71428571428571" customWidth="1" style="96" min="6" max="6"/>
    <col width="10" customWidth="1" style="96" min="7" max="7"/>
    <col width="8.71428571428571" customWidth="1" style="96" min="8" max="8"/>
    <col width="10.5714285714286" customWidth="1" style="96" min="9" max="9"/>
    <col width="8.71428571428571" customWidth="1" style="96" min="10" max="10"/>
    <col width="12.0714285714286" customWidth="1" style="161" min="11" max="11"/>
    <col width="13.2857142857143" customWidth="1" style="161" min="12" max="13"/>
    <col width="38.3928571428571" customWidth="1" style="99" min="14" max="14"/>
    <col width="37.5" customWidth="1" style="97" min="15" max="15"/>
    <col width="9.642857142857141" customWidth="1" style="100" min="16" max="16"/>
    <col width="11.0714285714286" customWidth="1" style="100" min="17" max="17"/>
    <col width="13.2857142857143" customWidth="1" style="100" min="18" max="19"/>
    <col width="12.5" customWidth="1" style="100" min="20" max="20"/>
    <col width="11.9017857142857" customWidth="1" style="100" min="21" max="21"/>
    <col width="12.7946428571429" customWidth="1" style="100" min="22" max="22"/>
    <col width="12.9464285714286" customWidth="1" style="100" min="23" max="23"/>
    <col width="9.642857142857141" customWidth="1" style="100" min="24" max="16376"/>
    <col width="9.642857142857141" customWidth="1" style="100" min="16377" max="16384"/>
  </cols>
  <sheetData>
    <row r="1" ht="17.6" customHeight="1" s="4">
      <c r="A1" s="63" t="inlineStr">
        <is>
          <t>项目概要</t>
        </is>
      </c>
      <c r="F1" s="101" t="n"/>
      <c r="G1" s="101" t="n"/>
      <c r="H1" s="101" t="n"/>
      <c r="I1" s="101" t="n"/>
      <c r="J1" s="101" t="n"/>
      <c r="K1" s="162" t="n"/>
      <c r="L1" s="162" t="n"/>
      <c r="M1" s="162" t="n"/>
      <c r="N1" s="103" t="n"/>
      <c r="O1" s="2" t="n"/>
    </row>
    <row r="2">
      <c r="A2" s="104" t="inlineStr">
        <is>
          <t>OEM</t>
        </is>
      </c>
      <c r="B2" s="163" t="n"/>
      <c r="C2" s="71" t="inlineStr">
        <is>
          <t>JLR</t>
        </is>
      </c>
      <c r="D2" s="164" t="n"/>
      <c r="E2" s="163" t="n"/>
      <c r="H2" s="108" t="n"/>
      <c r="I2" s="109" t="n"/>
      <c r="J2" s="108" t="n"/>
      <c r="K2" s="165" t="n"/>
      <c r="L2" s="166" t="n"/>
      <c r="M2" s="165" t="n"/>
    </row>
    <row r="3">
      <c r="A3" s="104" t="inlineStr">
        <is>
          <t>平台</t>
        </is>
      </c>
      <c r="B3" s="163" t="n"/>
      <c r="C3" s="71" t="inlineStr">
        <is>
          <t>MLA</t>
        </is>
      </c>
      <c r="D3" s="164" t="n"/>
      <c r="E3" s="163" t="n"/>
      <c r="H3" s="108" t="n"/>
      <c r="I3" s="109" t="n"/>
      <c r="J3" s="108" t="n"/>
      <c r="K3" s="165" t="n"/>
      <c r="L3" s="166" t="n"/>
      <c r="M3" s="165" t="n"/>
    </row>
    <row r="4">
      <c r="A4" s="104" t="inlineStr">
        <is>
          <t>项目类型</t>
        </is>
      </c>
      <c r="B4" s="163" t="n"/>
      <c r="C4" s="71" t="inlineStr">
        <is>
          <t>新增项目</t>
        </is>
      </c>
      <c r="D4" s="164" t="n"/>
      <c r="E4" s="163" t="n"/>
      <c r="H4" s="108" t="n"/>
      <c r="I4" s="109" t="n"/>
      <c r="J4" s="108" t="n"/>
      <c r="K4" s="165" t="n"/>
      <c r="L4" s="166" t="n"/>
      <c r="M4" s="165" t="n"/>
    </row>
    <row r="5">
      <c r="A5" s="104" t="inlineStr">
        <is>
          <t>项目名称/编号</t>
        </is>
      </c>
      <c r="B5" s="163" t="n"/>
      <c r="C5" s="71" t="inlineStr">
        <is>
          <t>L463</t>
        </is>
      </c>
      <c r="D5" s="164" t="n"/>
      <c r="E5" s="163" t="n"/>
      <c r="H5" s="108" t="n"/>
      <c r="I5" s="109" t="n"/>
      <c r="J5" s="108" t="n"/>
      <c r="K5" s="165" t="n"/>
      <c r="L5" s="166" t="n"/>
      <c r="M5" s="165" t="n"/>
    </row>
    <row r="6" s="4">
      <c r="A6" s="104" t="inlineStr">
        <is>
          <t>导出范围</t>
        </is>
      </c>
      <c r="B6" s="163" t="n"/>
      <c r="C6" s="71" t="inlineStr">
        <is>
          <t>DV + PV</t>
        </is>
      </c>
      <c r="D6" s="164" t="n"/>
      <c r="E6" s="163" t="n"/>
      <c r="H6" s="108" t="n"/>
      <c r="I6" s="109" t="n"/>
      <c r="J6" s="108" t="n"/>
      <c r="K6" s="165" t="n"/>
      <c r="L6" s="166" t="n"/>
      <c r="M6" s="165" t="n"/>
    </row>
    <row r="7">
      <c r="A7" s="104" t="inlineStr">
        <is>
          <t>是否完全复用</t>
        </is>
      </c>
      <c r="B7" s="163" t="n"/>
      <c r="C7" s="71" t="inlineStr">
        <is>
          <t>是</t>
        </is>
      </c>
      <c r="D7" s="164" t="n"/>
      <c r="E7" s="163" t="n"/>
      <c r="H7" s="108" t="n"/>
      <c r="I7" s="109" t="n"/>
      <c r="J7" s="108" t="n"/>
      <c r="K7" s="165" t="n"/>
      <c r="L7" s="166" t="n"/>
      <c r="M7" s="165" t="n"/>
    </row>
    <row r="8">
      <c r="A8" s="104" t="inlineStr">
        <is>
          <t>环境模板</t>
        </is>
      </c>
      <c r="B8" s="163" t="n"/>
      <c r="C8" s="71" t="inlineStr">
        <is>
          <t>完全复用</t>
        </is>
      </c>
      <c r="D8" s="164" t="n"/>
      <c r="E8" s="163" t="n"/>
      <c r="H8" s="108" t="n"/>
      <c r="I8" s="109" t="n"/>
      <c r="J8" s="108" t="n"/>
      <c r="K8" s="165" t="n"/>
      <c r="L8" s="166" t="n"/>
      <c r="M8" s="165" t="n"/>
    </row>
    <row r="9" s="4">
      <c r="A9" s="104" t="inlineStr">
        <is>
          <t>驾驶方向</t>
        </is>
      </c>
      <c r="B9" s="163" t="n"/>
      <c r="C9" s="71" t="inlineStr">
        <is>
          <t>LHD</t>
        </is>
      </c>
      <c r="D9" s="164" t="n"/>
      <c r="E9" s="163" t="n"/>
      <c r="H9" s="108" t="n"/>
      <c r="I9" s="109" t="n"/>
      <c r="J9" s="108" t="n"/>
      <c r="K9" s="165" t="n"/>
      <c r="L9" s="166" t="n"/>
      <c r="M9" s="165" t="n"/>
    </row>
    <row r="10" ht="17.6" customHeight="1" s="4">
      <c r="A10" s="112" t="inlineStr">
        <is>
          <t>DV 组别顺序</t>
        </is>
      </c>
      <c r="B10" s="113" t="inlineStr">
        <is>
          <t>Group A -&gt; Group B -&gt; Group C -&gt; Group D-1 -&gt; Group D-2 -&gt; Group D-3 -&gt; Group D-4 -&gt; Group D-5 -&gt; Group D-6 -&gt; Group D-7 -&gt; Group D-9 -&gt; Group E-1 -&gt; Group E-2</t>
        </is>
      </c>
      <c r="C10" s="167" t="n"/>
      <c r="D10" s="167" t="n"/>
      <c r="E10" s="167" t="n"/>
      <c r="F10" s="167" t="n"/>
      <c r="G10" s="167" t="n"/>
      <c r="H10" s="167" t="n"/>
      <c r="I10" s="167" t="n"/>
      <c r="J10" s="167" t="n"/>
      <c r="K10" s="167" t="n"/>
      <c r="L10" s="167" t="n"/>
      <c r="M10" s="167" t="n"/>
      <c r="N10" s="167" t="n"/>
      <c r="O10" s="168" t="n"/>
      <c r="Q10" s="63" t="inlineStr">
        <is>
          <t>费用汇总</t>
        </is>
      </c>
    </row>
    <row r="11" ht="16" customHeight="1" s="4">
      <c r="A11" s="118" t="inlineStr">
        <is>
          <t>Group A：DV / Group A Sequence Tests</t>
        </is>
      </c>
      <c r="B11" s="164" t="n"/>
      <c r="C11" s="164" t="n"/>
      <c r="D11" s="164" t="n"/>
      <c r="E11" s="164" t="n"/>
      <c r="F11" s="164" t="n"/>
      <c r="G11" s="164" t="n"/>
      <c r="H11" s="164" t="n"/>
      <c r="I11" s="164" t="n"/>
      <c r="J11" s="164" t="n"/>
      <c r="K11" s="164" t="n"/>
      <c r="L11" s="164" t="n"/>
      <c r="M11" s="164" t="n"/>
      <c r="N11" s="164" t="n"/>
      <c r="O11" s="163" t="n"/>
      <c r="Q11" s="83" t="inlineStr">
        <is>
          <t>组别</t>
        </is>
      </c>
      <c r="R11" s="69" t="inlineStr">
        <is>
          <t>DV</t>
        </is>
      </c>
      <c r="S11" s="83" t="inlineStr">
        <is>
          <t>DV内部费用</t>
        </is>
      </c>
      <c r="T11" s="123" t="inlineStr">
        <is>
          <t>DV委外费用</t>
        </is>
      </c>
      <c r="U11" s="70" t="inlineStr">
        <is>
          <t>PV</t>
        </is>
      </c>
      <c r="V11" s="83" t="inlineStr">
        <is>
          <t>PV内部费用</t>
        </is>
      </c>
      <c r="W11" s="123" t="inlineStr">
        <is>
          <t>PV委外费用</t>
        </is>
      </c>
    </row>
    <row r="12" ht="16" customFormat="1" customHeight="1" s="95">
      <c r="A12" s="124" t="inlineStr">
        <is>
          <t>组别顺序</t>
        </is>
      </c>
      <c r="B12" s="83" t="inlineStr">
        <is>
          <t>组内顺序</t>
        </is>
      </c>
      <c r="C12" s="83" t="inlineStr">
        <is>
          <t>Phase</t>
        </is>
      </c>
      <c r="D12" s="83" t="inlineStr">
        <is>
          <t>测试编号</t>
        </is>
      </c>
      <c r="E12" s="123" t="inlineStr">
        <is>
          <t>测试项目</t>
        </is>
      </c>
      <c r="F12" s="83" t="inlineStr">
        <is>
          <t>样品范围</t>
        </is>
      </c>
      <c r="G12" s="83" t="inlineStr">
        <is>
          <t>计费基数</t>
        </is>
      </c>
      <c r="H12" s="83" t="inlineStr">
        <is>
          <t>测试时间</t>
        </is>
      </c>
      <c r="I12" s="83" t="inlineStr">
        <is>
          <t>计费方式</t>
        </is>
      </c>
      <c r="J12" s="83" t="inlineStr">
        <is>
          <t>费用归属</t>
        </is>
      </c>
      <c r="K12" s="169" t="inlineStr">
        <is>
          <t>内部费用</t>
        </is>
      </c>
      <c r="L12" s="169" t="inlineStr">
        <is>
          <t>委外费用</t>
        </is>
      </c>
      <c r="M12" s="169" t="inlineStr">
        <is>
          <t>费用合计</t>
        </is>
      </c>
      <c r="N12" s="123" t="inlineStr">
        <is>
          <t>费用计算公式</t>
        </is>
      </c>
      <c r="O12" s="126" t="inlineStr">
        <is>
          <t>备注</t>
        </is>
      </c>
      <c r="Q12" s="71" t="inlineStr">
        <is>
          <t>Group A</t>
        </is>
      </c>
      <c r="R12" s="170">
        <f>M34</f>
        <v/>
      </c>
      <c r="S12" s="171">
        <f>K34</f>
        <v/>
      </c>
      <c r="T12" s="171">
        <f>L34</f>
        <v/>
      </c>
      <c r="U12" s="172">
        <f>M160</f>
        <v/>
      </c>
      <c r="V12" s="171">
        <f>K160</f>
        <v/>
      </c>
      <c r="W12" s="171">
        <f>L160</f>
        <v/>
      </c>
    </row>
    <row r="13" ht="31" customHeight="1" s="4">
      <c r="A13" s="128" t="inlineStr">
        <is>
          <t>Group A</t>
        </is>
      </c>
      <c r="B13" s="71" t="n">
        <v>1</v>
      </c>
      <c r="C13" s="71" t="inlineStr">
        <is>
          <t>DV</t>
        </is>
      </c>
      <c r="D13" s="71" t="inlineStr">
        <is>
          <t>Optical</t>
        </is>
      </c>
      <c r="E13" s="129" t="inlineStr">
        <is>
          <t>Optical Test</t>
        </is>
      </c>
      <c r="F13" s="71" t="inlineStr">
        <is>
          <t>1-14</t>
        </is>
      </c>
      <c r="G13" s="71" t="inlineStr">
        <is>
          <t>14 个样品</t>
        </is>
      </c>
      <c r="H13" s="71" t="inlineStr">
        <is>
          <t>168 h</t>
        </is>
      </c>
      <c r="I13" s="71" t="inlineStr">
        <is>
          <t>按样品数量</t>
        </is>
      </c>
      <c r="J13" s="71" t="inlineStr">
        <is>
          <t>内部费用</t>
        </is>
      </c>
      <c r="K13" s="171" t="n">
        <v>3190</v>
      </c>
      <c r="L13" s="171" t="n"/>
      <c r="M13" s="171" t="n">
        <v>3190</v>
      </c>
      <c r="N13" s="132" t="inlineStr">
        <is>
          <t>1台×51点位(¥460) + 13台×19点位(¥210) = 460 + 2,730 = 3,190</t>
        </is>
      </c>
      <c r="O13" s="133" t="inlineStr">
        <is>
          <t>Optical Test: 1 台按 51 点位，其余按 19 点位计费</t>
        </is>
      </c>
      <c r="Q13" s="71" t="inlineStr">
        <is>
          <t>Group B</t>
        </is>
      </c>
      <c r="R13" s="170">
        <f>M44</f>
        <v/>
      </c>
      <c r="S13" s="171">
        <f>K44</f>
        <v/>
      </c>
      <c r="T13" s="171">
        <f>L44</f>
        <v/>
      </c>
      <c r="U13" s="172">
        <f>M170</f>
        <v/>
      </c>
      <c r="V13" s="171">
        <f>K170</f>
        <v/>
      </c>
      <c r="W13" s="171">
        <f>L170</f>
        <v/>
      </c>
    </row>
    <row r="14" ht="31" customHeight="1" s="4">
      <c r="A14" s="128" t="inlineStr">
        <is>
          <t>Group A</t>
        </is>
      </c>
      <c r="B14" s="71" t="n">
        <v>2</v>
      </c>
      <c r="C14" s="71" t="inlineStr">
        <is>
          <t>DV</t>
        </is>
      </c>
      <c r="D14" s="71" t="inlineStr">
        <is>
          <t>L1&amp;L4</t>
        </is>
      </c>
      <c r="E14" s="129" t="inlineStr">
        <is>
          <t>L1&amp;L4 Performance Evaluation &amp; Functional Evaluation</t>
        </is>
      </c>
      <c r="F14" s="71" t="inlineStr">
        <is>
          <t>1-14</t>
        </is>
      </c>
      <c r="G14" s="71" t="inlineStr">
        <is>
          <t>14 个样品</t>
        </is>
      </c>
      <c r="H14" s="71" t="inlineStr">
        <is>
          <t>72 h</t>
        </is>
      </c>
      <c r="I14" s="71" t="inlineStr">
        <is>
          <t>按样品数量</t>
        </is>
      </c>
      <c r="J14" s="71" t="inlineStr">
        <is>
          <t>委外费用</t>
        </is>
      </c>
      <c r="K14" s="171" t="n"/>
      <c r="L14" s="171" t="n">
        <v>5600</v>
      </c>
      <c r="M14" s="171" t="n">
        <v>5600</v>
      </c>
      <c r="N14" s="132" t="inlineStr">
        <is>
          <t>14个 × 400/个 = 5,600</t>
        </is>
      </c>
      <c r="O14" s="133" t="n"/>
      <c r="Q14" s="71" t="inlineStr">
        <is>
          <t>Group C</t>
        </is>
      </c>
      <c r="R14" s="170">
        <f>M58</f>
        <v/>
      </c>
      <c r="S14" s="171">
        <f>K58</f>
        <v/>
      </c>
      <c r="T14" s="171">
        <f>L58</f>
        <v/>
      </c>
      <c r="U14" s="172">
        <f>M184</f>
        <v/>
      </c>
      <c r="V14" s="171">
        <f>K184</f>
        <v/>
      </c>
      <c r="W14" s="171">
        <f>L184</f>
        <v/>
      </c>
    </row>
    <row r="15" ht="31" customHeight="1" s="4">
      <c r="A15" s="128" t="inlineStr">
        <is>
          <t>Group A</t>
        </is>
      </c>
      <c r="B15" s="71" t="n">
        <v>3</v>
      </c>
      <c r="C15" s="71" t="inlineStr">
        <is>
          <t>DV</t>
        </is>
      </c>
      <c r="D15" s="71" t="inlineStr">
        <is>
          <t>Particle</t>
        </is>
      </c>
      <c r="E15" s="129" t="inlineStr">
        <is>
          <t>Particle Exposure</t>
        </is>
      </c>
      <c r="F15" s="71" t="inlineStr">
        <is>
          <t>1-12</t>
        </is>
      </c>
      <c r="G15" s="71" t="n"/>
      <c r="H15" s="71" t="inlineStr">
        <is>
          <t>120 h</t>
        </is>
      </c>
      <c r="I15" s="71" t="inlineStr">
        <is>
          <t>按批次</t>
        </is>
      </c>
      <c r="J15" s="71" t="inlineStr">
        <is>
          <t>委外费用</t>
        </is>
      </c>
      <c r="K15" s="171" t="n"/>
      <c r="L15" s="171" t="n">
        <v>24000</v>
      </c>
      <c r="M15" s="171" t="n">
        <v>24000</v>
      </c>
      <c r="N15" s="132" t="inlineStr">
        <is>
          <t>中位数/华测口径：4批 × 1,500/批 + 粉尘费 6,000 + 清洁费 12,000 = 24,000</t>
        </is>
      </c>
      <c r="O15" s="133" t="inlineStr">
        <is>
          <t>Particle Exposure：中位数实验室为华测；此处已拆出批次单价、粉尘费、清洁费</t>
        </is>
      </c>
      <c r="Q15" s="71" t="inlineStr">
        <is>
          <t>Group D-1</t>
        </is>
      </c>
      <c r="R15" s="170">
        <f>M67</f>
        <v/>
      </c>
      <c r="S15" s="171">
        <f>K67</f>
        <v/>
      </c>
      <c r="T15" s="171">
        <f>L67</f>
        <v/>
      </c>
      <c r="U15" s="172">
        <f>M193</f>
        <v/>
      </c>
      <c r="V15" s="171">
        <f>K193</f>
        <v/>
      </c>
      <c r="W15" s="171">
        <f>L193</f>
        <v/>
      </c>
    </row>
    <row r="16" ht="16" customHeight="1" s="4">
      <c r="A16" s="128" t="inlineStr">
        <is>
          <t>Group A</t>
        </is>
      </c>
      <c r="B16" s="71" t="n">
        <v>4</v>
      </c>
      <c r="C16" s="71" t="inlineStr">
        <is>
          <t>DV</t>
        </is>
      </c>
      <c r="D16" s="71" t="inlineStr">
        <is>
          <t>K1</t>
        </is>
      </c>
      <c r="E16" s="129" t="inlineStr">
        <is>
          <t>K1 Low Temperature Exposure</t>
        </is>
      </c>
      <c r="F16" s="71" t="inlineStr">
        <is>
          <t>1-12</t>
        </is>
      </c>
      <c r="G16" s="71" t="inlineStr">
        <is>
          <t>24 h</t>
        </is>
      </c>
      <c r="H16" s="71" t="inlineStr">
        <is>
          <t>24 h</t>
        </is>
      </c>
      <c r="I16" s="71" t="inlineStr">
        <is>
          <t>按小时</t>
        </is>
      </c>
      <c r="J16" s="71" t="inlineStr">
        <is>
          <t>委外费用</t>
        </is>
      </c>
      <c r="K16" s="171" t="n"/>
      <c r="L16" s="171" t="n">
        <v>720</v>
      </c>
      <c r="M16" s="171" t="n">
        <v>720</v>
      </c>
      <c r="N16" s="132" t="inlineStr">
        <is>
          <t>24h × 30/h = 720</t>
        </is>
      </c>
      <c r="O16" s="133" t="n"/>
      <c r="Q16" s="71" t="inlineStr">
        <is>
          <t>Group D-2</t>
        </is>
      </c>
      <c r="R16" s="170">
        <f>M76</f>
        <v/>
      </c>
      <c r="S16" s="171">
        <f>K76</f>
        <v/>
      </c>
      <c r="T16" s="171">
        <f>L76</f>
        <v/>
      </c>
      <c r="U16" s="172">
        <f>M202</f>
        <v/>
      </c>
      <c r="V16" s="171">
        <f>K202</f>
        <v/>
      </c>
      <c r="W16" s="171">
        <f>L202</f>
        <v/>
      </c>
    </row>
    <row r="17" ht="16" customHeight="1" s="4">
      <c r="A17" s="128" t="inlineStr">
        <is>
          <t>Group A</t>
        </is>
      </c>
      <c r="B17" s="71" t="n">
        <v>5</v>
      </c>
      <c r="C17" s="71" t="inlineStr">
        <is>
          <t>DV</t>
        </is>
      </c>
      <c r="D17" s="71" t="inlineStr">
        <is>
          <t>K2</t>
        </is>
      </c>
      <c r="E17" s="129" t="inlineStr">
        <is>
          <t>K2 High Temperature Exposure</t>
        </is>
      </c>
      <c r="F17" s="71" t="inlineStr">
        <is>
          <t>1-12</t>
        </is>
      </c>
      <c r="G17" s="71" t="inlineStr">
        <is>
          <t>24 h</t>
        </is>
      </c>
      <c r="H17" s="71" t="inlineStr">
        <is>
          <t>24 h</t>
        </is>
      </c>
      <c r="I17" s="71" t="inlineStr">
        <is>
          <t>按小时</t>
        </is>
      </c>
      <c r="J17" s="71" t="inlineStr">
        <is>
          <t>委外费用</t>
        </is>
      </c>
      <c r="K17" s="171" t="n"/>
      <c r="L17" s="171" t="n">
        <v>720</v>
      </c>
      <c r="M17" s="171" t="n">
        <v>720</v>
      </c>
      <c r="N17" s="132" t="inlineStr">
        <is>
          <t>24h × 30/h = 720</t>
        </is>
      </c>
      <c r="O17" s="133" t="n"/>
      <c r="Q17" s="71" t="inlineStr">
        <is>
          <t>Group D-3</t>
        </is>
      </c>
      <c r="R17" s="170">
        <f>M84</f>
        <v/>
      </c>
      <c r="S17" s="171">
        <f>K84</f>
        <v/>
      </c>
      <c r="T17" s="171">
        <f>L84</f>
        <v/>
      </c>
      <c r="U17" s="172">
        <f>M211</f>
        <v/>
      </c>
      <c r="V17" s="171">
        <f>K211</f>
        <v/>
      </c>
      <c r="W17" s="171">
        <f>L211</f>
        <v/>
      </c>
    </row>
    <row r="18" ht="16" customHeight="1" s="4">
      <c r="A18" s="128" t="inlineStr">
        <is>
          <t>Group A</t>
        </is>
      </c>
      <c r="B18" s="71" t="n">
        <v>6</v>
      </c>
      <c r="C18" s="71" t="inlineStr">
        <is>
          <t>DV</t>
        </is>
      </c>
      <c r="D18" s="71" t="inlineStr">
        <is>
          <t>K3</t>
        </is>
      </c>
      <c r="E18" s="129" t="inlineStr">
        <is>
          <t>K3 Low Temperature Operation</t>
        </is>
      </c>
      <c r="F18" s="71" t="inlineStr">
        <is>
          <t>1-12</t>
        </is>
      </c>
      <c r="G18" s="71" t="inlineStr">
        <is>
          <t>24 h</t>
        </is>
      </c>
      <c r="H18" s="71" t="inlineStr">
        <is>
          <t>24 h</t>
        </is>
      </c>
      <c r="I18" s="71" t="inlineStr">
        <is>
          <t>按小时</t>
        </is>
      </c>
      <c r="J18" s="71" t="inlineStr">
        <is>
          <t>委外费用</t>
        </is>
      </c>
      <c r="K18" s="171" t="n"/>
      <c r="L18" s="171" t="n">
        <v>720</v>
      </c>
      <c r="M18" s="171" t="n">
        <v>720</v>
      </c>
      <c r="N18" s="132" t="inlineStr">
        <is>
          <t>24h × 30/h = 720</t>
        </is>
      </c>
      <c r="O18" s="133" t="n"/>
      <c r="Q18" s="71" t="inlineStr">
        <is>
          <t>Group D-4</t>
        </is>
      </c>
      <c r="R18" s="170">
        <f>M91</f>
        <v/>
      </c>
      <c r="S18" s="171">
        <f>K91</f>
        <v/>
      </c>
      <c r="T18" s="171">
        <f>L91</f>
        <v/>
      </c>
      <c r="U18" s="172">
        <f>M219</f>
        <v/>
      </c>
      <c r="V18" s="171">
        <f>K219</f>
        <v/>
      </c>
      <c r="W18" s="171">
        <f>L219</f>
        <v/>
      </c>
    </row>
    <row r="19" ht="16" customHeight="1" s="4">
      <c r="A19" s="128" t="inlineStr">
        <is>
          <t>Group A</t>
        </is>
      </c>
      <c r="B19" s="71" t="n">
        <v>7</v>
      </c>
      <c r="C19" s="71" t="inlineStr">
        <is>
          <t>DV</t>
        </is>
      </c>
      <c r="D19" s="71" t="inlineStr">
        <is>
          <t>K4</t>
        </is>
      </c>
      <c r="E19" s="129" t="inlineStr">
        <is>
          <t>K4 High Temperature Operation</t>
        </is>
      </c>
      <c r="F19" s="71" t="inlineStr">
        <is>
          <t>1-12</t>
        </is>
      </c>
      <c r="G19" s="71" t="inlineStr">
        <is>
          <t>96 h</t>
        </is>
      </c>
      <c r="H19" s="71" t="inlineStr">
        <is>
          <t>96 h</t>
        </is>
      </c>
      <c r="I19" s="71" t="inlineStr">
        <is>
          <t>按小时</t>
        </is>
      </c>
      <c r="J19" s="71" t="inlineStr">
        <is>
          <t>委外费用</t>
        </is>
      </c>
      <c r="K19" s="171" t="n"/>
      <c r="L19" s="171" t="n">
        <v>2880</v>
      </c>
      <c r="M19" s="171" t="n">
        <v>2880</v>
      </c>
      <c r="N19" s="132" t="inlineStr">
        <is>
          <t>96h × 30/h = 2,880</t>
        </is>
      </c>
      <c r="O19" s="133" t="n"/>
      <c r="Q19" s="71" t="inlineStr">
        <is>
          <t>Group D-5</t>
        </is>
      </c>
      <c r="R19" s="170">
        <f>M100</f>
        <v/>
      </c>
      <c r="S19" s="171">
        <f>K100</f>
        <v/>
      </c>
      <c r="T19" s="171">
        <f>L100</f>
        <v/>
      </c>
      <c r="U19" s="172">
        <f>M228</f>
        <v/>
      </c>
      <c r="V19" s="171">
        <f>K228</f>
        <v/>
      </c>
      <c r="W19" s="171">
        <f>L228</f>
        <v/>
      </c>
    </row>
    <row r="20" ht="16" customHeight="1" s="4">
      <c r="A20" s="128" t="inlineStr">
        <is>
          <t>Group A</t>
        </is>
      </c>
      <c r="B20" s="71" t="n">
        <v>8</v>
      </c>
      <c r="C20" s="71" t="inlineStr">
        <is>
          <t>DV</t>
        </is>
      </c>
      <c r="D20" s="71" t="inlineStr">
        <is>
          <t>K5</t>
        </is>
      </c>
      <c r="E20" s="129" t="inlineStr">
        <is>
          <t>K5 Temperature Step Test</t>
        </is>
      </c>
      <c r="F20" s="71" t="inlineStr">
        <is>
          <t>1-12</t>
        </is>
      </c>
      <c r="G20" s="71" t="inlineStr">
        <is>
          <t>1 批</t>
        </is>
      </c>
      <c r="H20" s="71" t="inlineStr">
        <is>
          <t>48 h</t>
        </is>
      </c>
      <c r="I20" s="71" t="inlineStr">
        <is>
          <t>按批次</t>
        </is>
      </c>
      <c r="J20" s="71" t="inlineStr">
        <is>
          <t>委外费用</t>
        </is>
      </c>
      <c r="K20" s="171" t="n"/>
      <c r="L20" s="171" t="n">
        <v>5000</v>
      </c>
      <c r="M20" s="171" t="n">
        <v>5000</v>
      </c>
      <c r="N20" s="132" t="inlineStr">
        <is>
          <t>1批 × 5000/批 = 5,000</t>
        </is>
      </c>
      <c r="O20" s="133" t="n"/>
      <c r="Q20" s="71" t="inlineStr">
        <is>
          <t>Group D-6</t>
        </is>
      </c>
      <c r="R20" s="170">
        <f>M108</f>
        <v/>
      </c>
      <c r="S20" s="171">
        <f>K108</f>
        <v/>
      </c>
      <c r="T20" s="171">
        <f>L108</f>
        <v/>
      </c>
      <c r="U20" s="172">
        <f>M236</f>
        <v/>
      </c>
      <c r="V20" s="171">
        <f>K236</f>
        <v/>
      </c>
      <c r="W20" s="171">
        <f>L236</f>
        <v/>
      </c>
    </row>
    <row r="21" ht="16" customHeight="1" s="4">
      <c r="A21" s="128" t="inlineStr">
        <is>
          <t>Group A</t>
        </is>
      </c>
      <c r="B21" s="71" t="n">
        <v>9</v>
      </c>
      <c r="C21" s="71" t="inlineStr">
        <is>
          <t>DV</t>
        </is>
      </c>
      <c r="D21" s="71" t="inlineStr">
        <is>
          <t>K6</t>
        </is>
      </c>
      <c r="E21" s="129" t="inlineStr">
        <is>
          <t>K6 Power Thermal Cycle</t>
        </is>
      </c>
      <c r="F21" s="71" t="inlineStr">
        <is>
          <t>1-12</t>
        </is>
      </c>
      <c r="G21" s="71" t="inlineStr">
        <is>
          <t>240 h</t>
        </is>
      </c>
      <c r="H21" s="71" t="inlineStr">
        <is>
          <t>240 h</t>
        </is>
      </c>
      <c r="I21" s="71" t="inlineStr">
        <is>
          <t>按小时</t>
        </is>
      </c>
      <c r="J21" s="71" t="inlineStr">
        <is>
          <t>委外费用</t>
        </is>
      </c>
      <c r="K21" s="171" t="n"/>
      <c r="L21" s="171" t="n">
        <v>7200</v>
      </c>
      <c r="M21" s="171" t="n">
        <v>7200</v>
      </c>
      <c r="N21" s="132" t="inlineStr">
        <is>
          <t>240h × 30/h = 7,200</t>
        </is>
      </c>
      <c r="O21" s="133" t="n"/>
      <c r="Q21" s="71" t="inlineStr">
        <is>
          <t>Group D-7</t>
        </is>
      </c>
      <c r="R21" s="170">
        <f>M117</f>
        <v/>
      </c>
      <c r="S21" s="171">
        <f>K117</f>
        <v/>
      </c>
      <c r="T21" s="171">
        <f>L117</f>
        <v/>
      </c>
      <c r="U21" s="172">
        <f>M245</f>
        <v/>
      </c>
      <c r="V21" s="171">
        <f>K245</f>
        <v/>
      </c>
      <c r="W21" s="171">
        <f>L245</f>
        <v/>
      </c>
    </row>
    <row r="22" ht="16" customHeight="1" s="4">
      <c r="A22" s="128" t="inlineStr">
        <is>
          <t>Group A</t>
        </is>
      </c>
      <c r="B22" s="71" t="n">
        <v>10</v>
      </c>
      <c r="C22" s="71" t="inlineStr">
        <is>
          <t>DV</t>
        </is>
      </c>
      <c r="D22" s="71" t="inlineStr">
        <is>
          <t>K7</t>
        </is>
      </c>
      <c r="E22" s="129" t="inlineStr">
        <is>
          <t>K7 Thermal Shock in Air</t>
        </is>
      </c>
      <c r="F22" s="71" t="inlineStr">
        <is>
          <t>1-12</t>
        </is>
      </c>
      <c r="G22" s="71" t="inlineStr">
        <is>
          <t>105 h</t>
        </is>
      </c>
      <c r="H22" s="71" t="inlineStr">
        <is>
          <t>105 h</t>
        </is>
      </c>
      <c r="I22" s="71" t="inlineStr">
        <is>
          <t>按小时</t>
        </is>
      </c>
      <c r="J22" s="71" t="inlineStr">
        <is>
          <t>委外费用</t>
        </is>
      </c>
      <c r="K22" s="171" t="n"/>
      <c r="L22" s="171" t="n">
        <v>10500</v>
      </c>
      <c r="M22" s="171" t="n">
        <v>10500</v>
      </c>
      <c r="N22" s="132" t="inlineStr">
        <is>
          <t>105h × 100/h = 10,500</t>
        </is>
      </c>
      <c r="O22" s="133" t="n"/>
      <c r="Q22" s="71" t="inlineStr">
        <is>
          <t>Group D-8</t>
        </is>
      </c>
      <c r="R22" s="170" t="inlineStr">
        <is>
          <t>N/A</t>
        </is>
      </c>
      <c r="S22" s="171" t="inlineStr">
        <is>
          <t>N/A</t>
        </is>
      </c>
      <c r="T22" s="171" t="inlineStr">
        <is>
          <t>N/A</t>
        </is>
      </c>
      <c r="U22" s="172">
        <f>M258</f>
        <v/>
      </c>
      <c r="V22" s="171">
        <f>K258</f>
        <v/>
      </c>
      <c r="W22" s="171">
        <f>L258</f>
        <v/>
      </c>
    </row>
    <row r="23" ht="16" customHeight="1" s="4">
      <c r="A23" s="128" t="inlineStr">
        <is>
          <t>Group A</t>
        </is>
      </c>
      <c r="B23" s="71" t="n">
        <v>11</v>
      </c>
      <c r="C23" s="71" t="inlineStr">
        <is>
          <t>DV</t>
        </is>
      </c>
      <c r="D23" s="71" t="inlineStr">
        <is>
          <t>K15</t>
        </is>
      </c>
      <c r="E23" s="129" t="inlineStr">
        <is>
          <t>K15 Vibration</t>
        </is>
      </c>
      <c r="F23" s="71" t="inlineStr">
        <is>
          <t>1-12</t>
        </is>
      </c>
      <c r="G23" s="71" t="inlineStr">
        <is>
          <t>48 h</t>
        </is>
      </c>
      <c r="H23" s="71" t="inlineStr">
        <is>
          <t>48 h</t>
        </is>
      </c>
      <c r="I23" s="71" t="inlineStr">
        <is>
          <t>按小时</t>
        </is>
      </c>
      <c r="J23" s="71" t="inlineStr">
        <is>
          <t>委外费用</t>
        </is>
      </c>
      <c r="K23" s="171" t="n"/>
      <c r="L23" s="171" t="n">
        <v>24000</v>
      </c>
      <c r="M23" s="171" t="n">
        <v>24000</v>
      </c>
      <c r="N23" s="132" t="inlineStr">
        <is>
          <t>48h × 500/h = 24,000</t>
        </is>
      </c>
      <c r="O23" s="133" t="n"/>
      <c r="Q23" s="71" t="inlineStr">
        <is>
          <t>Group D-9</t>
        </is>
      </c>
      <c r="R23" s="170">
        <f>M126</f>
        <v/>
      </c>
      <c r="S23" s="171">
        <f>K126</f>
        <v/>
      </c>
      <c r="T23" s="171">
        <f>L126</f>
        <v/>
      </c>
      <c r="U23" s="172">
        <f>M267</f>
        <v/>
      </c>
      <c r="V23" s="171">
        <f>K267</f>
        <v/>
      </c>
      <c r="W23" s="171">
        <f>L267</f>
        <v/>
      </c>
    </row>
    <row r="24" ht="16" customHeight="1" s="4">
      <c r="A24" s="128" t="inlineStr">
        <is>
          <t>Group A</t>
        </is>
      </c>
      <c r="B24" s="71" t="n">
        <v>12</v>
      </c>
      <c r="C24" s="71" t="inlineStr">
        <is>
          <t>DV</t>
        </is>
      </c>
      <c r="D24" s="71" t="inlineStr">
        <is>
          <t>K16.1</t>
        </is>
      </c>
      <c r="E24" s="129" t="inlineStr">
        <is>
          <t>K16.1 Mechanical Shock Package Drop</t>
        </is>
      </c>
      <c r="F24" s="71" t="inlineStr">
        <is>
          <t>1-14</t>
        </is>
      </c>
      <c r="G24" s="71" t="inlineStr">
        <is>
          <t>14 个样品</t>
        </is>
      </c>
      <c r="H24" s="71" t="inlineStr">
        <is>
          <t>48 h</t>
        </is>
      </c>
      <c r="I24" s="71" t="inlineStr">
        <is>
          <t>按样品数量</t>
        </is>
      </c>
      <c r="J24" s="71" t="inlineStr">
        <is>
          <t>委外费用</t>
        </is>
      </c>
      <c r="K24" s="171" t="n"/>
      <c r="L24" s="171" t="n">
        <v>4200</v>
      </c>
      <c r="M24" s="171" t="n">
        <v>4200</v>
      </c>
      <c r="N24" s="132" t="inlineStr">
        <is>
          <t>14个 × 300/个 = 4,200</t>
        </is>
      </c>
      <c r="O24" s="133" t="n"/>
      <c r="Q24" s="71" t="inlineStr">
        <is>
          <t>Group E-1</t>
        </is>
      </c>
      <c r="R24" s="170">
        <f>M130</f>
        <v/>
      </c>
      <c r="S24" s="171">
        <f>K130</f>
        <v/>
      </c>
      <c r="T24" s="171">
        <f>L130</f>
        <v/>
      </c>
      <c r="U24" s="172">
        <f>M271</f>
        <v/>
      </c>
      <c r="V24" s="171">
        <f>K271</f>
        <v/>
      </c>
      <c r="W24" s="171">
        <f>L271</f>
        <v/>
      </c>
    </row>
    <row r="25" ht="16" customHeight="1" s="4">
      <c r="A25" s="128" t="inlineStr">
        <is>
          <t>Group A</t>
        </is>
      </c>
      <c r="B25" s="71" t="n">
        <v>13</v>
      </c>
      <c r="C25" s="71" t="inlineStr">
        <is>
          <t>DV</t>
        </is>
      </c>
      <c r="D25" s="71" t="inlineStr">
        <is>
          <t>K16.4</t>
        </is>
      </c>
      <c r="E25" s="129" t="inlineStr">
        <is>
          <t>K16.4 Mechanical Shock Low</t>
        </is>
      </c>
      <c r="F25" s="71" t="inlineStr">
        <is>
          <t>1-12</t>
        </is>
      </c>
      <c r="G25" s="71" t="inlineStr">
        <is>
          <t>12 个样品</t>
        </is>
      </c>
      <c r="H25" s="71" t="inlineStr">
        <is>
          <t>48 h</t>
        </is>
      </c>
      <c r="I25" s="71" t="inlineStr">
        <is>
          <t>按样品数量</t>
        </is>
      </c>
      <c r="J25" s="71" t="inlineStr">
        <is>
          <t>委外费用</t>
        </is>
      </c>
      <c r="K25" s="171" t="n"/>
      <c r="L25" s="171" t="n">
        <v>3600</v>
      </c>
      <c r="M25" s="171" t="n">
        <v>3600</v>
      </c>
      <c r="N25" s="132" t="inlineStr">
        <is>
          <t>12个 × 300/个 = 3,600</t>
        </is>
      </c>
      <c r="O25" s="133" t="n"/>
      <c r="Q25" s="71" t="inlineStr">
        <is>
          <t>Group E-2</t>
        </is>
      </c>
      <c r="R25" s="170">
        <f>M134</f>
        <v/>
      </c>
      <c r="S25" s="171">
        <f>K134</f>
        <v/>
      </c>
      <c r="T25" s="171">
        <f>L134</f>
        <v/>
      </c>
      <c r="U25" s="172">
        <f>M275</f>
        <v/>
      </c>
      <c r="V25" s="171">
        <f>K275</f>
        <v/>
      </c>
      <c r="W25" s="171">
        <f>L275</f>
        <v/>
      </c>
    </row>
    <row r="26" ht="31" customHeight="1" s="4">
      <c r="A26" s="128" t="inlineStr">
        <is>
          <t>Group A</t>
        </is>
      </c>
      <c r="B26" s="71" t="n">
        <v>14</v>
      </c>
      <c r="C26" s="71" t="inlineStr">
        <is>
          <t>DV</t>
        </is>
      </c>
      <c r="D26" s="71" t="inlineStr">
        <is>
          <t>K17</t>
        </is>
      </c>
      <c r="E26" s="129" t="inlineStr">
        <is>
          <t>K17 Audible Noise</t>
        </is>
      </c>
      <c r="F26" s="71" t="inlineStr">
        <is>
          <t>1-12</t>
        </is>
      </c>
      <c r="G26" s="71" t="inlineStr">
        <is>
          <t>12 个样品</t>
        </is>
      </c>
      <c r="H26" s="71" t="inlineStr">
        <is>
          <t>240 h</t>
        </is>
      </c>
      <c r="I26" s="71" t="inlineStr">
        <is>
          <t>按样品数量</t>
        </is>
      </c>
      <c r="J26" s="71" t="inlineStr">
        <is>
          <t>委外费用</t>
        </is>
      </c>
      <c r="K26" s="171" t="n"/>
      <c r="L26" s="171" t="n">
        <v>120000</v>
      </c>
      <c r="M26" s="171" t="n">
        <v>120000</v>
      </c>
      <c r="N26" s="132" t="inlineStr">
        <is>
          <t>3个方向×12台×4000/台=120,000</t>
        </is>
      </c>
      <c r="O26" s="133" t="inlineStr">
        <is>
          <t>K17 Audible Noise 按 MLA 三个方向的组合单价 × 样机数计算</t>
        </is>
      </c>
      <c r="Q26" s="83" t="inlineStr">
        <is>
          <t>测试费用合计</t>
        </is>
      </c>
      <c r="R26" s="170">
        <f>SUM(R12:R25)</f>
        <v/>
      </c>
      <c r="S26" s="171">
        <f>SUM(S12:S25)</f>
        <v/>
      </c>
      <c r="T26" s="171">
        <f>SUM(T12:T25)</f>
        <v/>
      </c>
      <c r="U26" s="172">
        <f>SUM(U12:U25)</f>
        <v/>
      </c>
      <c r="V26" s="171">
        <f>SUM(V12:V25)</f>
        <v/>
      </c>
      <c r="W26" s="171">
        <f>SUM(W12:W25)</f>
        <v/>
      </c>
    </row>
    <row r="27" ht="31" customHeight="1" s="4">
      <c r="A27" s="128" t="inlineStr">
        <is>
          <t>Group A</t>
        </is>
      </c>
      <c r="B27" s="71" t="n">
        <v>15</v>
      </c>
      <c r="C27" s="71" t="inlineStr">
        <is>
          <t>DV</t>
        </is>
      </c>
      <c r="D27" s="71" t="inlineStr">
        <is>
          <t>K9</t>
        </is>
      </c>
      <c r="E27" s="129" t="inlineStr">
        <is>
          <t>K9 Temperature/Humidity Cycle</t>
        </is>
      </c>
      <c r="F27" s="71" t="inlineStr">
        <is>
          <t>1-12</t>
        </is>
      </c>
      <c r="G27" s="71" t="inlineStr">
        <is>
          <t>264 h</t>
        </is>
      </c>
      <c r="H27" s="71" t="inlineStr">
        <is>
          <t>264 h</t>
        </is>
      </c>
      <c r="I27" s="71" t="inlineStr">
        <is>
          <t>按小时</t>
        </is>
      </c>
      <c r="J27" s="71" t="inlineStr">
        <is>
          <t>委外费用</t>
        </is>
      </c>
      <c r="K27" s="171" t="n"/>
      <c r="L27" s="171" t="n">
        <v>7920</v>
      </c>
      <c r="M27" s="171" t="n">
        <v>7920</v>
      </c>
      <c r="N27" s="132" t="inlineStr">
        <is>
          <t>264h × 30/h = 7,920</t>
        </is>
      </c>
      <c r="O27" s="133" t="n"/>
      <c r="Q27" s="83" t="inlineStr">
        <is>
          <t>Computer Fee</t>
        </is>
      </c>
      <c r="R27" s="170" t="n">
        <v>12000</v>
      </c>
      <c r="S27" s="171" t="inlineStr"/>
      <c r="T27" s="171" t="n">
        <v>12000</v>
      </c>
      <c r="U27" s="172" t="n">
        <v>12000</v>
      </c>
      <c r="V27" s="171" t="inlineStr"/>
      <c r="W27" s="171" t="n">
        <v>12000</v>
      </c>
    </row>
    <row r="28" ht="31" customHeight="1" s="4">
      <c r="A28" s="128" t="inlineStr">
        <is>
          <t>Group A</t>
        </is>
      </c>
      <c r="B28" s="71" t="n">
        <v>16</v>
      </c>
      <c r="C28" s="71" t="inlineStr">
        <is>
          <t>DV</t>
        </is>
      </c>
      <c r="D28" s="71" t="inlineStr">
        <is>
          <t>K10</t>
        </is>
      </c>
      <c r="E28" s="129" t="inlineStr">
        <is>
          <t>K10 Water/Fluid Ingress Test</t>
        </is>
      </c>
      <c r="F28" s="71" t="inlineStr">
        <is>
          <t>1-12</t>
        </is>
      </c>
      <c r="G28" s="71" t="inlineStr">
        <is>
          <t>12 个样品</t>
        </is>
      </c>
      <c r="H28" s="71" t="inlineStr">
        <is>
          <t>72 h</t>
        </is>
      </c>
      <c r="I28" s="71" t="inlineStr">
        <is>
          <t>按样品数量</t>
        </is>
      </c>
      <c r="J28" s="71" t="inlineStr">
        <is>
          <t>委外费用</t>
        </is>
      </c>
      <c r="K28" s="171" t="n"/>
      <c r="L28" s="171" t="n">
        <v>6000</v>
      </c>
      <c r="M28" s="171" t="n">
        <v>6000</v>
      </c>
      <c r="N28" s="132" t="inlineStr">
        <is>
          <t>12个 × 500/个 = 6,000</t>
        </is>
      </c>
      <c r="O28" s="133" t="n"/>
      <c r="Q28" s="83" t="inlineStr">
        <is>
          <t>Report Fee</t>
        </is>
      </c>
      <c r="R28" s="170" t="n">
        <v>1950</v>
      </c>
      <c r="S28" s="171" t="inlineStr"/>
      <c r="T28" s="171" t="n">
        <v>1950</v>
      </c>
      <c r="U28" s="172" t="n">
        <v>2100</v>
      </c>
      <c r="V28" s="171" t="inlineStr"/>
      <c r="W28" s="171" t="n">
        <v>2100</v>
      </c>
    </row>
    <row r="29" ht="31" customHeight="1" s="4">
      <c r="A29" s="128" t="inlineStr">
        <is>
          <t>Group A</t>
        </is>
      </c>
      <c r="B29" s="71" t="n">
        <v>17</v>
      </c>
      <c r="C29" s="71" t="inlineStr">
        <is>
          <t>DV</t>
        </is>
      </c>
      <c r="D29" s="71" t="inlineStr">
        <is>
          <t>K13</t>
        </is>
      </c>
      <c r="E29" s="129" t="inlineStr">
        <is>
          <t>K13 Dust Ingress</t>
        </is>
      </c>
      <c r="F29" s="71" t="inlineStr">
        <is>
          <t>1-12</t>
        </is>
      </c>
      <c r="G29" s="71" t="inlineStr">
        <is>
          <t>4 批</t>
        </is>
      </c>
      <c r="H29" s="71" t="inlineStr">
        <is>
          <t>120 h</t>
        </is>
      </c>
      <c r="I29" s="71" t="inlineStr">
        <is>
          <t>按批次</t>
        </is>
      </c>
      <c r="J29" s="71" t="inlineStr">
        <is>
          <t>委外费用</t>
        </is>
      </c>
      <c r="K29" s="171" t="n"/>
      <c r="L29" s="171" t="n">
        <v>6000</v>
      </c>
      <c r="M29" s="171" t="n">
        <v>6000</v>
      </c>
      <c r="N29" s="132" t="inlineStr">
        <is>
          <t>4批 × 1500/批 = 6,000</t>
        </is>
      </c>
      <c r="O29" s="133" t="n"/>
      <c r="Q29" s="83" t="inlineStr">
        <is>
          <t>Total cost</t>
        </is>
      </c>
      <c r="R29" s="170">
        <f>SUM(R26:R28)</f>
        <v/>
      </c>
      <c r="S29" s="171">
        <f>SUM(S26:S28)</f>
        <v/>
      </c>
      <c r="T29" s="171">
        <f>SUM(T26:T28)</f>
        <v/>
      </c>
      <c r="U29" s="172">
        <f>SUM(U26:U28)</f>
        <v/>
      </c>
      <c r="V29" s="171">
        <f>SUM(V26:V28)</f>
        <v/>
      </c>
      <c r="W29" s="171">
        <f>SUM(W26:W28)</f>
        <v/>
      </c>
    </row>
    <row r="30" ht="31" customHeight="1" s="4">
      <c r="A30" s="134" t="inlineStr">
        <is>
          <t>Group A</t>
        </is>
      </c>
      <c r="B30" s="135" t="n">
        <v>18</v>
      </c>
      <c r="C30" s="135" t="inlineStr">
        <is>
          <t>DV</t>
        </is>
      </c>
      <c r="D30" s="135" t="inlineStr">
        <is>
          <t>K14</t>
        </is>
      </c>
      <c r="E30" s="136" t="inlineStr">
        <is>
          <t>K14 Dust Blowing Test</t>
        </is>
      </c>
      <c r="F30" s="135" t="inlineStr">
        <is>
          <t>1-12</t>
        </is>
      </c>
      <c r="G30" s="135" t="inlineStr">
        <is>
          <t>4 批</t>
        </is>
      </c>
      <c r="H30" s="135" t="inlineStr">
        <is>
          <t>120 h</t>
        </is>
      </c>
      <c r="I30" s="135" t="inlineStr">
        <is>
          <t>按批次</t>
        </is>
      </c>
      <c r="J30" s="135" t="inlineStr">
        <is>
          <t>委外费用</t>
        </is>
      </c>
      <c r="K30" s="173" t="n"/>
      <c r="L30" s="173" t="n">
        <v>12000</v>
      </c>
      <c r="M30" s="173" t="n">
        <v>12000</v>
      </c>
      <c r="N30" s="138" t="inlineStr">
        <is>
          <t>4批 × 3000/批 = 12,000</t>
        </is>
      </c>
      <c r="O30" s="139" t="inlineStr">
        <is>
          <t>K14 Dust Blowing 指定国测，按 3000/批计算；每批 3 台样品</t>
        </is>
      </c>
    </row>
    <row r="31" ht="31" customHeight="1" s="4">
      <c r="A31" s="128" t="inlineStr">
        <is>
          <t>Group A</t>
        </is>
      </c>
      <c r="B31" s="71" t="n">
        <v>19</v>
      </c>
      <c r="C31" s="71" t="inlineStr">
        <is>
          <t>DV</t>
        </is>
      </c>
      <c r="D31" s="71" t="inlineStr">
        <is>
          <t>L1&amp;L4</t>
        </is>
      </c>
      <c r="E31" s="129" t="inlineStr">
        <is>
          <t>L1&amp;L4 Performance Evaluation &amp; Functional Evaluation</t>
        </is>
      </c>
      <c r="F31" s="71" t="inlineStr">
        <is>
          <t>1-14</t>
        </is>
      </c>
      <c r="G31" s="71" t="inlineStr">
        <is>
          <t>14 个样品</t>
        </is>
      </c>
      <c r="H31" s="71" t="inlineStr">
        <is>
          <t>72 h</t>
        </is>
      </c>
      <c r="I31" s="71" t="inlineStr">
        <is>
          <t>按样品数量</t>
        </is>
      </c>
      <c r="J31" s="71" t="inlineStr">
        <is>
          <t>委外费用</t>
        </is>
      </c>
      <c r="K31" s="171" t="n"/>
      <c r="L31" s="171" t="n">
        <v>5600</v>
      </c>
      <c r="M31" s="171" t="n">
        <v>5600</v>
      </c>
      <c r="N31" s="132" t="inlineStr">
        <is>
          <t>14个 × 400/个 = 5,600</t>
        </is>
      </c>
      <c r="O31" s="133" t="n"/>
    </row>
    <row r="32" ht="31" customHeight="1" s="4">
      <c r="A32" s="128" t="inlineStr">
        <is>
          <t>Group A</t>
        </is>
      </c>
      <c r="B32" s="71" t="n">
        <v>20</v>
      </c>
      <c r="C32" s="71" t="inlineStr">
        <is>
          <t>DV</t>
        </is>
      </c>
      <c r="D32" s="71" t="inlineStr">
        <is>
          <t>Optical</t>
        </is>
      </c>
      <c r="E32" s="129" t="inlineStr">
        <is>
          <t>Optical Test</t>
        </is>
      </c>
      <c r="F32" s="71" t="inlineStr">
        <is>
          <t>1-14</t>
        </is>
      </c>
      <c r="G32" s="71" t="inlineStr">
        <is>
          <t>14 个样品</t>
        </is>
      </c>
      <c r="H32" s="71" t="inlineStr">
        <is>
          <t>48 h</t>
        </is>
      </c>
      <c r="I32" s="71" t="inlineStr">
        <is>
          <t>按样品数量</t>
        </is>
      </c>
      <c r="J32" s="71" t="inlineStr">
        <is>
          <t>内部费用</t>
        </is>
      </c>
      <c r="K32" s="171" t="n">
        <v>3190</v>
      </c>
      <c r="L32" s="171" t="n"/>
      <c r="M32" s="171" t="n">
        <v>3190</v>
      </c>
      <c r="N32" s="132" t="inlineStr">
        <is>
          <t>1台×51点位(¥460) + 13台×19点位(¥210) = 460 + 2,730 = 3,190</t>
        </is>
      </c>
      <c r="O32" s="133" t="inlineStr">
        <is>
          <t>Optical Test: 1 台按 51 点位，其余按 19 点位计费</t>
        </is>
      </c>
    </row>
    <row r="33" ht="31" customHeight="1" s="4">
      <c r="A33" s="128" t="inlineStr">
        <is>
          <t>Group A</t>
        </is>
      </c>
      <c r="B33" s="71" t="n">
        <v>21</v>
      </c>
      <c r="C33" s="71" t="inlineStr">
        <is>
          <t>DV</t>
        </is>
      </c>
      <c r="D33" s="71" t="inlineStr">
        <is>
          <t>L6-photo&amp;xray</t>
        </is>
      </c>
      <c r="E33" s="129" t="inlineStr">
        <is>
          <t>L6-photo&amp;xray</t>
        </is>
      </c>
      <c r="F33" s="71" t="inlineStr">
        <is>
          <t>1-14</t>
        </is>
      </c>
      <c r="G33" s="71" t="inlineStr">
        <is>
          <t>14 个样品</t>
        </is>
      </c>
      <c r="H33" s="71" t="inlineStr">
        <is>
          <t>168 h</t>
        </is>
      </c>
      <c r="I33" s="71" t="inlineStr">
        <is>
          <t>按样品数量</t>
        </is>
      </c>
      <c r="J33" s="71" t="inlineStr">
        <is>
          <t>内部费用</t>
        </is>
      </c>
      <c r="K33" s="171" t="n">
        <v>5600</v>
      </c>
      <c r="L33" s="171" t="n"/>
      <c r="M33" s="171" t="n">
        <v>5600</v>
      </c>
      <c r="N33" s="132" t="inlineStr">
        <is>
          <t>14个 × 400/个 = 5,600</t>
        </is>
      </c>
      <c r="O33" s="133" t="inlineStr">
        <is>
          <t>L6-photo&amp;xray 固定单价 400/个样品；不按实验室报价中值计算</t>
        </is>
      </c>
    </row>
    <row r="34">
      <c r="A34" s="174" t="inlineStr">
        <is>
          <t>Group A Total Cost</t>
        </is>
      </c>
      <c r="B34" s="164" t="n"/>
      <c r="C34" s="164" t="n"/>
      <c r="D34" s="164" t="n"/>
      <c r="E34" s="164" t="n"/>
      <c r="F34" s="164" t="n"/>
      <c r="G34" s="164" t="n"/>
      <c r="H34" s="164" t="n"/>
      <c r="I34" s="164" t="n"/>
      <c r="J34" s="163" t="n"/>
      <c r="K34" s="171">
        <f>SUM(K13:K33)</f>
        <v/>
      </c>
      <c r="L34" s="171">
        <f>SUM(L13:L33)</f>
        <v/>
      </c>
      <c r="M34" s="171">
        <f>SUM(M13:M33)</f>
        <v/>
      </c>
      <c r="N34" s="146" t="n"/>
      <c r="O34" s="175" t="n"/>
    </row>
    <row r="35">
      <c r="A35" s="118" t="inlineStr">
        <is>
          <t>Group B：DV / Group B Sequence Tests</t>
        </is>
      </c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4" t="n"/>
      <c r="K35" s="164" t="n"/>
      <c r="L35" s="164" t="n"/>
      <c r="M35" s="164" t="n"/>
      <c r="N35" s="164" t="n"/>
      <c r="O35" s="163" t="n"/>
    </row>
    <row r="36" ht="16" customHeight="1" s="4">
      <c r="A36" s="128" t="inlineStr">
        <is>
          <t>组别顺序</t>
        </is>
      </c>
      <c r="B36" s="71" t="inlineStr">
        <is>
          <t>组内顺序</t>
        </is>
      </c>
      <c r="C36" s="71" t="inlineStr">
        <is>
          <t>Phase</t>
        </is>
      </c>
      <c r="D36" s="71" t="inlineStr">
        <is>
          <t>测试编号</t>
        </is>
      </c>
      <c r="E36" s="129" t="inlineStr">
        <is>
          <t>测试项目</t>
        </is>
      </c>
      <c r="F36" s="71" t="inlineStr">
        <is>
          <t>样品范围</t>
        </is>
      </c>
      <c r="G36" s="71" t="inlineStr">
        <is>
          <t>计费基数</t>
        </is>
      </c>
      <c r="H36" s="71" t="inlineStr">
        <is>
          <t>测试时间</t>
        </is>
      </c>
      <c r="I36" s="71" t="inlineStr">
        <is>
          <t>计费方式</t>
        </is>
      </c>
      <c r="J36" s="71" t="inlineStr">
        <is>
          <t>费用归属</t>
        </is>
      </c>
      <c r="K36" s="171" t="inlineStr">
        <is>
          <t>内部费用</t>
        </is>
      </c>
      <c r="L36" s="171" t="inlineStr">
        <is>
          <t>委外费用</t>
        </is>
      </c>
      <c r="M36" s="171" t="inlineStr">
        <is>
          <t>费用合计</t>
        </is>
      </c>
      <c r="N36" s="132" t="inlineStr">
        <is>
          <t>费用计算公式</t>
        </is>
      </c>
      <c r="O36" s="146" t="inlineStr">
        <is>
          <t>备注</t>
        </is>
      </c>
    </row>
    <row r="37" ht="31" customHeight="1" s="4">
      <c r="A37" s="128" t="inlineStr">
        <is>
          <t>Group B</t>
        </is>
      </c>
      <c r="B37" s="71" t="n">
        <v>1</v>
      </c>
      <c r="C37" s="71" t="inlineStr">
        <is>
          <t>DV</t>
        </is>
      </c>
      <c r="D37" s="71" t="inlineStr">
        <is>
          <t>Optical</t>
        </is>
      </c>
      <c r="E37" s="129" t="inlineStr">
        <is>
          <t>Optical Test</t>
        </is>
      </c>
      <c r="F37" s="71" t="inlineStr">
        <is>
          <t>15-26</t>
        </is>
      </c>
      <c r="G37" s="71" t="inlineStr">
        <is>
          <t>12 个样品</t>
        </is>
      </c>
      <c r="H37" s="71" t="inlineStr">
        <is>
          <t>168 h</t>
        </is>
      </c>
      <c r="I37" s="71" t="inlineStr">
        <is>
          <t>按样品数量</t>
        </is>
      </c>
      <c r="J37" s="71" t="inlineStr">
        <is>
          <t>内部费用</t>
        </is>
      </c>
      <c r="K37" s="171" t="n">
        <v>2770</v>
      </c>
      <c r="L37" s="171" t="n"/>
      <c r="M37" s="171" t="n">
        <v>2770</v>
      </c>
      <c r="N37" s="132" t="inlineStr">
        <is>
          <t>1台×51点位(¥460) + 11台×19点位(¥210) = 460 + 2,310 = 2,770</t>
        </is>
      </c>
      <c r="O37" s="133" t="inlineStr">
        <is>
          <t>Optical Test: 1 台按 51 点位，其余按 19 点位计费</t>
        </is>
      </c>
    </row>
    <row r="38" ht="31" customHeight="1" s="4">
      <c r="A38" s="128" t="inlineStr">
        <is>
          <t>Group B</t>
        </is>
      </c>
      <c r="B38" s="71" t="n">
        <v>2</v>
      </c>
      <c r="C38" s="71" t="inlineStr">
        <is>
          <t>DV</t>
        </is>
      </c>
      <c r="D38" s="71" t="inlineStr">
        <is>
          <t>L1&amp;L4</t>
        </is>
      </c>
      <c r="E38" s="129" t="inlineStr">
        <is>
          <t>L1&amp;L4 Performance Evaluation &amp; Functional Evaluation</t>
        </is>
      </c>
      <c r="F38" s="71" t="inlineStr">
        <is>
          <t>15-26</t>
        </is>
      </c>
      <c r="G38" s="71" t="inlineStr">
        <is>
          <t>12 个样品</t>
        </is>
      </c>
      <c r="H38" s="71" t="inlineStr">
        <is>
          <t>72 h</t>
        </is>
      </c>
      <c r="I38" s="71" t="inlineStr">
        <is>
          <t>按样品数量</t>
        </is>
      </c>
      <c r="J38" s="71" t="inlineStr">
        <is>
          <t>委外费用</t>
        </is>
      </c>
      <c r="K38" s="171" t="n"/>
      <c r="L38" s="171" t="n">
        <v>4800</v>
      </c>
      <c r="M38" s="171" t="n">
        <v>4800</v>
      </c>
      <c r="N38" s="132" t="inlineStr">
        <is>
          <t>12个 × 400/个 = 4,800</t>
        </is>
      </c>
      <c r="O38" s="133" t="n"/>
    </row>
    <row r="39" ht="46" customHeight="1" s="4">
      <c r="A39" s="128" t="inlineStr">
        <is>
          <t>Group B</t>
        </is>
      </c>
      <c r="B39" s="71" t="n">
        <v>3</v>
      </c>
      <c r="C39" s="71" t="inlineStr">
        <is>
          <t>DV</t>
        </is>
      </c>
      <c r="D39" s="71" t="inlineStr">
        <is>
          <t>K22</t>
        </is>
      </c>
      <c r="E39" s="129" t="inlineStr">
        <is>
          <t>K22 Chemical Resistance</t>
        </is>
      </c>
      <c r="F39" s="71" t="inlineStr">
        <is>
          <t>15-26</t>
        </is>
      </c>
      <c r="G39" s="71" t="inlineStr">
        <is>
          <t>72 h</t>
        </is>
      </c>
      <c r="H39" s="71" t="inlineStr">
        <is>
          <t>72 h</t>
        </is>
      </c>
      <c r="I39" s="71" t="inlineStr">
        <is>
          <t>按小时</t>
        </is>
      </c>
      <c r="J39" s="71" t="inlineStr">
        <is>
          <t>委外费用</t>
        </is>
      </c>
      <c r="K39" s="171" t="n"/>
      <c r="L39" s="171" t="n">
        <v>11190</v>
      </c>
      <c r="M39" s="171" t="n">
        <v>11190</v>
      </c>
      <c r="N39" s="132" t="inlineStr">
        <is>
          <t>15种×650/种 + 72h×20/h = 11,190</t>
        </is>
      </c>
      <c r="O39" s="133" t="inlineStr">
        <is>
          <t>K22 Chemical Resistance 按 MLA 条件 1 的 15 种试剂；试剂数量 × 各实验室试剂单价 + 测试时间 × 时间单价 计算</t>
        </is>
      </c>
    </row>
    <row r="40" ht="31" customHeight="1" s="4">
      <c r="A40" s="128" t="inlineStr">
        <is>
          <t>Group B</t>
        </is>
      </c>
      <c r="B40" s="71" t="n">
        <v>4</v>
      </c>
      <c r="C40" s="71" t="inlineStr">
        <is>
          <t>DV</t>
        </is>
      </c>
      <c r="D40" s="71" t="inlineStr">
        <is>
          <t>K18</t>
        </is>
      </c>
      <c r="E40" s="129" t="inlineStr">
        <is>
          <t>K18 Connector and lead/lock strength</t>
        </is>
      </c>
      <c r="F40" s="71" t="inlineStr">
        <is>
          <t>15-26</t>
        </is>
      </c>
      <c r="G40" s="71" t="inlineStr">
        <is>
          <t>12 个样品</t>
        </is>
      </c>
      <c r="H40" s="71" t="inlineStr">
        <is>
          <t>168 h</t>
        </is>
      </c>
      <c r="I40" s="71" t="inlineStr">
        <is>
          <t>按样品数量</t>
        </is>
      </c>
      <c r="J40" s="71" t="inlineStr">
        <is>
          <t>委外费用</t>
        </is>
      </c>
      <c r="K40" s="171" t="n"/>
      <c r="L40" s="171" t="n">
        <v>19000</v>
      </c>
      <c r="M40" s="171" t="n">
        <v>19000</v>
      </c>
      <c r="N40" s="132" t="inlineStr">
        <is>
          <t>4项×12台×325/项 + 微应力3400 = 19,000</t>
        </is>
      </c>
      <c r="O40" s="133" t="inlineStr">
        <is>
          <t>K18.1-K18.4 四项 × 12 台样机 × 单价 + K18.1 微应力费用</t>
        </is>
      </c>
    </row>
    <row r="41" ht="31" customHeight="1" s="4">
      <c r="A41" s="128" t="inlineStr">
        <is>
          <t>Group B</t>
        </is>
      </c>
      <c r="B41" s="71" t="n">
        <v>5</v>
      </c>
      <c r="C41" s="71" t="inlineStr">
        <is>
          <t>DV</t>
        </is>
      </c>
      <c r="D41" s="71" t="inlineStr">
        <is>
          <t>L1&amp;L4</t>
        </is>
      </c>
      <c r="E41" s="129" t="inlineStr">
        <is>
          <t>L1&amp;L4 Performance Evaluation &amp; Functional Evaluation</t>
        </is>
      </c>
      <c r="F41" s="71" t="inlineStr">
        <is>
          <t>15-26</t>
        </is>
      </c>
      <c r="G41" s="71" t="inlineStr">
        <is>
          <t>12 个样品</t>
        </is>
      </c>
      <c r="H41" s="71" t="inlineStr">
        <is>
          <t>72 h</t>
        </is>
      </c>
      <c r="I41" s="71" t="inlineStr">
        <is>
          <t>按样品数量</t>
        </is>
      </c>
      <c r="J41" s="71" t="inlineStr">
        <is>
          <t>委外费用</t>
        </is>
      </c>
      <c r="K41" s="171" t="n"/>
      <c r="L41" s="171" t="n">
        <v>4800</v>
      </c>
      <c r="M41" s="171" t="n">
        <v>4800</v>
      </c>
      <c r="N41" s="132" t="inlineStr">
        <is>
          <t>12个 × 400/个 = 4,800</t>
        </is>
      </c>
      <c r="O41" s="133" t="n"/>
    </row>
    <row r="42" ht="31" customHeight="1" s="4">
      <c r="A42" s="128" t="inlineStr">
        <is>
          <t>Group B</t>
        </is>
      </c>
      <c r="B42" s="71" t="n">
        <v>6</v>
      </c>
      <c r="C42" s="71" t="inlineStr">
        <is>
          <t>DV</t>
        </is>
      </c>
      <c r="D42" s="71" t="inlineStr">
        <is>
          <t>Optical</t>
        </is>
      </c>
      <c r="E42" s="129" t="inlineStr">
        <is>
          <t>Optical Test</t>
        </is>
      </c>
      <c r="F42" s="71" t="inlineStr">
        <is>
          <t>15-26</t>
        </is>
      </c>
      <c r="G42" s="71" t="inlineStr">
        <is>
          <t>12 个样品</t>
        </is>
      </c>
      <c r="H42" s="71" t="inlineStr">
        <is>
          <t>48 h</t>
        </is>
      </c>
      <c r="I42" s="71" t="inlineStr">
        <is>
          <t>按样品数量</t>
        </is>
      </c>
      <c r="J42" s="71" t="inlineStr">
        <is>
          <t>内部费用</t>
        </is>
      </c>
      <c r="K42" s="171" t="n">
        <v>2770</v>
      </c>
      <c r="L42" s="171" t="n"/>
      <c r="M42" s="171" t="n">
        <v>2770</v>
      </c>
      <c r="N42" s="132" t="inlineStr">
        <is>
          <t>1台×51点位(¥460) + 11台×19点位(¥210) = 460 + 2,310 = 2,770</t>
        </is>
      </c>
      <c r="O42" s="133" t="inlineStr">
        <is>
          <t>Optical Test: 1 台按 51 点位，其余按 19 点位计费</t>
        </is>
      </c>
    </row>
    <row r="43" ht="31" customHeight="1" s="4">
      <c r="A43" s="128" t="inlineStr">
        <is>
          <t>Group B</t>
        </is>
      </c>
      <c r="B43" s="71" t="n">
        <v>7</v>
      </c>
      <c r="C43" s="71" t="inlineStr">
        <is>
          <t>DV</t>
        </is>
      </c>
      <c r="D43" s="71" t="inlineStr">
        <is>
          <t>L6-photo&amp;xray</t>
        </is>
      </c>
      <c r="E43" s="129" t="inlineStr">
        <is>
          <t>L6-photo&amp;xray</t>
        </is>
      </c>
      <c r="F43" s="71" t="inlineStr">
        <is>
          <t>15-26</t>
        </is>
      </c>
      <c r="G43" s="71" t="inlineStr">
        <is>
          <t>12 个样品</t>
        </is>
      </c>
      <c r="H43" s="71" t="inlineStr">
        <is>
          <t>168 h</t>
        </is>
      </c>
      <c r="I43" s="71" t="inlineStr">
        <is>
          <t>按样品数量</t>
        </is>
      </c>
      <c r="J43" s="71" t="inlineStr">
        <is>
          <t>内部费用</t>
        </is>
      </c>
      <c r="K43" s="171" t="n">
        <v>4800</v>
      </c>
      <c r="L43" s="171" t="n"/>
      <c r="M43" s="171" t="n">
        <v>4800</v>
      </c>
      <c r="N43" s="132" t="inlineStr">
        <is>
          <t>12个 × 400/个 = 4,800</t>
        </is>
      </c>
      <c r="O43" s="133" t="inlineStr">
        <is>
          <t>L6-photo&amp;xray 固定单价 400/个样品；不按实验室报价中值计算</t>
        </is>
      </c>
    </row>
    <row r="44">
      <c r="A44" s="174" t="inlineStr">
        <is>
          <t>Group B Total Cost</t>
        </is>
      </c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3" t="n"/>
      <c r="K44" s="171">
        <f>SUM(K37:K43)</f>
        <v/>
      </c>
      <c r="L44" s="171">
        <f>SUM(L37:L43)</f>
        <v/>
      </c>
      <c r="M44" s="171">
        <f>SUM(M37:M43)</f>
        <v/>
      </c>
      <c r="N44" s="146" t="n"/>
      <c r="O44" s="175" t="n"/>
    </row>
    <row r="45">
      <c r="A45" s="118" t="inlineStr">
        <is>
          <t>Group C：DV / Group C Sequence Tests</t>
        </is>
      </c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  <c r="O45" s="163" t="n"/>
    </row>
    <row r="46" ht="16" customHeight="1" s="4">
      <c r="A46" s="128" t="inlineStr">
        <is>
          <t>组别顺序</t>
        </is>
      </c>
      <c r="B46" s="71" t="inlineStr">
        <is>
          <t>组内顺序</t>
        </is>
      </c>
      <c r="C46" s="71" t="inlineStr">
        <is>
          <t>Phase</t>
        </is>
      </c>
      <c r="D46" s="71" t="inlineStr">
        <is>
          <t>测试编号</t>
        </is>
      </c>
      <c r="E46" s="129" t="inlineStr">
        <is>
          <t>测试项目</t>
        </is>
      </c>
      <c r="F46" s="71" t="inlineStr">
        <is>
          <t>样品范围</t>
        </is>
      </c>
      <c r="G46" s="71" t="inlineStr">
        <is>
          <t>计费基数</t>
        </is>
      </c>
      <c r="H46" s="71" t="inlineStr">
        <is>
          <t>测试时间</t>
        </is>
      </c>
      <c r="I46" s="71" t="inlineStr">
        <is>
          <t>计费方式</t>
        </is>
      </c>
      <c r="J46" s="71" t="inlineStr">
        <is>
          <t>费用归属</t>
        </is>
      </c>
      <c r="K46" s="171" t="inlineStr">
        <is>
          <t>内部费用</t>
        </is>
      </c>
      <c r="L46" s="171" t="inlineStr">
        <is>
          <t>委外费用</t>
        </is>
      </c>
      <c r="M46" s="171" t="inlineStr">
        <is>
          <t>费用合计</t>
        </is>
      </c>
      <c r="N46" s="132" t="inlineStr">
        <is>
          <t>费用计算公式</t>
        </is>
      </c>
      <c r="O46" s="146" t="inlineStr">
        <is>
          <t>备注</t>
        </is>
      </c>
    </row>
    <row r="47" ht="31" customHeight="1" s="4">
      <c r="A47" s="128" t="inlineStr">
        <is>
          <t>Group C</t>
        </is>
      </c>
      <c r="B47" s="71" t="n">
        <v>1</v>
      </c>
      <c r="C47" s="71" t="inlineStr">
        <is>
          <t>DV</t>
        </is>
      </c>
      <c r="D47" s="71" t="inlineStr">
        <is>
          <t>Optical</t>
        </is>
      </c>
      <c r="E47" s="129" t="inlineStr">
        <is>
          <t>Optical Test</t>
        </is>
      </c>
      <c r="F47" s="71" t="inlineStr">
        <is>
          <t>27-32</t>
        </is>
      </c>
      <c r="G47" s="71" t="inlineStr">
        <is>
          <t>6 个样品</t>
        </is>
      </c>
      <c r="H47" s="71" t="inlineStr">
        <is>
          <t>168 h</t>
        </is>
      </c>
      <c r="I47" s="71" t="inlineStr">
        <is>
          <t>按样品数量</t>
        </is>
      </c>
      <c r="J47" s="71" t="inlineStr">
        <is>
          <t>内部费用</t>
        </is>
      </c>
      <c r="K47" s="171" t="n">
        <v>1510</v>
      </c>
      <c r="L47" s="171" t="n"/>
      <c r="M47" s="171" t="n">
        <v>1510</v>
      </c>
      <c r="N47" s="132" t="inlineStr">
        <is>
          <t>1台×51点位(¥460) + 5台×19点位(¥210) = 460 + 1,050 = 1,510</t>
        </is>
      </c>
      <c r="O47" s="133" t="inlineStr">
        <is>
          <t>Optical Test: 1 台按 51 点位，其余按 19 点位计费</t>
        </is>
      </c>
    </row>
    <row r="48" ht="31" customHeight="1" s="4">
      <c r="A48" s="128" t="inlineStr">
        <is>
          <t>Group C</t>
        </is>
      </c>
      <c r="B48" s="71" t="n">
        <v>2</v>
      </c>
      <c r="C48" s="71" t="inlineStr">
        <is>
          <t>DV</t>
        </is>
      </c>
      <c r="D48" s="71" t="inlineStr">
        <is>
          <t>L1&amp;L4</t>
        </is>
      </c>
      <c r="E48" s="129" t="inlineStr">
        <is>
          <t>L1&amp;L4 Performance Evaluation &amp; Functional Evaluation</t>
        </is>
      </c>
      <c r="F48" s="71" t="inlineStr">
        <is>
          <t>27-32</t>
        </is>
      </c>
      <c r="G48" s="71" t="inlineStr">
        <is>
          <t>6 个样品</t>
        </is>
      </c>
      <c r="H48" s="71" t="inlineStr">
        <is>
          <t>72 h</t>
        </is>
      </c>
      <c r="I48" s="71" t="inlineStr">
        <is>
          <t>按样品数量</t>
        </is>
      </c>
      <c r="J48" s="71" t="inlineStr">
        <is>
          <t>委外费用</t>
        </is>
      </c>
      <c r="K48" s="171" t="n"/>
      <c r="L48" s="171" t="n">
        <v>2400</v>
      </c>
      <c r="M48" s="171" t="n">
        <v>2400</v>
      </c>
      <c r="N48" s="132" t="inlineStr">
        <is>
          <t>6个 × 400/个 = 2,400</t>
        </is>
      </c>
      <c r="O48" s="133" t="n"/>
    </row>
    <row r="49" ht="16" customHeight="1" s="4">
      <c r="A49" s="128" t="inlineStr">
        <is>
          <t>Group C</t>
        </is>
      </c>
      <c r="B49" s="71" t="n">
        <v>3</v>
      </c>
      <c r="C49" s="71" t="inlineStr">
        <is>
          <t>DV</t>
        </is>
      </c>
      <c r="D49" s="71" t="inlineStr">
        <is>
          <t>K7</t>
        </is>
      </c>
      <c r="E49" s="129" t="inlineStr">
        <is>
          <t>K7 Thermal Shock in Air</t>
        </is>
      </c>
      <c r="F49" s="71" t="inlineStr">
        <is>
          <t>27-32</t>
        </is>
      </c>
      <c r="G49" s="71" t="inlineStr">
        <is>
          <t>105 h</t>
        </is>
      </c>
      <c r="H49" s="71" t="inlineStr">
        <is>
          <t>105 h</t>
        </is>
      </c>
      <c r="I49" s="71" t="inlineStr">
        <is>
          <t>按小时</t>
        </is>
      </c>
      <c r="J49" s="71" t="inlineStr">
        <is>
          <t>委外费用</t>
        </is>
      </c>
      <c r="K49" s="171" t="n"/>
      <c r="L49" s="171" t="n">
        <v>10500</v>
      </c>
      <c r="M49" s="171" t="n">
        <v>10500</v>
      </c>
      <c r="N49" s="132" t="inlineStr">
        <is>
          <t>105h × 100/h = 10,500</t>
        </is>
      </c>
      <c r="O49" s="133" t="n"/>
    </row>
    <row r="50" ht="31" customHeight="1" s="4">
      <c r="A50" s="128" t="inlineStr">
        <is>
          <t>Group C</t>
        </is>
      </c>
      <c r="B50" s="71" t="n">
        <v>4</v>
      </c>
      <c r="C50" s="71" t="inlineStr">
        <is>
          <t>DV</t>
        </is>
      </c>
      <c r="D50" s="71" t="inlineStr">
        <is>
          <t>Particle</t>
        </is>
      </c>
      <c r="E50" s="129" t="inlineStr">
        <is>
          <t>Particle Exposure</t>
        </is>
      </c>
      <c r="F50" s="71" t="inlineStr">
        <is>
          <t>27-32</t>
        </is>
      </c>
      <c r="G50" s="71" t="n"/>
      <c r="H50" s="71" t="inlineStr">
        <is>
          <t>48 h</t>
        </is>
      </c>
      <c r="I50" s="71" t="inlineStr">
        <is>
          <t>按批次</t>
        </is>
      </c>
      <c r="J50" s="71" t="inlineStr">
        <is>
          <t>委外费用</t>
        </is>
      </c>
      <c r="K50" s="171" t="n"/>
      <c r="L50" s="171" t="n">
        <v>3000</v>
      </c>
      <c r="M50" s="171" t="n">
        <v>3000</v>
      </c>
      <c r="N50" s="132" t="inlineStr">
        <is>
          <t>A组已计入粉尘费/清洁费，当前仅计批次费：2批 × 1,500/批 = 3,000</t>
        </is>
      </c>
      <c r="O50" s="133" t="inlineStr">
        <is>
          <t>Particle Exposure：A组已覆盖粉尘费/清洁费，Group C 仅计新增批次费</t>
        </is>
      </c>
    </row>
    <row r="51" ht="16" customHeight="1" s="4">
      <c r="A51" s="128" t="inlineStr">
        <is>
          <t>Group C</t>
        </is>
      </c>
      <c r="B51" s="71" t="n">
        <v>5</v>
      </c>
      <c r="C51" s="71" t="inlineStr">
        <is>
          <t>DV</t>
        </is>
      </c>
      <c r="D51" s="71" t="inlineStr">
        <is>
          <t>K15</t>
        </is>
      </c>
      <c r="E51" s="129" t="inlineStr">
        <is>
          <t>K15 Vibartion</t>
        </is>
      </c>
      <c r="F51" s="71" t="inlineStr">
        <is>
          <t>27-32</t>
        </is>
      </c>
      <c r="G51" s="71" t="inlineStr">
        <is>
          <t>24 h</t>
        </is>
      </c>
      <c r="H51" s="71" t="inlineStr">
        <is>
          <t>24 h</t>
        </is>
      </c>
      <c r="I51" s="71" t="inlineStr">
        <is>
          <t>按小时</t>
        </is>
      </c>
      <c r="J51" s="71" t="inlineStr">
        <is>
          <t>委外费用</t>
        </is>
      </c>
      <c r="K51" s="171" t="n"/>
      <c r="L51" s="171" t="n">
        <v>12000</v>
      </c>
      <c r="M51" s="171" t="n">
        <v>12000</v>
      </c>
      <c r="N51" s="132" t="inlineStr">
        <is>
          <t>24h × 500/h = 12,000</t>
        </is>
      </c>
      <c r="O51" s="133" t="n"/>
    </row>
    <row r="52" ht="16" customHeight="1" s="4">
      <c r="A52" s="128" t="inlineStr">
        <is>
          <t>Group C</t>
        </is>
      </c>
      <c r="B52" s="71" t="n">
        <v>6</v>
      </c>
      <c r="C52" s="71" t="inlineStr">
        <is>
          <t>DV</t>
        </is>
      </c>
      <c r="D52" s="71" t="inlineStr">
        <is>
          <t>K13</t>
        </is>
      </c>
      <c r="E52" s="129" t="inlineStr">
        <is>
          <t>K13 Dust Ingress</t>
        </is>
      </c>
      <c r="F52" s="71" t="inlineStr">
        <is>
          <t>27-32</t>
        </is>
      </c>
      <c r="G52" s="71" t="inlineStr">
        <is>
          <t>2 批</t>
        </is>
      </c>
      <c r="H52" s="71" t="inlineStr">
        <is>
          <t>48 h</t>
        </is>
      </c>
      <c r="I52" s="71" t="inlineStr">
        <is>
          <t>按批次</t>
        </is>
      </c>
      <c r="J52" s="71" t="inlineStr">
        <is>
          <t>委外费用</t>
        </is>
      </c>
      <c r="K52" s="171" t="n"/>
      <c r="L52" s="171" t="n">
        <v>3000</v>
      </c>
      <c r="M52" s="171" t="n">
        <v>3000</v>
      </c>
      <c r="N52" s="132" t="inlineStr">
        <is>
          <t>2批 × 1500/批 = 3,000</t>
        </is>
      </c>
      <c r="O52" s="133" t="n"/>
    </row>
    <row r="53" ht="31" customHeight="1" s="4">
      <c r="A53" s="134" t="inlineStr">
        <is>
          <t>Group C</t>
        </is>
      </c>
      <c r="B53" s="135" t="n">
        <v>7</v>
      </c>
      <c r="C53" s="135" t="inlineStr">
        <is>
          <t>DV</t>
        </is>
      </c>
      <c r="D53" s="135" t="inlineStr">
        <is>
          <t>K14</t>
        </is>
      </c>
      <c r="E53" s="136" t="inlineStr">
        <is>
          <t>K14 Dust Blowing Test</t>
        </is>
      </c>
      <c r="F53" s="135" t="inlineStr">
        <is>
          <t>27-32</t>
        </is>
      </c>
      <c r="G53" s="135" t="inlineStr">
        <is>
          <t>2 批</t>
        </is>
      </c>
      <c r="H53" s="135" t="inlineStr">
        <is>
          <t>72 h</t>
        </is>
      </c>
      <c r="I53" s="135" t="inlineStr">
        <is>
          <t>按批次</t>
        </is>
      </c>
      <c r="J53" s="135" t="inlineStr">
        <is>
          <t>委外费用</t>
        </is>
      </c>
      <c r="K53" s="173" t="n"/>
      <c r="L53" s="173" t="n">
        <v>6000</v>
      </c>
      <c r="M53" s="173" t="n">
        <v>6000</v>
      </c>
      <c r="N53" s="138" t="inlineStr">
        <is>
          <t>2批 × 3000/批 = 6,000</t>
        </is>
      </c>
      <c r="O53" s="139" t="inlineStr">
        <is>
          <t>K14 Dust Blowing 指定国测，按 3000/批计算；每批 3 台样品</t>
        </is>
      </c>
    </row>
    <row r="54" ht="46" customHeight="1" s="4">
      <c r="A54" s="128" t="inlineStr">
        <is>
          <t>Group C</t>
        </is>
      </c>
      <c r="B54" s="71" t="n">
        <v>8</v>
      </c>
      <c r="C54" s="71" t="inlineStr">
        <is>
          <t>DV</t>
        </is>
      </c>
      <c r="D54" s="71" t="inlineStr">
        <is>
          <t>K26</t>
        </is>
      </c>
      <c r="E54" s="129" t="inlineStr">
        <is>
          <t>K26 Mechanical Wear-Out</t>
        </is>
      </c>
      <c r="F54" s="71" t="inlineStr">
        <is>
          <t>27-32</t>
        </is>
      </c>
      <c r="G54" s="71" t="inlineStr">
        <is>
          <t>500 h</t>
        </is>
      </c>
      <c r="H54" s="71" t="inlineStr">
        <is>
          <t>500 h</t>
        </is>
      </c>
      <c r="I54" s="71" t="inlineStr">
        <is>
          <t>按小时</t>
        </is>
      </c>
      <c r="J54" s="71" t="inlineStr">
        <is>
          <t>委外费用</t>
        </is>
      </c>
      <c r="K54" s="171" t="n"/>
      <c r="L54" s="171" t="n">
        <v>7158</v>
      </c>
      <c r="M54" s="171" t="n">
        <v>7158</v>
      </c>
      <c r="N54" s="132" t="inlineStr">
        <is>
          <t>334h×10 + 83h×23 + 83h×23 = 7,158</t>
        </is>
      </c>
      <c r="O54" s="133" t="inlineStr">
        <is>
          <t>K26 Mechanical Wear-Out 按 334h 常温 + 83h 低温 + 83h 高温分别计费，采用当前实验室总价</t>
        </is>
      </c>
    </row>
    <row r="55" ht="31" customHeight="1" s="4">
      <c r="A55" s="128" t="inlineStr">
        <is>
          <t>Group C</t>
        </is>
      </c>
      <c r="B55" s="71" t="n">
        <v>9</v>
      </c>
      <c r="C55" s="71" t="inlineStr">
        <is>
          <t>DV</t>
        </is>
      </c>
      <c r="D55" s="71" t="inlineStr">
        <is>
          <t>L1&amp;L4</t>
        </is>
      </c>
      <c r="E55" s="129" t="inlineStr">
        <is>
          <t>L1&amp;L4 Performance Evaluation &amp; Functional Evaluation</t>
        </is>
      </c>
      <c r="F55" s="71" t="inlineStr">
        <is>
          <t>27-32</t>
        </is>
      </c>
      <c r="G55" s="71" t="inlineStr">
        <is>
          <t>6 个样品</t>
        </is>
      </c>
      <c r="H55" s="71" t="inlineStr">
        <is>
          <t>48 h</t>
        </is>
      </c>
      <c r="I55" s="71" t="inlineStr">
        <is>
          <t>按样品数量</t>
        </is>
      </c>
      <c r="J55" s="71" t="inlineStr">
        <is>
          <t>委外费用</t>
        </is>
      </c>
      <c r="K55" s="171" t="n"/>
      <c r="L55" s="171" t="n">
        <v>2400</v>
      </c>
      <c r="M55" s="171" t="n">
        <v>2400</v>
      </c>
      <c r="N55" s="132" t="inlineStr">
        <is>
          <t>6个 × 400/个 = 2,400</t>
        </is>
      </c>
      <c r="O55" s="133" t="n"/>
    </row>
    <row r="56" ht="31" customHeight="1" s="4">
      <c r="A56" s="128" t="inlineStr">
        <is>
          <t>Group C</t>
        </is>
      </c>
      <c r="B56" s="71" t="n">
        <v>10</v>
      </c>
      <c r="C56" s="71" t="inlineStr">
        <is>
          <t>DV</t>
        </is>
      </c>
      <c r="D56" s="71" t="inlineStr">
        <is>
          <t>Optical</t>
        </is>
      </c>
      <c r="E56" s="129" t="inlineStr">
        <is>
          <t>Optical Test</t>
        </is>
      </c>
      <c r="F56" s="71" t="inlineStr">
        <is>
          <t>27-32</t>
        </is>
      </c>
      <c r="G56" s="71" t="inlineStr">
        <is>
          <t>6 个样品</t>
        </is>
      </c>
      <c r="H56" s="71" t="inlineStr">
        <is>
          <t>24 h</t>
        </is>
      </c>
      <c r="I56" s="71" t="inlineStr">
        <is>
          <t>按样品数量</t>
        </is>
      </c>
      <c r="J56" s="71" t="inlineStr">
        <is>
          <t>内部费用</t>
        </is>
      </c>
      <c r="K56" s="171" t="n">
        <v>1510</v>
      </c>
      <c r="L56" s="171" t="n"/>
      <c r="M56" s="171" t="n">
        <v>1510</v>
      </c>
      <c r="N56" s="132" t="inlineStr">
        <is>
          <t>1台×51点位(¥460) + 5台×19点位(¥210) = 460 + 1,050 = 1,510</t>
        </is>
      </c>
      <c r="O56" s="133" t="inlineStr">
        <is>
          <t>Optical Test: 1 台按 51 点位，其余按 19 点位计费</t>
        </is>
      </c>
    </row>
    <row r="57" ht="31" customHeight="1" s="4">
      <c r="A57" s="128" t="inlineStr">
        <is>
          <t>Group C</t>
        </is>
      </c>
      <c r="B57" s="71" t="n">
        <v>11</v>
      </c>
      <c r="C57" s="71" t="inlineStr">
        <is>
          <t>DV</t>
        </is>
      </c>
      <c r="D57" s="71" t="inlineStr">
        <is>
          <t>L6-photo&amp;xray</t>
        </is>
      </c>
      <c r="E57" s="129" t="inlineStr">
        <is>
          <t>L6-photo&amp;xray</t>
        </is>
      </c>
      <c r="F57" s="71" t="inlineStr">
        <is>
          <t>27-32</t>
        </is>
      </c>
      <c r="G57" s="71" t="inlineStr">
        <is>
          <t>6 个样品</t>
        </is>
      </c>
      <c r="H57" s="71" t="inlineStr">
        <is>
          <t>72 h</t>
        </is>
      </c>
      <c r="I57" s="71" t="inlineStr">
        <is>
          <t>按样品数量</t>
        </is>
      </c>
      <c r="J57" s="71" t="inlineStr">
        <is>
          <t>内部费用</t>
        </is>
      </c>
      <c r="K57" s="171" t="n">
        <v>2400</v>
      </c>
      <c r="L57" s="171" t="n"/>
      <c r="M57" s="171" t="n">
        <v>2400</v>
      </c>
      <c r="N57" s="132" t="inlineStr">
        <is>
          <t>6个 × 400/个 = 2,400</t>
        </is>
      </c>
      <c r="O57" s="133" t="inlineStr">
        <is>
          <t>L6-photo&amp;xray 固定单价 400/个样品；不按实验室报价中值计算</t>
        </is>
      </c>
    </row>
    <row r="58">
      <c r="A58" s="174" t="inlineStr">
        <is>
          <t>Group C Total Cost</t>
        </is>
      </c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3" t="n"/>
      <c r="K58" s="171">
        <f>SUM(K47:K57)</f>
        <v/>
      </c>
      <c r="L58" s="171">
        <f>SUM(L47:L57)</f>
        <v/>
      </c>
      <c r="M58" s="171">
        <f>SUM(M47:M57)</f>
        <v/>
      </c>
      <c r="N58" s="146" t="n"/>
      <c r="O58" s="175" t="n"/>
    </row>
    <row r="59">
      <c r="A59" s="118" t="inlineStr">
        <is>
          <t>Group D-1：DV / Group D Parallel Tests / D-1 Corrosive Gases</t>
        </is>
      </c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  <c r="N59" s="164" t="n"/>
      <c r="O59" s="163" t="n"/>
    </row>
    <row r="60" ht="16" customHeight="1" s="4">
      <c r="A60" s="128" t="inlineStr">
        <is>
          <t>组别顺序</t>
        </is>
      </c>
      <c r="B60" s="71" t="inlineStr">
        <is>
          <t>组内顺序</t>
        </is>
      </c>
      <c r="C60" s="71" t="inlineStr">
        <is>
          <t>Phase</t>
        </is>
      </c>
      <c r="D60" s="71" t="inlineStr">
        <is>
          <t>测试编号</t>
        </is>
      </c>
      <c r="E60" s="129" t="inlineStr">
        <is>
          <t>测试项目</t>
        </is>
      </c>
      <c r="F60" s="71" t="inlineStr">
        <is>
          <t>样品范围</t>
        </is>
      </c>
      <c r="G60" s="71" t="inlineStr">
        <is>
          <t>计费基数</t>
        </is>
      </c>
      <c r="H60" s="71" t="inlineStr">
        <is>
          <t>测试时间</t>
        </is>
      </c>
      <c r="I60" s="71" t="inlineStr">
        <is>
          <t>计费方式</t>
        </is>
      </c>
      <c r="J60" s="71" t="inlineStr">
        <is>
          <t>费用归属</t>
        </is>
      </c>
      <c r="K60" s="171" t="inlineStr">
        <is>
          <t>内部费用</t>
        </is>
      </c>
      <c r="L60" s="171" t="inlineStr">
        <is>
          <t>委外费用</t>
        </is>
      </c>
      <c r="M60" s="171" t="inlineStr">
        <is>
          <t>费用合计</t>
        </is>
      </c>
      <c r="N60" s="132" t="inlineStr">
        <is>
          <t>费用计算公式</t>
        </is>
      </c>
      <c r="O60" s="146" t="inlineStr">
        <is>
          <t>备注</t>
        </is>
      </c>
    </row>
    <row r="61" ht="31" customHeight="1" s="4">
      <c r="A61" s="128" t="inlineStr">
        <is>
          <t>Group D-1</t>
        </is>
      </c>
      <c r="B61" s="71" t="n">
        <v>1</v>
      </c>
      <c r="C61" s="71" t="inlineStr">
        <is>
          <t>DV</t>
        </is>
      </c>
      <c r="D61" s="71" t="inlineStr">
        <is>
          <t>Optical</t>
        </is>
      </c>
      <c r="E61" s="129" t="inlineStr">
        <is>
          <t>Optical Test</t>
        </is>
      </c>
      <c r="F61" s="71" t="inlineStr">
        <is>
          <t>33-38</t>
        </is>
      </c>
      <c r="G61" s="71" t="inlineStr">
        <is>
          <t>6 个样品</t>
        </is>
      </c>
      <c r="H61" s="71" t="inlineStr">
        <is>
          <t>168 h</t>
        </is>
      </c>
      <c r="I61" s="71" t="inlineStr">
        <is>
          <t>按样品数量</t>
        </is>
      </c>
      <c r="J61" s="71" t="inlineStr">
        <is>
          <t>内部费用</t>
        </is>
      </c>
      <c r="K61" s="171" t="n">
        <v>1510</v>
      </c>
      <c r="L61" s="171" t="n"/>
      <c r="M61" s="171" t="n">
        <v>1510</v>
      </c>
      <c r="N61" s="132" t="inlineStr">
        <is>
          <t>1台×51点位(¥460) + 5台×19点位(¥210) = 460 + 1,050 = 1,510</t>
        </is>
      </c>
      <c r="O61" s="133" t="inlineStr">
        <is>
          <t>Optical Test: 1 台按 51 点位，其余按 19 点位计费</t>
        </is>
      </c>
    </row>
    <row r="62" ht="31" customHeight="1" s="4">
      <c r="A62" s="128" t="inlineStr">
        <is>
          <t>Group D-1</t>
        </is>
      </c>
      <c r="B62" s="71" t="n">
        <v>2</v>
      </c>
      <c r="C62" s="71" t="inlineStr">
        <is>
          <t>DV</t>
        </is>
      </c>
      <c r="D62" s="71" t="inlineStr">
        <is>
          <t>L1&amp;L4</t>
        </is>
      </c>
      <c r="E62" s="129" t="inlineStr">
        <is>
          <t>L1&amp;L4 Performance Evaluation &amp; Functional Evaluation</t>
        </is>
      </c>
      <c r="F62" s="71" t="inlineStr">
        <is>
          <t>33-38</t>
        </is>
      </c>
      <c r="G62" s="71" t="inlineStr">
        <is>
          <t>6 个样品</t>
        </is>
      </c>
      <c r="H62" s="71" t="inlineStr">
        <is>
          <t>72 h</t>
        </is>
      </c>
      <c r="I62" s="71" t="inlineStr">
        <is>
          <t>按样品数量</t>
        </is>
      </c>
      <c r="J62" s="71" t="inlineStr">
        <is>
          <t>委外费用</t>
        </is>
      </c>
      <c r="K62" s="171" t="n"/>
      <c r="L62" s="171" t="n">
        <v>2400</v>
      </c>
      <c r="M62" s="171" t="n">
        <v>2400</v>
      </c>
      <c r="N62" s="132" t="inlineStr">
        <is>
          <t>6个 × 400/个 = 2,400</t>
        </is>
      </c>
      <c r="O62" s="133" t="n"/>
    </row>
    <row r="63" ht="16" customHeight="1" s="4">
      <c r="A63" s="128" t="inlineStr">
        <is>
          <t>Group D-1</t>
        </is>
      </c>
      <c r="B63" s="71" t="n">
        <v>3</v>
      </c>
      <c r="C63" s="71" t="inlineStr">
        <is>
          <t>DV</t>
        </is>
      </c>
      <c r="D63" s="71" t="inlineStr">
        <is>
          <t>K21</t>
        </is>
      </c>
      <c r="E63" s="129" t="inlineStr">
        <is>
          <t>K21 Corrosive Gases</t>
        </is>
      </c>
      <c r="F63" s="71" t="inlineStr">
        <is>
          <t>33-38</t>
        </is>
      </c>
      <c r="G63" s="71" t="inlineStr">
        <is>
          <t>336 h</t>
        </is>
      </c>
      <c r="H63" s="71" t="inlineStr">
        <is>
          <t>336 h</t>
        </is>
      </c>
      <c r="I63" s="71" t="inlineStr">
        <is>
          <t>按小时</t>
        </is>
      </c>
      <c r="J63" s="71" t="inlineStr">
        <is>
          <t>委外费用</t>
        </is>
      </c>
      <c r="K63" s="171" t="n"/>
      <c r="L63" s="171" t="n">
        <v>40320</v>
      </c>
      <c r="M63" s="171" t="n">
        <v>40320</v>
      </c>
      <c r="N63" s="132" t="inlineStr">
        <is>
          <t>336h × 120/h = 40,320</t>
        </is>
      </c>
      <c r="O63" s="133" t="n"/>
    </row>
    <row r="64" ht="31" customHeight="1" s="4">
      <c r="A64" s="128" t="inlineStr">
        <is>
          <t>Group D-1</t>
        </is>
      </c>
      <c r="B64" s="71" t="n">
        <v>4</v>
      </c>
      <c r="C64" s="71" t="inlineStr">
        <is>
          <t>DV</t>
        </is>
      </c>
      <c r="D64" s="71" t="inlineStr">
        <is>
          <t>L1&amp;L4</t>
        </is>
      </c>
      <c r="E64" s="129" t="inlineStr">
        <is>
          <t>L1&amp;L4 Performance Evaluation &amp; Functional Evaluation</t>
        </is>
      </c>
      <c r="F64" s="71" t="inlineStr">
        <is>
          <t>33-38</t>
        </is>
      </c>
      <c r="G64" s="71" t="inlineStr">
        <is>
          <t>6 个样品</t>
        </is>
      </c>
      <c r="H64" s="71" t="inlineStr">
        <is>
          <t>48 h</t>
        </is>
      </c>
      <c r="I64" s="71" t="inlineStr">
        <is>
          <t>按样品数量</t>
        </is>
      </c>
      <c r="J64" s="71" t="inlineStr">
        <is>
          <t>委外费用</t>
        </is>
      </c>
      <c r="K64" s="171" t="n"/>
      <c r="L64" s="171" t="n">
        <v>2400</v>
      </c>
      <c r="M64" s="171" t="n">
        <v>2400</v>
      </c>
      <c r="N64" s="132" t="inlineStr">
        <is>
          <t>6个 × 400/个 = 2,400</t>
        </is>
      </c>
      <c r="O64" s="133" t="n"/>
    </row>
    <row r="65" ht="31" customHeight="1" s="4">
      <c r="A65" s="128" t="inlineStr">
        <is>
          <t>Group D-1</t>
        </is>
      </c>
      <c r="B65" s="71" t="n">
        <v>5</v>
      </c>
      <c r="C65" s="71" t="inlineStr">
        <is>
          <t>DV</t>
        </is>
      </c>
      <c r="D65" s="71" t="inlineStr">
        <is>
          <t>Optical</t>
        </is>
      </c>
      <c r="E65" s="129" t="inlineStr">
        <is>
          <t>Optical Test</t>
        </is>
      </c>
      <c r="F65" s="71" t="inlineStr">
        <is>
          <t>33-38</t>
        </is>
      </c>
      <c r="G65" s="71" t="inlineStr">
        <is>
          <t>6 个样品</t>
        </is>
      </c>
      <c r="H65" s="71" t="inlineStr">
        <is>
          <t>24 h</t>
        </is>
      </c>
      <c r="I65" s="71" t="inlineStr">
        <is>
          <t>按样品数量</t>
        </is>
      </c>
      <c r="J65" s="71" t="inlineStr">
        <is>
          <t>内部费用</t>
        </is>
      </c>
      <c r="K65" s="171" t="n">
        <v>1510</v>
      </c>
      <c r="L65" s="171" t="n"/>
      <c r="M65" s="171" t="n">
        <v>1510</v>
      </c>
      <c r="N65" s="132" t="inlineStr">
        <is>
          <t>1台×51点位(¥460) + 5台×19点位(¥210) = 460 + 1,050 = 1,510</t>
        </is>
      </c>
      <c r="O65" s="133" t="inlineStr">
        <is>
          <t>Optical Test: 1 台按 51 点位，其余按 19 点位计费</t>
        </is>
      </c>
    </row>
    <row r="66" ht="31" customHeight="1" s="4">
      <c r="A66" s="128" t="inlineStr">
        <is>
          <t>Group D-1</t>
        </is>
      </c>
      <c r="B66" s="71" t="n">
        <v>6</v>
      </c>
      <c r="C66" s="71" t="inlineStr">
        <is>
          <t>DV</t>
        </is>
      </c>
      <c r="D66" s="71" t="inlineStr">
        <is>
          <t>L6-photo&amp;xray</t>
        </is>
      </c>
      <c r="E66" s="129" t="inlineStr">
        <is>
          <t>L6-photo&amp;xray</t>
        </is>
      </c>
      <c r="F66" s="71" t="inlineStr">
        <is>
          <t>33-38</t>
        </is>
      </c>
      <c r="G66" s="71" t="inlineStr">
        <is>
          <t>6 个样品</t>
        </is>
      </c>
      <c r="H66" s="71" t="inlineStr">
        <is>
          <t>72 h</t>
        </is>
      </c>
      <c r="I66" s="71" t="inlineStr">
        <is>
          <t>按样品数量</t>
        </is>
      </c>
      <c r="J66" s="71" t="inlineStr">
        <is>
          <t>内部费用</t>
        </is>
      </c>
      <c r="K66" s="171" t="n">
        <v>2400</v>
      </c>
      <c r="L66" s="171" t="n"/>
      <c r="M66" s="171" t="n">
        <v>2400</v>
      </c>
      <c r="N66" s="132" t="inlineStr">
        <is>
          <t>6个 × 400/个 = 2,400</t>
        </is>
      </c>
      <c r="O66" s="133" t="inlineStr">
        <is>
          <t>L6-photo&amp;xray 固定单价 400/个样品；不按实验室报价中值计算</t>
        </is>
      </c>
    </row>
    <row r="67">
      <c r="A67" s="174" t="inlineStr">
        <is>
          <t>Group D-1 Total Cost</t>
        </is>
      </c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3" t="n"/>
      <c r="K67" s="171">
        <f>SUM(K61:K66)</f>
        <v/>
      </c>
      <c r="L67" s="171">
        <f>SUM(L61:L66)</f>
        <v/>
      </c>
      <c r="M67" s="171">
        <f>SUM(M61:M66)</f>
        <v/>
      </c>
      <c r="N67" s="146" t="n"/>
      <c r="O67" s="175" t="n"/>
    </row>
    <row r="68">
      <c r="A68" s="118" t="inlineStr">
        <is>
          <t>Group D-2：DV / Group D Parallel Tests / D-2 Solar Radiation</t>
        </is>
      </c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  <c r="N68" s="164" t="n"/>
      <c r="O68" s="163" t="n"/>
    </row>
    <row r="69" ht="16" customHeight="1" s="4">
      <c r="A69" s="128" t="inlineStr">
        <is>
          <t>组别顺序</t>
        </is>
      </c>
      <c r="B69" s="71" t="inlineStr">
        <is>
          <t>组内顺序</t>
        </is>
      </c>
      <c r="C69" s="71" t="inlineStr">
        <is>
          <t>Phase</t>
        </is>
      </c>
      <c r="D69" s="71" t="inlineStr">
        <is>
          <t>测试编号</t>
        </is>
      </c>
      <c r="E69" s="129" t="inlineStr">
        <is>
          <t>测试项目</t>
        </is>
      </c>
      <c r="F69" s="71" t="inlineStr">
        <is>
          <t>样品范围</t>
        </is>
      </c>
      <c r="G69" s="71" t="inlineStr">
        <is>
          <t>计费基数</t>
        </is>
      </c>
      <c r="H69" s="71" t="inlineStr">
        <is>
          <t>测试时间</t>
        </is>
      </c>
      <c r="I69" s="71" t="inlineStr">
        <is>
          <t>计费方式</t>
        </is>
      </c>
      <c r="J69" s="71" t="inlineStr">
        <is>
          <t>费用归属</t>
        </is>
      </c>
      <c r="K69" s="171" t="inlineStr">
        <is>
          <t>内部费用</t>
        </is>
      </c>
      <c r="L69" s="171" t="inlineStr">
        <is>
          <t>委外费用</t>
        </is>
      </c>
      <c r="M69" s="171" t="inlineStr">
        <is>
          <t>费用合计</t>
        </is>
      </c>
      <c r="N69" s="132" t="inlineStr">
        <is>
          <t>费用计算公式</t>
        </is>
      </c>
      <c r="O69" s="146" t="inlineStr">
        <is>
          <t>备注</t>
        </is>
      </c>
    </row>
    <row r="70" ht="31" customHeight="1" s="4">
      <c r="A70" s="128" t="inlineStr">
        <is>
          <t>Group D-2</t>
        </is>
      </c>
      <c r="B70" s="71" t="n">
        <v>1</v>
      </c>
      <c r="C70" s="71" t="inlineStr">
        <is>
          <t>DV</t>
        </is>
      </c>
      <c r="D70" s="71" t="inlineStr">
        <is>
          <t>Optical</t>
        </is>
      </c>
      <c r="E70" s="129" t="inlineStr">
        <is>
          <t>Optical Test</t>
        </is>
      </c>
      <c r="F70" s="71" t="inlineStr">
        <is>
          <t>39-44</t>
        </is>
      </c>
      <c r="G70" s="71" t="inlineStr">
        <is>
          <t>6 个样品</t>
        </is>
      </c>
      <c r="H70" s="71" t="inlineStr">
        <is>
          <t>168 h</t>
        </is>
      </c>
      <c r="I70" s="71" t="inlineStr">
        <is>
          <t>按样品数量</t>
        </is>
      </c>
      <c r="J70" s="71" t="inlineStr">
        <is>
          <t>内部费用</t>
        </is>
      </c>
      <c r="K70" s="171" t="n">
        <v>1510</v>
      </c>
      <c r="L70" s="171" t="n"/>
      <c r="M70" s="171" t="n">
        <v>1510</v>
      </c>
      <c r="N70" s="132" t="inlineStr">
        <is>
          <t>1台×51点位(¥460) + 5台×19点位(¥210) = 460 + 1,050 = 1,510</t>
        </is>
      </c>
      <c r="O70" s="133" t="inlineStr">
        <is>
          <t>Optical Test: 1 台按 51 点位，其余按 19 点位计费</t>
        </is>
      </c>
    </row>
    <row r="71" ht="31" customHeight="1" s="4">
      <c r="A71" s="128" t="inlineStr">
        <is>
          <t>Group D-2</t>
        </is>
      </c>
      <c r="B71" s="71" t="n">
        <v>2</v>
      </c>
      <c r="C71" s="71" t="inlineStr">
        <is>
          <t>DV</t>
        </is>
      </c>
      <c r="D71" s="71" t="inlineStr">
        <is>
          <t>L1&amp;L4</t>
        </is>
      </c>
      <c r="E71" s="129" t="inlineStr">
        <is>
          <t>L1&amp;L4 Performance Evaluation &amp; Functional Evaluation</t>
        </is>
      </c>
      <c r="F71" s="71" t="inlineStr">
        <is>
          <t>39-44</t>
        </is>
      </c>
      <c r="G71" s="71" t="inlineStr">
        <is>
          <t>6 个样品</t>
        </is>
      </c>
      <c r="H71" s="71" t="inlineStr">
        <is>
          <t>72 h</t>
        </is>
      </c>
      <c r="I71" s="71" t="inlineStr">
        <is>
          <t>按样品数量</t>
        </is>
      </c>
      <c r="J71" s="71" t="inlineStr">
        <is>
          <t>委外费用</t>
        </is>
      </c>
      <c r="K71" s="171" t="n"/>
      <c r="L71" s="171" t="n">
        <v>2400</v>
      </c>
      <c r="M71" s="171" t="n">
        <v>2400</v>
      </c>
      <c r="N71" s="132" t="inlineStr">
        <is>
          <t>6个 × 400/个 = 2,400</t>
        </is>
      </c>
      <c r="O71" s="133" t="n"/>
    </row>
    <row r="72" ht="16" customHeight="1" s="4">
      <c r="A72" s="128" t="inlineStr">
        <is>
          <t>Group D-2</t>
        </is>
      </c>
      <c r="B72" s="71" t="n">
        <v>3</v>
      </c>
      <c r="C72" s="71" t="inlineStr">
        <is>
          <t>DV</t>
        </is>
      </c>
      <c r="D72" s="71" t="inlineStr">
        <is>
          <t>K20</t>
        </is>
      </c>
      <c r="E72" s="129" t="inlineStr">
        <is>
          <t>K20 Solar Radiation</t>
        </is>
      </c>
      <c r="F72" s="71" t="inlineStr">
        <is>
          <t>39-44</t>
        </is>
      </c>
      <c r="G72" s="71" t="inlineStr">
        <is>
          <t>720 h</t>
        </is>
      </c>
      <c r="H72" s="71" t="inlineStr">
        <is>
          <t>720 h</t>
        </is>
      </c>
      <c r="I72" s="71" t="inlineStr">
        <is>
          <t>按小时</t>
        </is>
      </c>
      <c r="J72" s="71" t="inlineStr">
        <is>
          <t>委外费用</t>
        </is>
      </c>
      <c r="K72" s="171" t="n"/>
      <c r="L72" s="171" t="n">
        <v>104400</v>
      </c>
      <c r="M72" s="171" t="n">
        <v>104400</v>
      </c>
      <c r="N72" s="132" t="inlineStr">
        <is>
          <t>720h × 145/h = 104,400</t>
        </is>
      </c>
      <c r="O72" s="133" t="n"/>
    </row>
    <row r="73" ht="31" customHeight="1" s="4">
      <c r="A73" s="128" t="inlineStr">
        <is>
          <t>Group D-2</t>
        </is>
      </c>
      <c r="B73" s="71" t="n">
        <v>4</v>
      </c>
      <c r="C73" s="71" t="inlineStr">
        <is>
          <t>DV</t>
        </is>
      </c>
      <c r="D73" s="71" t="inlineStr">
        <is>
          <t>L1&amp;L4</t>
        </is>
      </c>
      <c r="E73" s="129" t="inlineStr">
        <is>
          <t>L1&amp;L4 Performance Evaluation &amp; Functional Evaluation</t>
        </is>
      </c>
      <c r="F73" s="71" t="inlineStr">
        <is>
          <t>39-44</t>
        </is>
      </c>
      <c r="G73" s="71" t="inlineStr">
        <is>
          <t>6 个样品</t>
        </is>
      </c>
      <c r="H73" s="71" t="inlineStr">
        <is>
          <t>48 h</t>
        </is>
      </c>
      <c r="I73" s="71" t="inlineStr">
        <is>
          <t>按样品数量</t>
        </is>
      </c>
      <c r="J73" s="71" t="inlineStr">
        <is>
          <t>委外费用</t>
        </is>
      </c>
      <c r="K73" s="171" t="n"/>
      <c r="L73" s="171" t="n">
        <v>2400</v>
      </c>
      <c r="M73" s="171" t="n">
        <v>2400</v>
      </c>
      <c r="N73" s="132" t="inlineStr">
        <is>
          <t>6个 × 400/个 = 2,400</t>
        </is>
      </c>
      <c r="O73" s="133" t="n"/>
    </row>
    <row r="74" ht="31" customHeight="1" s="4">
      <c r="A74" s="128" t="inlineStr">
        <is>
          <t>Group D-2</t>
        </is>
      </c>
      <c r="B74" s="71" t="n">
        <v>5</v>
      </c>
      <c r="C74" s="71" t="inlineStr">
        <is>
          <t>DV</t>
        </is>
      </c>
      <c r="D74" s="71" t="inlineStr">
        <is>
          <t>Optical</t>
        </is>
      </c>
      <c r="E74" s="129" t="inlineStr">
        <is>
          <t>Optical Test</t>
        </is>
      </c>
      <c r="F74" s="71" t="inlineStr">
        <is>
          <t>39-44</t>
        </is>
      </c>
      <c r="G74" s="71" t="inlineStr">
        <is>
          <t>6 个样品</t>
        </is>
      </c>
      <c r="H74" s="71" t="inlineStr">
        <is>
          <t>24 h</t>
        </is>
      </c>
      <c r="I74" s="71" t="inlineStr">
        <is>
          <t>按样品数量</t>
        </is>
      </c>
      <c r="J74" s="71" t="inlineStr">
        <is>
          <t>内部费用</t>
        </is>
      </c>
      <c r="K74" s="171" t="n">
        <v>1510</v>
      </c>
      <c r="L74" s="171" t="n"/>
      <c r="M74" s="171" t="n">
        <v>1510</v>
      </c>
      <c r="N74" s="132" t="inlineStr">
        <is>
          <t>1台×51点位(¥460) + 5台×19点位(¥210) = 460 + 1,050 = 1,510</t>
        </is>
      </c>
      <c r="O74" s="133" t="inlineStr">
        <is>
          <t>Optical Test: 1 台按 51 点位，其余按 19 点位计费</t>
        </is>
      </c>
    </row>
    <row r="75" ht="31" customHeight="1" s="4">
      <c r="A75" s="128" t="inlineStr">
        <is>
          <t>Group D-2</t>
        </is>
      </c>
      <c r="B75" s="71" t="n">
        <v>6</v>
      </c>
      <c r="C75" s="71" t="inlineStr">
        <is>
          <t>DV</t>
        </is>
      </c>
      <c r="D75" s="71" t="inlineStr">
        <is>
          <t>L6-photo&amp;xray</t>
        </is>
      </c>
      <c r="E75" s="129" t="inlineStr">
        <is>
          <t>L6-photo&amp;xray</t>
        </is>
      </c>
      <c r="F75" s="71" t="inlineStr">
        <is>
          <t>39-44</t>
        </is>
      </c>
      <c r="G75" s="71" t="inlineStr">
        <is>
          <t>6 个样品</t>
        </is>
      </c>
      <c r="H75" s="71" t="inlineStr">
        <is>
          <t>72 h</t>
        </is>
      </c>
      <c r="I75" s="71" t="inlineStr">
        <is>
          <t>按样品数量</t>
        </is>
      </c>
      <c r="J75" s="71" t="inlineStr">
        <is>
          <t>内部费用</t>
        </is>
      </c>
      <c r="K75" s="171" t="n">
        <v>2400</v>
      </c>
      <c r="L75" s="171" t="n"/>
      <c r="M75" s="171" t="n">
        <v>2400</v>
      </c>
      <c r="N75" s="132" t="inlineStr">
        <is>
          <t>6个 × 400/个 = 2,400</t>
        </is>
      </c>
      <c r="O75" s="133" t="inlineStr">
        <is>
          <t>L6-photo&amp;xray 固定单价 400/个样品；不按实验室报价中值计算</t>
        </is>
      </c>
    </row>
    <row r="76">
      <c r="A76" s="174" t="inlineStr">
        <is>
          <t>Group D-2 Total Cost</t>
        </is>
      </c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3" t="n"/>
      <c r="K76" s="171">
        <f>SUM(K70:K75)</f>
        <v/>
      </c>
      <c r="L76" s="171">
        <f>SUM(L70:L75)</f>
        <v/>
      </c>
      <c r="M76" s="171">
        <f>SUM(M70:M75)</f>
        <v/>
      </c>
      <c r="N76" s="146" t="n"/>
      <c r="O76" s="175" t="n"/>
    </row>
    <row r="77">
      <c r="A77" s="118" t="inlineStr">
        <is>
          <t>Group D-3：DV / Group D Parallel Tests / D-3 PCBA</t>
        </is>
      </c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4" t="n"/>
      <c r="O77" s="163" t="n"/>
    </row>
    <row r="78" ht="16" customHeight="1" s="4">
      <c r="A78" s="128" t="inlineStr">
        <is>
          <t>组别顺序</t>
        </is>
      </c>
      <c r="B78" s="71" t="inlineStr">
        <is>
          <t>组内顺序</t>
        </is>
      </c>
      <c r="C78" s="71" t="inlineStr">
        <is>
          <t>Phase</t>
        </is>
      </c>
      <c r="D78" s="71" t="inlineStr">
        <is>
          <t>测试编号</t>
        </is>
      </c>
      <c r="E78" s="129" t="inlineStr">
        <is>
          <t>测试项目</t>
        </is>
      </c>
      <c r="F78" s="71" t="inlineStr">
        <is>
          <t>样品范围</t>
        </is>
      </c>
      <c r="G78" s="71" t="inlineStr">
        <is>
          <t>计费基数</t>
        </is>
      </c>
      <c r="H78" s="71" t="inlineStr">
        <is>
          <t>测试时间</t>
        </is>
      </c>
      <c r="I78" s="71" t="inlineStr">
        <is>
          <t>计费方式</t>
        </is>
      </c>
      <c r="J78" s="71" t="inlineStr">
        <is>
          <t>费用归属</t>
        </is>
      </c>
      <c r="K78" s="171" t="inlineStr">
        <is>
          <t>内部费用</t>
        </is>
      </c>
      <c r="L78" s="171" t="inlineStr">
        <is>
          <t>委外费用</t>
        </is>
      </c>
      <c r="M78" s="171" t="inlineStr">
        <is>
          <t>费用合计</t>
        </is>
      </c>
      <c r="N78" s="132" t="inlineStr">
        <is>
          <t>费用计算公式</t>
        </is>
      </c>
      <c r="O78" s="146" t="inlineStr">
        <is>
          <t>备注</t>
        </is>
      </c>
    </row>
    <row r="79" ht="31" customHeight="1" s="4">
      <c r="A79" s="128" t="inlineStr">
        <is>
          <t>Group D-3</t>
        </is>
      </c>
      <c r="B79" s="71" t="n">
        <v>1</v>
      </c>
      <c r="C79" s="71" t="inlineStr">
        <is>
          <t>DV</t>
        </is>
      </c>
      <c r="D79" s="71" t="inlineStr">
        <is>
          <t>L1&amp;L4</t>
        </is>
      </c>
      <c r="E79" s="129" t="inlineStr">
        <is>
          <t>L1&amp;L4 Performance Evaluation &amp; Functional Evaluation</t>
        </is>
      </c>
      <c r="F79" s="71" t="inlineStr">
        <is>
          <t>45-52</t>
        </is>
      </c>
      <c r="G79" s="71" t="inlineStr">
        <is>
          <t>8 个样品</t>
        </is>
      </c>
      <c r="H79" s="71" t="inlineStr">
        <is>
          <t>72 h</t>
        </is>
      </c>
      <c r="I79" s="71" t="inlineStr">
        <is>
          <t>按样品数量</t>
        </is>
      </c>
      <c r="J79" s="71" t="inlineStr">
        <is>
          <t>委外费用</t>
        </is>
      </c>
      <c r="K79" s="171" t="n"/>
      <c r="L79" s="171" t="n">
        <v>2400</v>
      </c>
      <c r="M79" s="171" t="n">
        <v>2400</v>
      </c>
      <c r="N79" s="132" t="inlineStr">
        <is>
          <t>8个 × 300/个 = 2,400</t>
        </is>
      </c>
      <c r="O79" s="133" t="n"/>
    </row>
    <row r="80" ht="16" customHeight="1" s="4">
      <c r="A80" s="128" t="inlineStr">
        <is>
          <t>Group D-3</t>
        </is>
      </c>
      <c r="B80" s="71" t="n">
        <v>2</v>
      </c>
      <c r="C80" s="71" t="inlineStr">
        <is>
          <t>DV</t>
        </is>
      </c>
      <c r="D80" s="71" t="inlineStr">
        <is>
          <t>K23</t>
        </is>
      </c>
      <c r="E80" s="129" t="inlineStr">
        <is>
          <t>K23 Thermal Shock Endurance</t>
        </is>
      </c>
      <c r="F80" s="71" t="inlineStr">
        <is>
          <t>45-52</t>
        </is>
      </c>
      <c r="G80" s="71" t="inlineStr">
        <is>
          <t>1017 h</t>
        </is>
      </c>
      <c r="H80" s="71" t="inlineStr">
        <is>
          <t>1017 h</t>
        </is>
      </c>
      <c r="I80" s="71" t="inlineStr">
        <is>
          <t>按小时</t>
        </is>
      </c>
      <c r="J80" s="71" t="inlineStr">
        <is>
          <t>委外费用</t>
        </is>
      </c>
      <c r="K80" s="171" t="n"/>
      <c r="L80" s="171" t="n">
        <v>50850</v>
      </c>
      <c r="M80" s="171" t="n">
        <v>50850</v>
      </c>
      <c r="N80" s="132" t="inlineStr">
        <is>
          <t>1017h × 50/h = 50,850</t>
        </is>
      </c>
      <c r="O80" s="133" t="n"/>
    </row>
    <row r="81" ht="31" customHeight="1" s="4">
      <c r="A81" s="128" t="inlineStr">
        <is>
          <t>Group D-3</t>
        </is>
      </c>
      <c r="B81" s="71" t="n">
        <v>3</v>
      </c>
      <c r="C81" s="71" t="inlineStr">
        <is>
          <t>DV</t>
        </is>
      </c>
      <c r="D81" s="71" t="inlineStr">
        <is>
          <t>L1&amp;L4</t>
        </is>
      </c>
      <c r="E81" s="129" t="inlineStr">
        <is>
          <t>L1&amp;L4 Performance Evaluation &amp; Functional Evaluation</t>
        </is>
      </c>
      <c r="F81" s="71" t="inlineStr">
        <is>
          <t>45-52</t>
        </is>
      </c>
      <c r="G81" s="71" t="inlineStr">
        <is>
          <t>8 个样品</t>
        </is>
      </c>
      <c r="H81" s="71" t="inlineStr">
        <is>
          <t>48 h</t>
        </is>
      </c>
      <c r="I81" s="71" t="inlineStr">
        <is>
          <t>按样品数量</t>
        </is>
      </c>
      <c r="J81" s="71" t="inlineStr">
        <is>
          <t>委外费用</t>
        </is>
      </c>
      <c r="K81" s="171" t="n"/>
      <c r="L81" s="171" t="n">
        <v>2400</v>
      </c>
      <c r="M81" s="171" t="n">
        <v>2400</v>
      </c>
      <c r="N81" s="132" t="inlineStr">
        <is>
          <t>8个 × 300/个 = 2,400</t>
        </is>
      </c>
      <c r="O81" s="133" t="n"/>
    </row>
    <row r="82" ht="31" customHeight="1" s="4">
      <c r="A82" s="128" t="inlineStr">
        <is>
          <t>Group D-3</t>
        </is>
      </c>
      <c r="B82" s="71" t="n">
        <v>4</v>
      </c>
      <c r="C82" s="71" t="inlineStr">
        <is>
          <t>DV</t>
        </is>
      </c>
      <c r="D82" s="71" t="inlineStr">
        <is>
          <t>L6-photo&amp;xray</t>
        </is>
      </c>
      <c r="E82" s="129" t="inlineStr">
        <is>
          <t>L6-photo&amp;xray</t>
        </is>
      </c>
      <c r="F82" s="71" t="inlineStr">
        <is>
          <t>45-52</t>
        </is>
      </c>
      <c r="G82" s="71" t="inlineStr">
        <is>
          <t>8 个样品</t>
        </is>
      </c>
      <c r="H82" s="71" t="inlineStr">
        <is>
          <t>72 h</t>
        </is>
      </c>
      <c r="I82" s="71" t="inlineStr">
        <is>
          <t>按样品数量</t>
        </is>
      </c>
      <c r="J82" s="71" t="inlineStr">
        <is>
          <t>内部费用</t>
        </is>
      </c>
      <c r="K82" s="171" t="n">
        <v>3200</v>
      </c>
      <c r="L82" s="171" t="n"/>
      <c r="M82" s="171" t="n">
        <v>3200</v>
      </c>
      <c r="N82" s="132" t="inlineStr">
        <is>
          <t>8个 × 400/个 = 3,200</t>
        </is>
      </c>
      <c r="O82" s="133" t="inlineStr">
        <is>
          <t>L6-photo&amp;xray 固定单价 400/个样品；不按实验室报价中值计算</t>
        </is>
      </c>
    </row>
    <row r="83" ht="46" customHeight="1" s="4">
      <c r="A83" s="128" t="inlineStr">
        <is>
          <t>Group D-3</t>
        </is>
      </c>
      <c r="B83" s="71" t="n">
        <v>5</v>
      </c>
      <c r="C83" s="71" t="inlineStr">
        <is>
          <t>DV</t>
        </is>
      </c>
      <c r="D83" s="71" t="inlineStr">
        <is>
          <t>L6-SEM&amp;SECTION</t>
        </is>
      </c>
      <c r="E83" s="129" t="inlineStr">
        <is>
          <t>L6-SEM&amp;SECTION</t>
        </is>
      </c>
      <c r="F83" s="71" t="inlineStr">
        <is>
          <t>45-52</t>
        </is>
      </c>
      <c r="G83" s="71" t="inlineStr">
        <is>
          <t>33 个点位</t>
        </is>
      </c>
      <c r="H83" s="71" t="inlineStr">
        <is>
          <t>480 h</t>
        </is>
      </c>
      <c r="I83" s="71" t="inlineStr">
        <is>
          <t>按样品数量</t>
        </is>
      </c>
      <c r="J83" s="71" t="inlineStr">
        <is>
          <t>委外费用</t>
        </is>
      </c>
      <c r="K83" s="171" t="n"/>
      <c r="L83" s="171" t="n">
        <v>21450</v>
      </c>
      <c r="M83" s="171" t="n">
        <v>21450</v>
      </c>
      <c r="N83" s="132" t="inlineStr">
        <is>
          <t>33个 × 650/个 = 21,450</t>
        </is>
      </c>
      <c r="O83" s="133" t="inlineStr">
        <is>
          <t>L6-SEM&amp;SECTION 委外组合报价：SEM &amp; Sectioning 按 33 个测试点位采用当前实验室总价</t>
        </is>
      </c>
    </row>
    <row r="84">
      <c r="A84" s="174" t="inlineStr">
        <is>
          <t>Group D-3 Total Cost</t>
        </is>
      </c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3" t="n"/>
      <c r="K84" s="171">
        <f>SUM(K79:K83)</f>
        <v/>
      </c>
      <c r="L84" s="171">
        <f>SUM(L79:L83)</f>
        <v/>
      </c>
      <c r="M84" s="171">
        <f>SUM(M79:M83)</f>
        <v/>
      </c>
      <c r="N84" s="146" t="n"/>
      <c r="O84" s="175" t="n"/>
    </row>
    <row r="85">
      <c r="A85" s="118" t="inlineStr">
        <is>
          <t>Group D-4：DV / Group D Parallel Tests / D-4 PCBA</t>
        </is>
      </c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  <c r="N85" s="164" t="n"/>
      <c r="O85" s="163" t="n"/>
    </row>
    <row r="86" ht="16" customHeight="1" s="4">
      <c r="A86" s="128" t="inlineStr">
        <is>
          <t>组别顺序</t>
        </is>
      </c>
      <c r="B86" s="71" t="inlineStr">
        <is>
          <t>组内顺序</t>
        </is>
      </c>
      <c r="C86" s="71" t="inlineStr">
        <is>
          <t>Phase</t>
        </is>
      </c>
      <c r="D86" s="71" t="inlineStr">
        <is>
          <t>测试编号</t>
        </is>
      </c>
      <c r="E86" s="129" t="inlineStr">
        <is>
          <t>测试项目</t>
        </is>
      </c>
      <c r="F86" s="71" t="inlineStr">
        <is>
          <t>样品范围</t>
        </is>
      </c>
      <c r="G86" s="71" t="inlineStr">
        <is>
          <t>计费基数</t>
        </is>
      </c>
      <c r="H86" s="71" t="inlineStr">
        <is>
          <t>测试时间</t>
        </is>
      </c>
      <c r="I86" s="71" t="inlineStr">
        <is>
          <t>计费方式</t>
        </is>
      </c>
      <c r="J86" s="71" t="inlineStr">
        <is>
          <t>费用归属</t>
        </is>
      </c>
      <c r="K86" s="171" t="inlineStr">
        <is>
          <t>内部费用</t>
        </is>
      </c>
      <c r="L86" s="171" t="inlineStr">
        <is>
          <t>委外费用</t>
        </is>
      </c>
      <c r="M86" s="171" t="inlineStr">
        <is>
          <t>费用合计</t>
        </is>
      </c>
      <c r="N86" s="132" t="inlineStr">
        <is>
          <t>费用计算公式</t>
        </is>
      </c>
      <c r="O86" s="146" t="inlineStr">
        <is>
          <t>备注</t>
        </is>
      </c>
    </row>
    <row r="87" ht="31" customHeight="1" s="4">
      <c r="A87" s="128" t="inlineStr">
        <is>
          <t>Group D-4</t>
        </is>
      </c>
      <c r="B87" s="71" t="n">
        <v>1</v>
      </c>
      <c r="C87" s="71" t="inlineStr">
        <is>
          <t>DV</t>
        </is>
      </c>
      <c r="D87" s="71" t="inlineStr">
        <is>
          <t>L1&amp;L4</t>
        </is>
      </c>
      <c r="E87" s="129" t="inlineStr">
        <is>
          <t>L1&amp;L4 Performance Evaluation &amp; Functional Evaluation</t>
        </is>
      </c>
      <c r="F87" s="71" t="inlineStr">
        <is>
          <t>53-58</t>
        </is>
      </c>
      <c r="G87" s="71" t="inlineStr">
        <is>
          <t>6 个样品</t>
        </is>
      </c>
      <c r="H87" s="71" t="inlineStr">
        <is>
          <t>72 h</t>
        </is>
      </c>
      <c r="I87" s="71" t="inlineStr">
        <is>
          <t>按样品数量</t>
        </is>
      </c>
      <c r="J87" s="71" t="inlineStr">
        <is>
          <t>委外费用</t>
        </is>
      </c>
      <c r="K87" s="171" t="n"/>
      <c r="L87" s="171" t="n">
        <v>2400</v>
      </c>
      <c r="M87" s="171" t="n">
        <v>2400</v>
      </c>
      <c r="N87" s="132" t="inlineStr">
        <is>
          <t>6个 × 400/个 = 2,400</t>
        </is>
      </c>
      <c r="O87" s="133" t="n"/>
    </row>
    <row r="88" ht="16" customHeight="1" s="4">
      <c r="A88" s="128" t="inlineStr">
        <is>
          <t>Group D-4</t>
        </is>
      </c>
      <c r="B88" s="71" t="n">
        <v>2</v>
      </c>
      <c r="C88" s="71" t="inlineStr">
        <is>
          <t>DV</t>
        </is>
      </c>
      <c r="D88" s="71" t="inlineStr">
        <is>
          <t>K8</t>
        </is>
      </c>
      <c r="E88" s="129" t="inlineStr">
        <is>
          <t>K8 Dewing Test</t>
        </is>
      </c>
      <c r="F88" s="71" t="inlineStr">
        <is>
          <t>53-58</t>
        </is>
      </c>
      <c r="G88" s="71" t="inlineStr">
        <is>
          <t>1 批</t>
        </is>
      </c>
      <c r="H88" s="71" t="inlineStr">
        <is>
          <t>48 h</t>
        </is>
      </c>
      <c r="I88" s="71" t="inlineStr">
        <is>
          <t>按批次</t>
        </is>
      </c>
      <c r="J88" s="71" t="inlineStr">
        <is>
          <t>委外费用</t>
        </is>
      </c>
      <c r="K88" s="171" t="n"/>
      <c r="L88" s="171" t="n">
        <v>5000</v>
      </c>
      <c r="M88" s="171" t="n">
        <v>5000</v>
      </c>
      <c r="N88" s="132" t="inlineStr">
        <is>
          <t>1批 × 5000/批 = 5,000</t>
        </is>
      </c>
      <c r="O88" s="133" t="n"/>
    </row>
    <row r="89" ht="31" customHeight="1" s="4">
      <c r="A89" s="128" t="inlineStr">
        <is>
          <t>Group D-4</t>
        </is>
      </c>
      <c r="B89" s="71" t="n">
        <v>3</v>
      </c>
      <c r="C89" s="71" t="inlineStr">
        <is>
          <t>DV</t>
        </is>
      </c>
      <c r="D89" s="71" t="inlineStr">
        <is>
          <t>L1&amp;L4</t>
        </is>
      </c>
      <c r="E89" s="129" t="inlineStr">
        <is>
          <t>L1&amp;L4 Performance Evaluation &amp; Functional Evaluation</t>
        </is>
      </c>
      <c r="F89" s="71" t="inlineStr">
        <is>
          <t>53-58</t>
        </is>
      </c>
      <c r="G89" s="71" t="inlineStr">
        <is>
          <t>6 个样品</t>
        </is>
      </c>
      <c r="H89" s="71" t="inlineStr">
        <is>
          <t>48 h</t>
        </is>
      </c>
      <c r="I89" s="71" t="inlineStr">
        <is>
          <t>按样品数量</t>
        </is>
      </c>
      <c r="J89" s="71" t="inlineStr">
        <is>
          <t>委外费用</t>
        </is>
      </c>
      <c r="K89" s="171" t="n"/>
      <c r="L89" s="171" t="n">
        <v>2400</v>
      </c>
      <c r="M89" s="171" t="n">
        <v>2400</v>
      </c>
      <c r="N89" s="132" t="inlineStr">
        <is>
          <t>6个 × 400/个 = 2,400</t>
        </is>
      </c>
      <c r="O89" s="133" t="n"/>
    </row>
    <row r="90" ht="31" customHeight="1" s="4">
      <c r="A90" s="128" t="inlineStr">
        <is>
          <t>Group D-4</t>
        </is>
      </c>
      <c r="B90" s="71" t="n">
        <v>4</v>
      </c>
      <c r="C90" s="71" t="inlineStr">
        <is>
          <t>DV</t>
        </is>
      </c>
      <c r="D90" s="71" t="inlineStr">
        <is>
          <t>L6-photo&amp;xray</t>
        </is>
      </c>
      <c r="E90" s="129" t="inlineStr">
        <is>
          <t>L6-photo&amp;xray</t>
        </is>
      </c>
      <c r="F90" s="71" t="inlineStr">
        <is>
          <t>53-58</t>
        </is>
      </c>
      <c r="G90" s="71" t="inlineStr">
        <is>
          <t>6 个样品</t>
        </is>
      </c>
      <c r="H90" s="71" t="inlineStr">
        <is>
          <t>72 h</t>
        </is>
      </c>
      <c r="I90" s="71" t="inlineStr">
        <is>
          <t>按样品数量</t>
        </is>
      </c>
      <c r="J90" s="71" t="inlineStr">
        <is>
          <t>内部费用</t>
        </is>
      </c>
      <c r="K90" s="171" t="n">
        <v>2400</v>
      </c>
      <c r="L90" s="171" t="n"/>
      <c r="M90" s="171" t="n">
        <v>2400</v>
      </c>
      <c r="N90" s="132" t="inlineStr">
        <is>
          <t>6个 × 400/个 = 2,400</t>
        </is>
      </c>
      <c r="O90" s="133" t="inlineStr">
        <is>
          <t>L6-photo&amp;xray 固定单价 400/个样品；不按实验室报价中值计算</t>
        </is>
      </c>
    </row>
    <row r="91">
      <c r="A91" s="174" t="inlineStr">
        <is>
          <t>Group D-4 Total Cost</t>
        </is>
      </c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3" t="n"/>
      <c r="K91" s="171">
        <f>SUM(K87:K90)</f>
        <v/>
      </c>
      <c r="L91" s="171">
        <f>SUM(L87:L90)</f>
        <v/>
      </c>
      <c r="M91" s="171">
        <f>SUM(M87:M90)</f>
        <v/>
      </c>
      <c r="N91" s="146" t="n"/>
      <c r="O91" s="175" t="n"/>
    </row>
    <row r="92">
      <c r="A92" s="118" t="inlineStr">
        <is>
          <t>Group D-5：DV / Group D Parallel Tests / D-5 Life Test-1</t>
        </is>
      </c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  <c r="N92" s="164" t="n"/>
      <c r="O92" s="163" t="n"/>
    </row>
    <row r="93" ht="16" customHeight="1" s="4">
      <c r="A93" s="128" t="inlineStr">
        <is>
          <t>组别顺序</t>
        </is>
      </c>
      <c r="B93" s="71" t="inlineStr">
        <is>
          <t>组内顺序</t>
        </is>
      </c>
      <c r="C93" s="71" t="inlineStr">
        <is>
          <t>Phase</t>
        </is>
      </c>
      <c r="D93" s="71" t="inlineStr">
        <is>
          <t>测试编号</t>
        </is>
      </c>
      <c r="E93" s="129" t="inlineStr">
        <is>
          <t>测试项目</t>
        </is>
      </c>
      <c r="F93" s="71" t="inlineStr">
        <is>
          <t>样品范围</t>
        </is>
      </c>
      <c r="G93" s="71" t="inlineStr">
        <is>
          <t>计费基数</t>
        </is>
      </c>
      <c r="H93" s="71" t="inlineStr">
        <is>
          <t>测试时间</t>
        </is>
      </c>
      <c r="I93" s="71" t="inlineStr">
        <is>
          <t>计费方式</t>
        </is>
      </c>
      <c r="J93" s="71" t="inlineStr">
        <is>
          <t>费用归属</t>
        </is>
      </c>
      <c r="K93" s="171" t="inlineStr">
        <is>
          <t>内部费用</t>
        </is>
      </c>
      <c r="L93" s="171" t="inlineStr">
        <is>
          <t>委外费用</t>
        </is>
      </c>
      <c r="M93" s="171" t="inlineStr">
        <is>
          <t>费用合计</t>
        </is>
      </c>
      <c r="N93" s="132" t="inlineStr">
        <is>
          <t>费用计算公式</t>
        </is>
      </c>
      <c r="O93" s="146" t="inlineStr">
        <is>
          <t>备注</t>
        </is>
      </c>
    </row>
    <row r="94" ht="31" customHeight="1" s="4">
      <c r="A94" s="128" t="inlineStr">
        <is>
          <t>Group D-5</t>
        </is>
      </c>
      <c r="B94" s="71" t="n">
        <v>1</v>
      </c>
      <c r="C94" s="71" t="inlineStr">
        <is>
          <t>DV</t>
        </is>
      </c>
      <c r="D94" s="71" t="inlineStr">
        <is>
          <t>Optical</t>
        </is>
      </c>
      <c r="E94" s="129" t="inlineStr">
        <is>
          <t>Optical Test</t>
        </is>
      </c>
      <c r="F94" s="71" t="inlineStr">
        <is>
          <t>59-64</t>
        </is>
      </c>
      <c r="G94" s="71" t="inlineStr">
        <is>
          <t>6 个样品</t>
        </is>
      </c>
      <c r="H94" s="71" t="inlineStr">
        <is>
          <t>168 h</t>
        </is>
      </c>
      <c r="I94" s="71" t="inlineStr">
        <is>
          <t>按样品数量</t>
        </is>
      </c>
      <c r="J94" s="71" t="inlineStr">
        <is>
          <t>内部费用</t>
        </is>
      </c>
      <c r="K94" s="171" t="n">
        <v>1510</v>
      </c>
      <c r="L94" s="171" t="n"/>
      <c r="M94" s="171" t="n">
        <v>1510</v>
      </c>
      <c r="N94" s="132" t="inlineStr">
        <is>
          <t>1台×51点位(¥460) + 5台×19点位(¥210) = 460 + 1,050 = 1,510</t>
        </is>
      </c>
      <c r="O94" s="133" t="inlineStr">
        <is>
          <t>Optical Test: 1 台按 51 点位，其余按 19 点位计费</t>
        </is>
      </c>
    </row>
    <row r="95" ht="31" customHeight="1" s="4">
      <c r="A95" s="128" t="inlineStr">
        <is>
          <t>Group D-5</t>
        </is>
      </c>
      <c r="B95" s="71" t="n">
        <v>2</v>
      </c>
      <c r="C95" s="71" t="inlineStr">
        <is>
          <t>DV</t>
        </is>
      </c>
      <c r="D95" s="71" t="inlineStr">
        <is>
          <t>L1&amp;L4</t>
        </is>
      </c>
      <c r="E95" s="129" t="inlineStr">
        <is>
          <t>L1&amp;L4 Performance Evaluation &amp; Functional Evaluation</t>
        </is>
      </c>
      <c r="F95" s="71" t="inlineStr">
        <is>
          <t>59-64</t>
        </is>
      </c>
      <c r="G95" s="71" t="inlineStr">
        <is>
          <t>6 个样品</t>
        </is>
      </c>
      <c r="H95" s="71" t="inlineStr">
        <is>
          <t>72 h</t>
        </is>
      </c>
      <c r="I95" s="71" t="inlineStr">
        <is>
          <t>按样品数量</t>
        </is>
      </c>
      <c r="J95" s="71" t="inlineStr">
        <is>
          <t>委外费用</t>
        </is>
      </c>
      <c r="K95" s="171" t="n"/>
      <c r="L95" s="171" t="n">
        <v>2400</v>
      </c>
      <c r="M95" s="171" t="n">
        <v>2400</v>
      </c>
      <c r="N95" s="132" t="inlineStr">
        <is>
          <t>6个 × 400/个 = 2,400</t>
        </is>
      </c>
      <c r="O95" s="133" t="n"/>
    </row>
    <row r="96" ht="16" customHeight="1" s="4">
      <c r="A96" s="128" t="inlineStr">
        <is>
          <t>Group D-5</t>
        </is>
      </c>
      <c r="B96" s="71" t="n">
        <v>3</v>
      </c>
      <c r="C96" s="71" t="inlineStr">
        <is>
          <t>DV</t>
        </is>
      </c>
      <c r="D96" s="71" t="inlineStr">
        <is>
          <t>K24</t>
        </is>
      </c>
      <c r="E96" s="129" t="inlineStr">
        <is>
          <t>K24 High Temperature Endurance</t>
        </is>
      </c>
      <c r="F96" s="71" t="inlineStr">
        <is>
          <t>59-64</t>
        </is>
      </c>
      <c r="G96" s="71" t="inlineStr">
        <is>
          <t>1000 h</t>
        </is>
      </c>
      <c r="H96" s="71" t="inlineStr">
        <is>
          <t>1000 h</t>
        </is>
      </c>
      <c r="I96" s="71" t="inlineStr">
        <is>
          <t>按小时</t>
        </is>
      </c>
      <c r="J96" s="71" t="inlineStr">
        <is>
          <t>委外费用</t>
        </is>
      </c>
      <c r="K96" s="171" t="n"/>
      <c r="L96" s="171" t="n">
        <v>23000</v>
      </c>
      <c r="M96" s="171" t="n">
        <v>23000</v>
      </c>
      <c r="N96" s="132" t="inlineStr">
        <is>
          <t>1000h × 23/h = 23,000</t>
        </is>
      </c>
      <c r="O96" s="133" t="n"/>
    </row>
    <row r="97" ht="31" customHeight="1" s="4">
      <c r="A97" s="128" t="inlineStr">
        <is>
          <t>Group D-5</t>
        </is>
      </c>
      <c r="B97" s="71" t="n">
        <v>4</v>
      </c>
      <c r="C97" s="71" t="inlineStr">
        <is>
          <t>DV</t>
        </is>
      </c>
      <c r="D97" s="71" t="inlineStr">
        <is>
          <t>L1&amp;L4</t>
        </is>
      </c>
      <c r="E97" s="129" t="inlineStr">
        <is>
          <t>L1&amp;L4 Performance Evaluation &amp; Functional Evaluation</t>
        </is>
      </c>
      <c r="F97" s="71" t="inlineStr">
        <is>
          <t>59-64</t>
        </is>
      </c>
      <c r="G97" s="71" t="inlineStr">
        <is>
          <t>6 个样品</t>
        </is>
      </c>
      <c r="H97" s="71" t="inlineStr">
        <is>
          <t>48 h</t>
        </is>
      </c>
      <c r="I97" s="71" t="inlineStr">
        <is>
          <t>按样品数量</t>
        </is>
      </c>
      <c r="J97" s="71" t="inlineStr">
        <is>
          <t>委外费用</t>
        </is>
      </c>
      <c r="K97" s="171" t="n"/>
      <c r="L97" s="171" t="n">
        <v>2400</v>
      </c>
      <c r="M97" s="171" t="n">
        <v>2400</v>
      </c>
      <c r="N97" s="132" t="inlineStr">
        <is>
          <t>6个 × 400/个 = 2,400</t>
        </is>
      </c>
      <c r="O97" s="133" t="n"/>
    </row>
    <row r="98" ht="31" customHeight="1" s="4">
      <c r="A98" s="128" t="inlineStr">
        <is>
          <t>Group D-5</t>
        </is>
      </c>
      <c r="B98" s="71" t="n">
        <v>5</v>
      </c>
      <c r="C98" s="71" t="inlineStr">
        <is>
          <t>DV</t>
        </is>
      </c>
      <c r="D98" s="71" t="inlineStr">
        <is>
          <t>Optical</t>
        </is>
      </c>
      <c r="E98" s="129" t="inlineStr">
        <is>
          <t>Optical Test</t>
        </is>
      </c>
      <c r="F98" s="71" t="inlineStr">
        <is>
          <t>59-64</t>
        </is>
      </c>
      <c r="G98" s="71" t="inlineStr">
        <is>
          <t>6 个样品</t>
        </is>
      </c>
      <c r="H98" s="71" t="inlineStr">
        <is>
          <t>24 h</t>
        </is>
      </c>
      <c r="I98" s="71" t="inlineStr">
        <is>
          <t>按样品数量</t>
        </is>
      </c>
      <c r="J98" s="71" t="inlineStr">
        <is>
          <t>内部费用</t>
        </is>
      </c>
      <c r="K98" s="171" t="n">
        <v>1510</v>
      </c>
      <c r="L98" s="171" t="n"/>
      <c r="M98" s="171" t="n">
        <v>1510</v>
      </c>
      <c r="N98" s="132" t="inlineStr">
        <is>
          <t>1台×51点位(¥460) + 5台×19点位(¥210) = 460 + 1,050 = 1,510</t>
        </is>
      </c>
      <c r="O98" s="133" t="inlineStr">
        <is>
          <t>Optical Test: 1 台按 51 点位，其余按 19 点位计费</t>
        </is>
      </c>
    </row>
    <row r="99" ht="31" customHeight="1" s="4">
      <c r="A99" s="128" t="inlineStr">
        <is>
          <t>Group D-5</t>
        </is>
      </c>
      <c r="B99" s="71" t="n">
        <v>6</v>
      </c>
      <c r="C99" s="71" t="inlineStr">
        <is>
          <t>DV</t>
        </is>
      </c>
      <c r="D99" s="71" t="inlineStr">
        <is>
          <t>L6-photo&amp;xray</t>
        </is>
      </c>
      <c r="E99" s="129" t="inlineStr">
        <is>
          <t>L6-photo&amp;xray</t>
        </is>
      </c>
      <c r="F99" s="71" t="inlineStr">
        <is>
          <t>59-64</t>
        </is>
      </c>
      <c r="G99" s="71" t="inlineStr">
        <is>
          <t>6 个样品</t>
        </is>
      </c>
      <c r="H99" s="71" t="inlineStr">
        <is>
          <t>72 h</t>
        </is>
      </c>
      <c r="I99" s="71" t="inlineStr">
        <is>
          <t>按样品数量</t>
        </is>
      </c>
      <c r="J99" s="71" t="inlineStr">
        <is>
          <t>内部费用</t>
        </is>
      </c>
      <c r="K99" s="171" t="n">
        <v>2400</v>
      </c>
      <c r="L99" s="171" t="n"/>
      <c r="M99" s="171" t="n">
        <v>2400</v>
      </c>
      <c r="N99" s="132" t="inlineStr">
        <is>
          <t>6个 × 400/个 = 2,400</t>
        </is>
      </c>
      <c r="O99" s="133" t="inlineStr">
        <is>
          <t>L6-photo&amp;xray 固定单价 400/个样品；不按实验室报价中值计算</t>
        </is>
      </c>
    </row>
    <row r="100">
      <c r="A100" s="174" t="inlineStr">
        <is>
          <t>Group D-5 Total Cost</t>
        </is>
      </c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3" t="n"/>
      <c r="K100" s="171">
        <f>SUM(K94:K99)</f>
        <v/>
      </c>
      <c r="L100" s="171">
        <f>SUM(L94:L99)</f>
        <v/>
      </c>
      <c r="M100" s="171">
        <f>SUM(M94:M99)</f>
        <v/>
      </c>
      <c r="N100" s="146" t="n"/>
      <c r="O100" s="175" t="n"/>
    </row>
    <row r="101">
      <c r="A101" s="118" t="inlineStr">
        <is>
          <t>Group D-6：DV / Group D Parallel Tests / D-6 Life Test-2-1</t>
        </is>
      </c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3" t="n"/>
    </row>
    <row r="102" ht="16" customHeight="1" s="4">
      <c r="A102" s="128" t="inlineStr">
        <is>
          <t>组别顺序</t>
        </is>
      </c>
      <c r="B102" s="71" t="inlineStr">
        <is>
          <t>组内顺序</t>
        </is>
      </c>
      <c r="C102" s="71" t="inlineStr">
        <is>
          <t>Phase</t>
        </is>
      </c>
      <c r="D102" s="71" t="inlineStr">
        <is>
          <t>测试编号</t>
        </is>
      </c>
      <c r="E102" s="129" t="inlineStr">
        <is>
          <t>测试项目</t>
        </is>
      </c>
      <c r="F102" s="71" t="inlineStr">
        <is>
          <t>样品范围</t>
        </is>
      </c>
      <c r="G102" s="71" t="inlineStr">
        <is>
          <t>计费基数</t>
        </is>
      </c>
      <c r="H102" s="71" t="inlineStr">
        <is>
          <t>测试时间</t>
        </is>
      </c>
      <c r="I102" s="71" t="inlineStr">
        <is>
          <t>计费方式</t>
        </is>
      </c>
      <c r="J102" s="71" t="inlineStr">
        <is>
          <t>费用归属</t>
        </is>
      </c>
      <c r="K102" s="171" t="inlineStr">
        <is>
          <t>内部费用</t>
        </is>
      </c>
      <c r="L102" s="171" t="inlineStr">
        <is>
          <t>委外费用</t>
        </is>
      </c>
      <c r="M102" s="171" t="inlineStr">
        <is>
          <t>费用合计</t>
        </is>
      </c>
      <c r="N102" s="132" t="inlineStr">
        <is>
          <t>费用计算公式</t>
        </is>
      </c>
      <c r="O102" s="146" t="inlineStr">
        <is>
          <t>备注</t>
        </is>
      </c>
    </row>
    <row r="103" ht="31" customHeight="1" s="4">
      <c r="A103" s="128" t="inlineStr">
        <is>
          <t>Group D-6</t>
        </is>
      </c>
      <c r="B103" s="71" t="n">
        <v>1</v>
      </c>
      <c r="C103" s="71" t="inlineStr">
        <is>
          <t>DV</t>
        </is>
      </c>
      <c r="D103" s="71" t="inlineStr">
        <is>
          <t>Optical</t>
        </is>
      </c>
      <c r="E103" s="129" t="inlineStr">
        <is>
          <t>Optical Test</t>
        </is>
      </c>
      <c r="F103" s="71" t="inlineStr">
        <is>
          <t>65-70</t>
        </is>
      </c>
      <c r="G103" s="71" t="inlineStr">
        <is>
          <t>6 个样品</t>
        </is>
      </c>
      <c r="H103" s="71" t="inlineStr">
        <is>
          <t>168 h</t>
        </is>
      </c>
      <c r="I103" s="71" t="inlineStr">
        <is>
          <t>按样品数量</t>
        </is>
      </c>
      <c r="J103" s="71" t="inlineStr">
        <is>
          <t>内部费用</t>
        </is>
      </c>
      <c r="K103" s="171" t="n">
        <v>1510</v>
      </c>
      <c r="L103" s="171" t="n"/>
      <c r="M103" s="171" t="n">
        <v>1510</v>
      </c>
      <c r="N103" s="132" t="inlineStr">
        <is>
          <t>1台×51点位(¥460) + 5台×19点位(¥210) = 460 + 1,050 = 1,510</t>
        </is>
      </c>
      <c r="O103" s="133" t="inlineStr">
        <is>
          <t>Optical Test: 1 台按 51 点位，其余按 19 点位计费</t>
        </is>
      </c>
    </row>
    <row r="104" ht="31" customHeight="1" s="4">
      <c r="A104" s="128" t="inlineStr">
        <is>
          <t>Group D-6</t>
        </is>
      </c>
      <c r="B104" s="71" t="n">
        <v>2</v>
      </c>
      <c r="C104" s="71" t="inlineStr">
        <is>
          <t>DV</t>
        </is>
      </c>
      <c r="D104" s="71" t="inlineStr">
        <is>
          <t>L1&amp;L4</t>
        </is>
      </c>
      <c r="E104" s="129" t="inlineStr">
        <is>
          <t>L1&amp;L4 Performance Evaluation &amp; Functional Evaluation</t>
        </is>
      </c>
      <c r="F104" s="71" t="inlineStr">
        <is>
          <t>65-70</t>
        </is>
      </c>
      <c r="G104" s="71" t="inlineStr">
        <is>
          <t>6 个样品</t>
        </is>
      </c>
      <c r="H104" s="71" t="inlineStr">
        <is>
          <t>72 h</t>
        </is>
      </c>
      <c r="I104" s="71" t="inlineStr">
        <is>
          <t>按样品数量</t>
        </is>
      </c>
      <c r="J104" s="71" t="inlineStr">
        <is>
          <t>委外费用</t>
        </is>
      </c>
      <c r="K104" s="171" t="n"/>
      <c r="L104" s="171" t="n">
        <v>2400</v>
      </c>
      <c r="M104" s="171" t="n">
        <v>2400</v>
      </c>
      <c r="N104" s="132" t="inlineStr">
        <is>
          <t>6个 × 400/个 = 2,400</t>
        </is>
      </c>
      <c r="O104" s="133" t="n"/>
    </row>
    <row r="105" ht="31" customHeight="1" s="4">
      <c r="A105" s="128" t="inlineStr">
        <is>
          <t>Group D-6</t>
        </is>
      </c>
      <c r="B105" s="71" t="n">
        <v>3</v>
      </c>
      <c r="C105" s="71" t="inlineStr">
        <is>
          <t>DV</t>
        </is>
      </c>
      <c r="D105" s="71" t="inlineStr">
        <is>
          <t>K27</t>
        </is>
      </c>
      <c r="E105" s="129" t="inlineStr">
        <is>
          <t>K27 85/85 High Temperature -High Humidity Endurance</t>
        </is>
      </c>
      <c r="F105" s="71" t="inlineStr">
        <is>
          <t>65-70</t>
        </is>
      </c>
      <c r="G105" s="71" t="inlineStr">
        <is>
          <t>1000 h</t>
        </is>
      </c>
      <c r="H105" s="71" t="inlineStr">
        <is>
          <t>1000 h</t>
        </is>
      </c>
      <c r="I105" s="71" t="inlineStr">
        <is>
          <t>按小时</t>
        </is>
      </c>
      <c r="J105" s="71" t="inlineStr">
        <is>
          <t>委外费用</t>
        </is>
      </c>
      <c r="K105" s="171" t="n"/>
      <c r="L105" s="171" t="n">
        <v>23000</v>
      </c>
      <c r="M105" s="171" t="n">
        <v>23000</v>
      </c>
      <c r="N105" s="132" t="inlineStr">
        <is>
          <t>1000h × 23/h = 23,000</t>
        </is>
      </c>
      <c r="O105" s="133" t="n"/>
    </row>
    <row r="106" ht="31" customHeight="1" s="4">
      <c r="A106" s="128" t="inlineStr">
        <is>
          <t>Group D-6</t>
        </is>
      </c>
      <c r="B106" s="71" t="n">
        <v>4</v>
      </c>
      <c r="C106" s="71" t="inlineStr">
        <is>
          <t>DV</t>
        </is>
      </c>
      <c r="D106" s="71" t="inlineStr">
        <is>
          <t>L1&amp;L4</t>
        </is>
      </c>
      <c r="E106" s="129" t="inlineStr">
        <is>
          <t>L1&amp;L4 Performance Evaluation &amp; Functional Evaluation</t>
        </is>
      </c>
      <c r="F106" s="71" t="inlineStr">
        <is>
          <t>65-70</t>
        </is>
      </c>
      <c r="G106" s="71" t="inlineStr">
        <is>
          <t>6 个样品</t>
        </is>
      </c>
      <c r="H106" s="71" t="inlineStr">
        <is>
          <t>48 h</t>
        </is>
      </c>
      <c r="I106" s="71" t="inlineStr">
        <is>
          <t>按样品数量</t>
        </is>
      </c>
      <c r="J106" s="71" t="inlineStr">
        <is>
          <t>委外费用</t>
        </is>
      </c>
      <c r="K106" s="171" t="n"/>
      <c r="L106" s="171" t="n">
        <v>2400</v>
      </c>
      <c r="M106" s="171" t="n">
        <v>2400</v>
      </c>
      <c r="N106" s="132" t="inlineStr">
        <is>
          <t>6个 × 400/个 = 2,400</t>
        </is>
      </c>
      <c r="O106" s="133" t="n"/>
    </row>
    <row r="107" ht="31" customHeight="1" s="4">
      <c r="A107" s="128" t="inlineStr">
        <is>
          <t>Group D-6</t>
        </is>
      </c>
      <c r="B107" s="71" t="n">
        <v>5</v>
      </c>
      <c r="C107" s="71" t="inlineStr">
        <is>
          <t>DV</t>
        </is>
      </c>
      <c r="D107" s="71" t="inlineStr">
        <is>
          <t>L6-photo&amp;xray</t>
        </is>
      </c>
      <c r="E107" s="129" t="inlineStr">
        <is>
          <t>L6-photo&amp;xray</t>
        </is>
      </c>
      <c r="F107" s="71" t="inlineStr">
        <is>
          <t>65-70</t>
        </is>
      </c>
      <c r="G107" s="71" t="inlineStr">
        <is>
          <t>6 个样品</t>
        </is>
      </c>
      <c r="H107" s="71" t="inlineStr">
        <is>
          <t>72 h</t>
        </is>
      </c>
      <c r="I107" s="71" t="inlineStr">
        <is>
          <t>按样品数量</t>
        </is>
      </c>
      <c r="J107" s="71" t="inlineStr">
        <is>
          <t>内部费用</t>
        </is>
      </c>
      <c r="K107" s="171" t="n">
        <v>2400</v>
      </c>
      <c r="L107" s="171" t="n"/>
      <c r="M107" s="171" t="n">
        <v>2400</v>
      </c>
      <c r="N107" s="132" t="inlineStr">
        <is>
          <t>6个 × 400/个 = 2,400</t>
        </is>
      </c>
      <c r="O107" s="133" t="inlineStr">
        <is>
          <t>L6-photo&amp;xray 固定单价 400/个样品；不按实验室报价中值计算</t>
        </is>
      </c>
    </row>
    <row r="108">
      <c r="A108" s="174" t="inlineStr">
        <is>
          <t>Group D-6 Total Cost</t>
        </is>
      </c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3" t="n"/>
      <c r="K108" s="171">
        <f>SUM(K103:K107)</f>
        <v/>
      </c>
      <c r="L108" s="171">
        <f>SUM(L103:L107)</f>
        <v/>
      </c>
      <c r="M108" s="171">
        <f>SUM(M103:M107)</f>
        <v/>
      </c>
      <c r="N108" s="146" t="n"/>
      <c r="O108" s="175" t="n"/>
    </row>
    <row r="109">
      <c r="A109" s="118" t="inlineStr">
        <is>
          <t>Group D-7：DV / Group D Parallel Tests / D-7 Life Test-2-2</t>
        </is>
      </c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3" t="n"/>
    </row>
    <row r="110" ht="16" customHeight="1" s="4">
      <c r="A110" s="128" t="inlineStr">
        <is>
          <t>组别顺序</t>
        </is>
      </c>
      <c r="B110" s="71" t="inlineStr">
        <is>
          <t>组内顺序</t>
        </is>
      </c>
      <c r="C110" s="71" t="inlineStr">
        <is>
          <t>Phase</t>
        </is>
      </c>
      <c r="D110" s="71" t="inlineStr">
        <is>
          <t>测试编号</t>
        </is>
      </c>
      <c r="E110" s="129" t="inlineStr">
        <is>
          <t>测试项目</t>
        </is>
      </c>
      <c r="F110" s="71" t="inlineStr">
        <is>
          <t>样品范围</t>
        </is>
      </c>
      <c r="G110" s="71" t="inlineStr">
        <is>
          <t>计费基数</t>
        </is>
      </c>
      <c r="H110" s="71" t="inlineStr">
        <is>
          <t>测试时间</t>
        </is>
      </c>
      <c r="I110" s="71" t="inlineStr">
        <is>
          <t>计费方式</t>
        </is>
      </c>
      <c r="J110" s="71" t="inlineStr">
        <is>
          <t>费用归属</t>
        </is>
      </c>
      <c r="K110" s="171" t="inlineStr">
        <is>
          <t>内部费用</t>
        </is>
      </c>
      <c r="L110" s="171" t="inlineStr">
        <is>
          <t>委外费用</t>
        </is>
      </c>
      <c r="M110" s="171" t="inlineStr">
        <is>
          <t>费用合计</t>
        </is>
      </c>
      <c r="N110" s="132" t="inlineStr">
        <is>
          <t>费用计算公式</t>
        </is>
      </c>
      <c r="O110" s="146" t="inlineStr">
        <is>
          <t>备注</t>
        </is>
      </c>
    </row>
    <row r="111" ht="31" customHeight="1" s="4">
      <c r="A111" s="128" t="inlineStr">
        <is>
          <t>Group D-7</t>
        </is>
      </c>
      <c r="B111" s="71" t="n">
        <v>1</v>
      </c>
      <c r="C111" s="71" t="inlineStr">
        <is>
          <t>DV</t>
        </is>
      </c>
      <c r="D111" s="71" t="inlineStr">
        <is>
          <t>Optical</t>
        </is>
      </c>
      <c r="E111" s="129" t="inlineStr">
        <is>
          <t>Optical Test</t>
        </is>
      </c>
      <c r="F111" s="71" t="inlineStr">
        <is>
          <t>71-76</t>
        </is>
      </c>
      <c r="G111" s="71" t="inlineStr">
        <is>
          <t>6 个样品</t>
        </is>
      </c>
      <c r="H111" s="71" t="inlineStr">
        <is>
          <t>168 h</t>
        </is>
      </c>
      <c r="I111" s="71" t="inlineStr">
        <is>
          <t>按样品数量</t>
        </is>
      </c>
      <c r="J111" s="71" t="inlineStr">
        <is>
          <t>内部费用</t>
        </is>
      </c>
      <c r="K111" s="171" t="n">
        <v>1510</v>
      </c>
      <c r="L111" s="171" t="n"/>
      <c r="M111" s="171" t="n">
        <v>1510</v>
      </c>
      <c r="N111" s="132" t="inlineStr">
        <is>
          <t>1台×51点位(¥460) + 5台×19点位(¥210) = 460 + 1,050 = 1,510</t>
        </is>
      </c>
      <c r="O111" s="133" t="inlineStr">
        <is>
          <t>Optical Test: 1 台按 51 点位，其余按 19 点位计费</t>
        </is>
      </c>
    </row>
    <row r="112" ht="31" customHeight="1" s="4">
      <c r="A112" s="128" t="inlineStr">
        <is>
          <t>Group D-7</t>
        </is>
      </c>
      <c r="B112" s="71" t="n">
        <v>2</v>
      </c>
      <c r="C112" s="71" t="inlineStr">
        <is>
          <t>DV</t>
        </is>
      </c>
      <c r="D112" s="71" t="inlineStr">
        <is>
          <t>L1&amp;L4</t>
        </is>
      </c>
      <c r="E112" s="129" t="inlineStr">
        <is>
          <t>L1&amp;L4 Performance Evaluation &amp; Functional Evaluation</t>
        </is>
      </c>
      <c r="F112" s="71" t="inlineStr">
        <is>
          <t>71-76</t>
        </is>
      </c>
      <c r="G112" s="71" t="inlineStr">
        <is>
          <t>6 个样品</t>
        </is>
      </c>
      <c r="H112" s="71" t="inlineStr">
        <is>
          <t>72 h</t>
        </is>
      </c>
      <c r="I112" s="71" t="inlineStr">
        <is>
          <t>按样品数量</t>
        </is>
      </c>
      <c r="J112" s="71" t="inlineStr">
        <is>
          <t>委外费用</t>
        </is>
      </c>
      <c r="K112" s="171" t="n"/>
      <c r="L112" s="171" t="n">
        <v>2400</v>
      </c>
      <c r="M112" s="171" t="n">
        <v>2400</v>
      </c>
      <c r="N112" s="132" t="inlineStr">
        <is>
          <t>6个 × 400/个 = 2,400</t>
        </is>
      </c>
      <c r="O112" s="133" t="n"/>
    </row>
    <row r="113" ht="31" customHeight="1" s="4">
      <c r="A113" s="128" t="inlineStr">
        <is>
          <t>Group D-7</t>
        </is>
      </c>
      <c r="B113" s="71" t="n">
        <v>3</v>
      </c>
      <c r="C113" s="71" t="inlineStr">
        <is>
          <t>DV</t>
        </is>
      </c>
      <c r="D113" s="71" t="inlineStr">
        <is>
          <t>K27</t>
        </is>
      </c>
      <c r="E113" s="129" t="inlineStr">
        <is>
          <t>K27 60/95 High Temperature -High Humidity Endurance</t>
        </is>
      </c>
      <c r="F113" s="71" t="inlineStr">
        <is>
          <t>71-76</t>
        </is>
      </c>
      <c r="G113" s="71" t="inlineStr">
        <is>
          <t>1100 h</t>
        </is>
      </c>
      <c r="H113" s="71" t="inlineStr">
        <is>
          <t>1100 h</t>
        </is>
      </c>
      <c r="I113" s="71" t="inlineStr">
        <is>
          <t>按小时</t>
        </is>
      </c>
      <c r="J113" s="71" t="inlineStr">
        <is>
          <t>委外费用</t>
        </is>
      </c>
      <c r="K113" s="171" t="n"/>
      <c r="L113" s="171" t="n">
        <v>25300</v>
      </c>
      <c r="M113" s="171" t="n">
        <v>25300</v>
      </c>
      <c r="N113" s="132" t="inlineStr">
        <is>
          <t>1100h × 23/h = 25,300</t>
        </is>
      </c>
      <c r="O113" s="133" t="n"/>
    </row>
    <row r="114" ht="31" customHeight="1" s="4">
      <c r="A114" s="128" t="inlineStr">
        <is>
          <t>Group D-7</t>
        </is>
      </c>
      <c r="B114" s="71" t="n">
        <v>4</v>
      </c>
      <c r="C114" s="71" t="inlineStr">
        <is>
          <t>DV</t>
        </is>
      </c>
      <c r="D114" s="71" t="inlineStr">
        <is>
          <t>L1&amp;L4</t>
        </is>
      </c>
      <c r="E114" s="129" t="inlineStr">
        <is>
          <t>L1&amp;L4 Performance Evaluation &amp; Functional Evaluation</t>
        </is>
      </c>
      <c r="F114" s="71" t="inlineStr">
        <is>
          <t>71-76</t>
        </is>
      </c>
      <c r="G114" s="71" t="inlineStr">
        <is>
          <t>6 个样品</t>
        </is>
      </c>
      <c r="H114" s="71" t="inlineStr">
        <is>
          <t>48 h</t>
        </is>
      </c>
      <c r="I114" s="71" t="inlineStr">
        <is>
          <t>按样品数量</t>
        </is>
      </c>
      <c r="J114" s="71" t="inlineStr">
        <is>
          <t>委外费用</t>
        </is>
      </c>
      <c r="K114" s="171" t="n"/>
      <c r="L114" s="171" t="n">
        <v>2400</v>
      </c>
      <c r="M114" s="171" t="n">
        <v>2400</v>
      </c>
      <c r="N114" s="132" t="inlineStr">
        <is>
          <t>6个 × 400/个 = 2,400</t>
        </is>
      </c>
      <c r="O114" s="133" t="n"/>
    </row>
    <row r="115" ht="31" customHeight="1" s="4">
      <c r="A115" s="128" t="inlineStr">
        <is>
          <t>Group D-7</t>
        </is>
      </c>
      <c r="B115" s="71" t="n">
        <v>5</v>
      </c>
      <c r="C115" s="71" t="inlineStr">
        <is>
          <t>DV</t>
        </is>
      </c>
      <c r="D115" s="71" t="inlineStr">
        <is>
          <t>Optical</t>
        </is>
      </c>
      <c r="E115" s="129" t="inlineStr">
        <is>
          <t>Optical Test</t>
        </is>
      </c>
      <c r="F115" s="71" t="inlineStr">
        <is>
          <t>71-76</t>
        </is>
      </c>
      <c r="G115" s="71" t="inlineStr">
        <is>
          <t>6 个样品</t>
        </is>
      </c>
      <c r="H115" s="71" t="inlineStr">
        <is>
          <t>24 h</t>
        </is>
      </c>
      <c r="I115" s="71" t="inlineStr">
        <is>
          <t>按样品数量</t>
        </is>
      </c>
      <c r="J115" s="71" t="inlineStr">
        <is>
          <t>内部费用</t>
        </is>
      </c>
      <c r="K115" s="171" t="n">
        <v>1510</v>
      </c>
      <c r="L115" s="171" t="n"/>
      <c r="M115" s="171" t="n">
        <v>1510</v>
      </c>
      <c r="N115" s="132" t="inlineStr">
        <is>
          <t>1台×51点位(¥460) + 5台×19点位(¥210) = 460 + 1,050 = 1,510</t>
        </is>
      </c>
      <c r="O115" s="133" t="inlineStr">
        <is>
          <t>Optical Test: 1 台按 51 点位，其余按 19 点位计费</t>
        </is>
      </c>
    </row>
    <row r="116" ht="31" customHeight="1" s="4">
      <c r="A116" s="128" t="inlineStr">
        <is>
          <t>Group D-7</t>
        </is>
      </c>
      <c r="B116" s="71" t="n">
        <v>6</v>
      </c>
      <c r="C116" s="71" t="inlineStr">
        <is>
          <t>DV</t>
        </is>
      </c>
      <c r="D116" s="71" t="inlineStr">
        <is>
          <t>L6-photo&amp;xray</t>
        </is>
      </c>
      <c r="E116" s="129" t="inlineStr">
        <is>
          <t>L6-photo&amp;xray</t>
        </is>
      </c>
      <c r="F116" s="71" t="inlineStr">
        <is>
          <t>71-76</t>
        </is>
      </c>
      <c r="G116" s="71" t="inlineStr">
        <is>
          <t>6 个样品</t>
        </is>
      </c>
      <c r="H116" s="71" t="inlineStr">
        <is>
          <t>72 h</t>
        </is>
      </c>
      <c r="I116" s="71" t="inlineStr">
        <is>
          <t>按样品数量</t>
        </is>
      </c>
      <c r="J116" s="71" t="inlineStr">
        <is>
          <t>内部费用</t>
        </is>
      </c>
      <c r="K116" s="171" t="n">
        <v>2400</v>
      </c>
      <c r="L116" s="171" t="n"/>
      <c r="M116" s="171" t="n">
        <v>2400</v>
      </c>
      <c r="N116" s="132" t="inlineStr">
        <is>
          <t>6个 × 400/个 = 2,400</t>
        </is>
      </c>
      <c r="O116" s="133" t="inlineStr">
        <is>
          <t>L6-photo&amp;xray 固定单价 400/个样品；不按实验室报价中值计算</t>
        </is>
      </c>
    </row>
    <row r="117">
      <c r="A117" s="174" t="inlineStr">
        <is>
          <t>Group D-7 Total Cost</t>
        </is>
      </c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3" t="n"/>
      <c r="K117" s="171">
        <f>SUM(K111:K116)</f>
        <v/>
      </c>
      <c r="L117" s="171">
        <f>SUM(L111:L116)</f>
        <v/>
      </c>
      <c r="M117" s="171">
        <f>SUM(M111:M116)</f>
        <v/>
      </c>
      <c r="N117" s="146" t="n"/>
      <c r="O117" s="175" t="n"/>
    </row>
    <row r="118">
      <c r="A118" s="118" t="inlineStr">
        <is>
          <t>Group D-9：DV / Group D Parallel Tests / D-9</t>
        </is>
      </c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3" t="n"/>
    </row>
    <row r="119" ht="16" customHeight="1" s="4">
      <c r="A119" s="128" t="inlineStr">
        <is>
          <t>组别顺序</t>
        </is>
      </c>
      <c r="B119" s="71" t="inlineStr">
        <is>
          <t>组内顺序</t>
        </is>
      </c>
      <c r="C119" s="71" t="inlineStr">
        <is>
          <t>Phase</t>
        </is>
      </c>
      <c r="D119" s="71" t="inlineStr">
        <is>
          <t>测试编号</t>
        </is>
      </c>
      <c r="E119" s="129" t="inlineStr">
        <is>
          <t>测试项目</t>
        </is>
      </c>
      <c r="F119" s="71" t="inlineStr">
        <is>
          <t>样品范围</t>
        </is>
      </c>
      <c r="G119" s="71" t="inlineStr">
        <is>
          <t>计费基数</t>
        </is>
      </c>
      <c r="H119" s="71" t="inlineStr">
        <is>
          <t>测试时间</t>
        </is>
      </c>
      <c r="I119" s="71" t="inlineStr">
        <is>
          <t>计费方式</t>
        </is>
      </c>
      <c r="J119" s="71" t="inlineStr">
        <is>
          <t>费用归属</t>
        </is>
      </c>
      <c r="K119" s="171" t="inlineStr">
        <is>
          <t>内部费用</t>
        </is>
      </c>
      <c r="L119" s="171" t="inlineStr">
        <is>
          <t>委外费用</t>
        </is>
      </c>
      <c r="M119" s="171" t="inlineStr">
        <is>
          <t>费用合计</t>
        </is>
      </c>
      <c r="N119" s="132" t="inlineStr">
        <is>
          <t>费用计算公式</t>
        </is>
      </c>
      <c r="O119" s="146" t="inlineStr">
        <is>
          <t>备注</t>
        </is>
      </c>
    </row>
    <row r="120" ht="31" customHeight="1" s="4">
      <c r="A120" s="128" t="inlineStr">
        <is>
          <t>Group D-9</t>
        </is>
      </c>
      <c r="B120" s="71" t="n">
        <v>1</v>
      </c>
      <c r="C120" s="71" t="inlineStr">
        <is>
          <t>DV</t>
        </is>
      </c>
      <c r="D120" s="71" t="inlineStr">
        <is>
          <t>Optical</t>
        </is>
      </c>
      <c r="E120" s="129" t="inlineStr">
        <is>
          <t>Optical Test</t>
        </is>
      </c>
      <c r="F120" s="71" t="inlineStr">
        <is>
          <t>77-82</t>
        </is>
      </c>
      <c r="G120" s="71" t="inlineStr">
        <is>
          <t>6 个样品</t>
        </is>
      </c>
      <c r="H120" s="71" t="inlineStr">
        <is>
          <t>168 h</t>
        </is>
      </c>
      <c r="I120" s="71" t="inlineStr">
        <is>
          <t>按样品数量</t>
        </is>
      </c>
      <c r="J120" s="71" t="inlineStr">
        <is>
          <t>内部费用</t>
        </is>
      </c>
      <c r="K120" s="171" t="n">
        <v>1510</v>
      </c>
      <c r="L120" s="171" t="n"/>
      <c r="M120" s="171" t="n">
        <v>1510</v>
      </c>
      <c r="N120" s="132" t="inlineStr">
        <is>
          <t>1台×51点位(¥460) + 5台×19点位(¥210) = 460 + 1,050 = 1,510</t>
        </is>
      </c>
      <c r="O120" s="133" t="inlineStr">
        <is>
          <t>Optical Test: 1 台按 51 点位，其余按 19 点位计费</t>
        </is>
      </c>
    </row>
    <row r="121" ht="31" customHeight="1" s="4">
      <c r="A121" s="128" t="inlineStr">
        <is>
          <t>Group D-9</t>
        </is>
      </c>
      <c r="B121" s="71" t="n">
        <v>2</v>
      </c>
      <c r="C121" s="71" t="inlineStr">
        <is>
          <t>DV</t>
        </is>
      </c>
      <c r="D121" s="71" t="inlineStr">
        <is>
          <t>L1&amp;L4</t>
        </is>
      </c>
      <c r="E121" s="129" t="inlineStr">
        <is>
          <t>L1&amp;L4 Performance Evaluation &amp; Functional Evaluation</t>
        </is>
      </c>
      <c r="F121" s="71" t="inlineStr">
        <is>
          <t>77-82</t>
        </is>
      </c>
      <c r="G121" s="71" t="inlineStr">
        <is>
          <t>6 个样品</t>
        </is>
      </c>
      <c r="H121" s="71" t="inlineStr">
        <is>
          <t>72 h</t>
        </is>
      </c>
      <c r="I121" s="71" t="inlineStr">
        <is>
          <t>按样品数量</t>
        </is>
      </c>
      <c r="J121" s="71" t="inlineStr">
        <is>
          <t>委外费用</t>
        </is>
      </c>
      <c r="K121" s="171" t="n"/>
      <c r="L121" s="171" t="n">
        <v>2400</v>
      </c>
      <c r="M121" s="171" t="n">
        <v>2400</v>
      </c>
      <c r="N121" s="132" t="inlineStr">
        <is>
          <t>6个 × 400/个 = 2,400</t>
        </is>
      </c>
      <c r="O121" s="133" t="n"/>
    </row>
    <row r="122" ht="16" customHeight="1" s="4">
      <c r="A122" s="128" t="inlineStr">
        <is>
          <t>Group D-9</t>
        </is>
      </c>
      <c r="B122" s="71" t="n">
        <v>3</v>
      </c>
      <c r="C122" s="71" t="inlineStr">
        <is>
          <t>DV</t>
        </is>
      </c>
      <c r="D122" s="71" t="inlineStr">
        <is>
          <t>K52.351</t>
        </is>
      </c>
      <c r="E122" s="129" t="inlineStr">
        <is>
          <t>K52.351 Condensing humidity</t>
        </is>
      </c>
      <c r="F122" s="71" t="inlineStr">
        <is>
          <t>77-82</t>
        </is>
      </c>
      <c r="G122" s="71" t="inlineStr">
        <is>
          <t>120 h</t>
        </is>
      </c>
      <c r="H122" s="71" t="inlineStr">
        <is>
          <t>120 h</t>
        </is>
      </c>
      <c r="I122" s="71" t="inlineStr">
        <is>
          <t>按小时</t>
        </is>
      </c>
      <c r="J122" s="71" t="inlineStr">
        <is>
          <t>委外费用</t>
        </is>
      </c>
      <c r="K122" s="171" t="n"/>
      <c r="L122" s="171" t="n">
        <v>6600</v>
      </c>
      <c r="M122" s="171" t="n">
        <v>6600</v>
      </c>
      <c r="N122" s="132" t="inlineStr">
        <is>
          <t>120h × 55/h = 6,600</t>
        </is>
      </c>
      <c r="O122" s="133" t="n"/>
    </row>
    <row r="123" ht="31" customHeight="1" s="4">
      <c r="A123" s="128" t="inlineStr">
        <is>
          <t>Group D-9</t>
        </is>
      </c>
      <c r="B123" s="71" t="n">
        <v>4</v>
      </c>
      <c r="C123" s="71" t="inlineStr">
        <is>
          <t>DV</t>
        </is>
      </c>
      <c r="D123" s="71" t="inlineStr">
        <is>
          <t>L1&amp;L4</t>
        </is>
      </c>
      <c r="E123" s="129" t="inlineStr">
        <is>
          <t>L1&amp;L4 Performance Evaluation &amp; Functional Evaluation</t>
        </is>
      </c>
      <c r="F123" s="71" t="inlineStr">
        <is>
          <t>77-82</t>
        </is>
      </c>
      <c r="G123" s="71" t="inlineStr">
        <is>
          <t>6 个样品</t>
        </is>
      </c>
      <c r="H123" s="71" t="inlineStr">
        <is>
          <t>48 h</t>
        </is>
      </c>
      <c r="I123" s="71" t="inlineStr">
        <is>
          <t>按样品数量</t>
        </is>
      </c>
      <c r="J123" s="71" t="inlineStr">
        <is>
          <t>委外费用</t>
        </is>
      </c>
      <c r="K123" s="171" t="n"/>
      <c r="L123" s="171" t="n">
        <v>2400</v>
      </c>
      <c r="M123" s="171" t="n">
        <v>2400</v>
      </c>
      <c r="N123" s="132" t="inlineStr">
        <is>
          <t>6个 × 400/个 = 2,400</t>
        </is>
      </c>
      <c r="O123" s="133" t="n"/>
    </row>
    <row r="124" ht="31" customHeight="1" s="4">
      <c r="A124" s="128" t="inlineStr">
        <is>
          <t>Group D-9</t>
        </is>
      </c>
      <c r="B124" s="71" t="n">
        <v>5</v>
      </c>
      <c r="C124" s="71" t="inlineStr">
        <is>
          <t>DV</t>
        </is>
      </c>
      <c r="D124" s="71" t="inlineStr">
        <is>
          <t>Optical</t>
        </is>
      </c>
      <c r="E124" s="129" t="inlineStr">
        <is>
          <t>Optical Test</t>
        </is>
      </c>
      <c r="F124" s="71" t="inlineStr">
        <is>
          <t>77-82</t>
        </is>
      </c>
      <c r="G124" s="71" t="inlineStr">
        <is>
          <t>6 个样品</t>
        </is>
      </c>
      <c r="H124" s="71" t="inlineStr">
        <is>
          <t>24 h</t>
        </is>
      </c>
      <c r="I124" s="71" t="inlineStr">
        <is>
          <t>按样品数量</t>
        </is>
      </c>
      <c r="J124" s="71" t="inlineStr">
        <is>
          <t>内部费用</t>
        </is>
      </c>
      <c r="K124" s="171" t="n">
        <v>1510</v>
      </c>
      <c r="L124" s="171" t="n"/>
      <c r="M124" s="171" t="n">
        <v>1510</v>
      </c>
      <c r="N124" s="132" t="inlineStr">
        <is>
          <t>1台×51点位(¥460) + 5台×19点位(¥210) = 460 + 1,050 = 1,510</t>
        </is>
      </c>
      <c r="O124" s="133" t="inlineStr">
        <is>
          <t>Optical Test: 1 台按 51 点位，其余按 19 点位计费</t>
        </is>
      </c>
    </row>
    <row r="125" ht="31.75" customHeight="1" s="4">
      <c r="A125" s="147" t="inlineStr">
        <is>
          <t>Group D-9</t>
        </is>
      </c>
      <c r="B125" s="148" t="n">
        <v>6</v>
      </c>
      <c r="C125" s="148" t="inlineStr">
        <is>
          <t>DV</t>
        </is>
      </c>
      <c r="D125" s="148" t="inlineStr">
        <is>
          <t>L6-photo&amp;xray</t>
        </is>
      </c>
      <c r="E125" s="149" t="inlineStr">
        <is>
          <t>L6-photo&amp;xray</t>
        </is>
      </c>
      <c r="F125" s="148" t="inlineStr">
        <is>
          <t>77-82</t>
        </is>
      </c>
      <c r="G125" s="148" t="inlineStr">
        <is>
          <t>6 个样品</t>
        </is>
      </c>
      <c r="H125" s="148" t="inlineStr">
        <is>
          <t>72 h</t>
        </is>
      </c>
      <c r="I125" s="148" t="inlineStr">
        <is>
          <t>按样品数量</t>
        </is>
      </c>
      <c r="J125" s="148" t="inlineStr">
        <is>
          <t>内部费用</t>
        </is>
      </c>
      <c r="K125" s="176" t="n">
        <v>2400</v>
      </c>
      <c r="L125" s="176" t="n"/>
      <c r="M125" s="176" t="n">
        <v>2400</v>
      </c>
      <c r="N125" s="151" t="inlineStr">
        <is>
          <t>6个 × 400/个 = 2,400</t>
        </is>
      </c>
      <c r="O125" s="152" t="inlineStr">
        <is>
          <t>L6-photo&amp;xray 固定单价 400/个样品；不按实验室报价中值计算</t>
        </is>
      </c>
    </row>
    <row r="126">
      <c r="A126" s="174" t="inlineStr">
        <is>
          <t>Group D-9 Total Cost</t>
        </is>
      </c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3" t="n"/>
      <c r="K126" s="171">
        <f>SUM(K120:K125)</f>
        <v/>
      </c>
      <c r="L126" s="171">
        <f>SUM(L120:L125)</f>
        <v/>
      </c>
      <c r="M126" s="171">
        <f>SUM(M120:M125)</f>
        <v/>
      </c>
      <c r="N126" s="146" t="n"/>
      <c r="O126" s="175" t="n"/>
    </row>
    <row r="127">
      <c r="A127" s="118" t="inlineStr">
        <is>
          <t>Group E-1：DV / Group F Other Tests / Restricted Substance</t>
        </is>
      </c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3" t="n"/>
    </row>
    <row r="128" ht="16" customHeight="1" s="4">
      <c r="A128" s="128" t="inlineStr">
        <is>
          <t>组别顺序</t>
        </is>
      </c>
      <c r="B128" s="71" t="inlineStr">
        <is>
          <t>组内顺序</t>
        </is>
      </c>
      <c r="C128" s="71" t="inlineStr">
        <is>
          <t>Phase</t>
        </is>
      </c>
      <c r="D128" s="71" t="inlineStr">
        <is>
          <t>测试编号</t>
        </is>
      </c>
      <c r="E128" s="129" t="inlineStr">
        <is>
          <t>测试项目</t>
        </is>
      </c>
      <c r="F128" s="71" t="inlineStr">
        <is>
          <t>样品范围</t>
        </is>
      </c>
      <c r="G128" s="71" t="inlineStr">
        <is>
          <t>计费基数</t>
        </is>
      </c>
      <c r="H128" s="71" t="inlineStr">
        <is>
          <t>测试时间</t>
        </is>
      </c>
      <c r="I128" s="71" t="inlineStr">
        <is>
          <t>计费方式</t>
        </is>
      </c>
      <c r="J128" s="71" t="inlineStr">
        <is>
          <t>费用归属</t>
        </is>
      </c>
      <c r="K128" s="171" t="inlineStr">
        <is>
          <t>内部费用</t>
        </is>
      </c>
      <c r="L128" s="171" t="inlineStr">
        <is>
          <t>委外费用</t>
        </is>
      </c>
      <c r="M128" s="171" t="inlineStr">
        <is>
          <t>费用合计</t>
        </is>
      </c>
      <c r="N128" s="132" t="inlineStr">
        <is>
          <t>费用计算公式</t>
        </is>
      </c>
      <c r="O128" s="146" t="inlineStr">
        <is>
          <t>备注</t>
        </is>
      </c>
    </row>
    <row r="129" ht="31" customHeight="1" s="4">
      <c r="A129" s="134" t="inlineStr">
        <is>
          <t>Group E-1</t>
        </is>
      </c>
      <c r="B129" s="135" t="n">
        <v>1</v>
      </c>
      <c r="C129" s="135" t="inlineStr">
        <is>
          <t>DV</t>
        </is>
      </c>
      <c r="D129" s="135" t="inlineStr">
        <is>
          <t>E-1</t>
        </is>
      </c>
      <c r="E129" s="136" t="inlineStr">
        <is>
          <t>E-1 Restricted Substance Management</t>
        </is>
      </c>
      <c r="F129" s="135" t="inlineStr">
        <is>
          <t>83</t>
        </is>
      </c>
      <c r="G129" s="135" t="inlineStr">
        <is>
          <t>1 个样品</t>
        </is>
      </c>
      <c r="H129" s="135" t="inlineStr">
        <is>
          <t>960 h</t>
        </is>
      </c>
      <c r="I129" s="135" t="inlineStr">
        <is>
          <t>固定总价</t>
        </is>
      </c>
      <c r="J129" s="135" t="inlineStr">
        <is>
          <t>委外费用</t>
        </is>
      </c>
      <c r="K129" s="173" t="n"/>
      <c r="L129" s="173" t="n">
        <v>20000</v>
      </c>
      <c r="M129" s="173" t="n">
        <v>20000</v>
      </c>
      <c r="N129" s="138" t="inlineStr">
        <is>
          <t>固定总价 20000 (含评估费 1500)</t>
        </is>
      </c>
      <c r="O129" s="139" t="inlineStr">
        <is>
          <t>禁限用物质总价 20000，其中 1500 为评估费</t>
        </is>
      </c>
    </row>
    <row r="130">
      <c r="A130" s="174" t="inlineStr">
        <is>
          <t>Group E-1 Total Cost</t>
        </is>
      </c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3" t="n"/>
      <c r="K130" s="171">
        <f>SUM(K129:K129)</f>
        <v/>
      </c>
      <c r="L130" s="171">
        <f>SUM(L129:L129)</f>
        <v/>
      </c>
      <c r="M130" s="171">
        <f>SUM(M129:M129)</f>
        <v/>
      </c>
      <c r="N130" s="146" t="n"/>
      <c r="O130" s="175" t="n"/>
    </row>
    <row r="131">
      <c r="A131" s="118" t="inlineStr">
        <is>
          <t>Group E-2：DV / Group F Other Tests / Noise test</t>
        </is>
      </c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3" t="n"/>
    </row>
    <row r="132" ht="16" customHeight="1" s="4">
      <c r="A132" s="128" t="inlineStr">
        <is>
          <t>组别顺序</t>
        </is>
      </c>
      <c r="B132" s="71" t="inlineStr">
        <is>
          <t>组内顺序</t>
        </is>
      </c>
      <c r="C132" s="71" t="inlineStr">
        <is>
          <t>Phase</t>
        </is>
      </c>
      <c r="D132" s="71" t="inlineStr">
        <is>
          <t>测试编号</t>
        </is>
      </c>
      <c r="E132" s="129" t="inlineStr">
        <is>
          <t>测试项目</t>
        </is>
      </c>
      <c r="F132" s="71" t="inlineStr">
        <is>
          <t>样品范围</t>
        </is>
      </c>
      <c r="G132" s="71" t="inlineStr">
        <is>
          <t>计费基数</t>
        </is>
      </c>
      <c r="H132" s="71" t="inlineStr">
        <is>
          <t>测试时间</t>
        </is>
      </c>
      <c r="I132" s="71" t="inlineStr">
        <is>
          <t>计费方式</t>
        </is>
      </c>
      <c r="J132" s="71" t="inlineStr">
        <is>
          <t>费用归属</t>
        </is>
      </c>
      <c r="K132" s="171" t="inlineStr">
        <is>
          <t>内部费用</t>
        </is>
      </c>
      <c r="L132" s="171" t="inlineStr">
        <is>
          <t>委外费用</t>
        </is>
      </c>
      <c r="M132" s="171" t="inlineStr">
        <is>
          <t>费用合计</t>
        </is>
      </c>
      <c r="N132" s="132" t="inlineStr">
        <is>
          <t>费用计算公式</t>
        </is>
      </c>
      <c r="O132" s="146" t="inlineStr">
        <is>
          <t>备注</t>
        </is>
      </c>
    </row>
    <row r="133" ht="16" customHeight="1" s="4">
      <c r="A133" s="134" t="inlineStr">
        <is>
          <t>Group E-2</t>
        </is>
      </c>
      <c r="B133" s="135" t="n">
        <v>1</v>
      </c>
      <c r="C133" s="135" t="inlineStr">
        <is>
          <t>DV</t>
        </is>
      </c>
      <c r="D133" s="135" t="inlineStr">
        <is>
          <t>E-2</t>
        </is>
      </c>
      <c r="E133" s="136" t="inlineStr">
        <is>
          <t>E-2 Operating Noise &amp; Transient Noise</t>
        </is>
      </c>
      <c r="F133" s="135" t="inlineStr">
        <is>
          <t>84-108</t>
        </is>
      </c>
      <c r="G133" s="135" t="inlineStr">
        <is>
          <t>25 个样品</t>
        </is>
      </c>
      <c r="H133" s="135" t="inlineStr">
        <is>
          <t>480 h</t>
        </is>
      </c>
      <c r="I133" s="135" t="inlineStr">
        <is>
          <t>按样品数量</t>
        </is>
      </c>
      <c r="J133" s="135" t="inlineStr">
        <is>
          <t>委外费用</t>
        </is>
      </c>
      <c r="K133" s="173" t="n"/>
      <c r="L133" s="173" t="n">
        <v>42500</v>
      </c>
      <c r="M133" s="173" t="n">
        <v>42500</v>
      </c>
      <c r="N133" s="138" t="inlineStr">
        <is>
          <t>25台样机 × 1700/台 = 42,500</t>
        </is>
      </c>
      <c r="O133" s="139" t="inlineStr">
        <is>
          <t>操作噪声暂按 SGS 合作价 1700/台样机计算</t>
        </is>
      </c>
    </row>
    <row r="134">
      <c r="A134" s="174" t="inlineStr">
        <is>
          <t>Group E-2 Total Cost</t>
        </is>
      </c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3" t="n"/>
      <c r="K134" s="171">
        <f>SUM(K133:K133)</f>
        <v/>
      </c>
      <c r="L134" s="171">
        <f>SUM(L133:L133)</f>
        <v/>
      </c>
      <c r="M134" s="171">
        <f>SUM(M133:M133)</f>
        <v/>
      </c>
      <c r="N134" s="146" t="n"/>
      <c r="O134" s="175" t="n"/>
    </row>
    <row r="135">
      <c r="A135" s="153" t="n"/>
    </row>
    <row r="136">
      <c r="A136" s="154" t="inlineStr">
        <is>
          <t>PV 组别顺序</t>
        </is>
      </c>
      <c r="B136" s="155" t="inlineStr">
        <is>
          <t>Group A -&gt; Group B -&gt; Group C -&gt; Group D-1 -&gt; Group D-2 -&gt; Group D-3 -&gt; Group D-4 -&gt; Group D-5 -&gt; Group D-6 -&gt; Group D-7 -&gt; Group D-8 -&gt; Group D-9 -&gt; Group E-1 -&gt; Group E-2</t>
        </is>
      </c>
      <c r="C136" s="167" t="n"/>
      <c r="D136" s="167" t="n"/>
      <c r="E136" s="167" t="n"/>
      <c r="F136" s="167" t="n"/>
      <c r="G136" s="167" t="n"/>
      <c r="H136" s="167" t="n"/>
      <c r="I136" s="167" t="n"/>
      <c r="J136" s="167" t="n"/>
      <c r="K136" s="167" t="n"/>
      <c r="L136" s="167" t="n"/>
      <c r="M136" s="167" t="n"/>
      <c r="N136" s="167" t="n"/>
      <c r="O136" s="168" t="n"/>
    </row>
    <row r="137">
      <c r="A137" s="159" t="inlineStr">
        <is>
          <t>Group A：PV / Group A Sequence Tests</t>
        </is>
      </c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3" t="n"/>
    </row>
    <row r="138" ht="16" customHeight="1" s="4">
      <c r="A138" s="124" t="inlineStr">
        <is>
          <t>组别顺序</t>
        </is>
      </c>
      <c r="B138" s="83" t="inlineStr">
        <is>
          <t>组内顺序</t>
        </is>
      </c>
      <c r="C138" s="83" t="inlineStr">
        <is>
          <t>Phase</t>
        </is>
      </c>
      <c r="D138" s="83" t="inlineStr">
        <is>
          <t>测试编号</t>
        </is>
      </c>
      <c r="E138" s="123" t="inlineStr">
        <is>
          <t>测试项目</t>
        </is>
      </c>
      <c r="F138" s="83" t="inlineStr">
        <is>
          <t>样品范围</t>
        </is>
      </c>
      <c r="G138" s="83" t="inlineStr">
        <is>
          <t>计费基数</t>
        </is>
      </c>
      <c r="H138" s="83" t="inlineStr">
        <is>
          <t>测试时间</t>
        </is>
      </c>
      <c r="I138" s="83" t="inlineStr">
        <is>
          <t>计费方式</t>
        </is>
      </c>
      <c r="J138" s="83" t="inlineStr">
        <is>
          <t>费用归属</t>
        </is>
      </c>
      <c r="K138" s="169" t="inlineStr">
        <is>
          <t>内部费用</t>
        </is>
      </c>
      <c r="L138" s="169" t="inlineStr">
        <is>
          <t>委外费用</t>
        </is>
      </c>
      <c r="M138" s="169" t="inlineStr">
        <is>
          <t>费用合计</t>
        </is>
      </c>
      <c r="N138" s="123" t="inlineStr">
        <is>
          <t>费用计算公式</t>
        </is>
      </c>
      <c r="O138" s="126" t="inlineStr">
        <is>
          <t>备注</t>
        </is>
      </c>
    </row>
    <row r="139" ht="31" customHeight="1" s="4">
      <c r="A139" s="128" t="inlineStr">
        <is>
          <t>Group A</t>
        </is>
      </c>
      <c r="B139" s="71" t="n">
        <v>1</v>
      </c>
      <c r="C139" s="71" t="inlineStr">
        <is>
          <t>PV</t>
        </is>
      </c>
      <c r="D139" s="71" t="inlineStr">
        <is>
          <t>Optical</t>
        </is>
      </c>
      <c r="E139" s="129" t="inlineStr">
        <is>
          <t>Optical Test</t>
        </is>
      </c>
      <c r="F139" s="71" t="inlineStr">
        <is>
          <t>1-14</t>
        </is>
      </c>
      <c r="G139" s="71" t="inlineStr">
        <is>
          <t>14 个样品</t>
        </is>
      </c>
      <c r="H139" s="71" t="inlineStr">
        <is>
          <t>168 h</t>
        </is>
      </c>
      <c r="I139" s="71" t="inlineStr">
        <is>
          <t>按样品数量</t>
        </is>
      </c>
      <c r="J139" s="71" t="inlineStr">
        <is>
          <t>内部费用</t>
        </is>
      </c>
      <c r="K139" s="171" t="n">
        <v>3190</v>
      </c>
      <c r="L139" s="171" t="n"/>
      <c r="M139" s="171" t="n">
        <v>3190</v>
      </c>
      <c r="N139" s="132" t="inlineStr">
        <is>
          <t>1台×51点位(¥460) + 13台×19点位(¥210) = 460 + 2,730 = 3,190</t>
        </is>
      </c>
      <c r="O139" s="133" t="inlineStr">
        <is>
          <t>Optical Test: 1 台按 51 点位，其余按 19 点位计费</t>
        </is>
      </c>
    </row>
    <row r="140" ht="31" customHeight="1" s="4">
      <c r="A140" s="128" t="inlineStr">
        <is>
          <t>Group A</t>
        </is>
      </c>
      <c r="B140" s="71" t="n">
        <v>2</v>
      </c>
      <c r="C140" s="71" t="inlineStr">
        <is>
          <t>PV</t>
        </is>
      </c>
      <c r="D140" s="71" t="inlineStr">
        <is>
          <t>L1&amp;L4</t>
        </is>
      </c>
      <c r="E140" s="129" t="inlineStr">
        <is>
          <t>L1&amp;L4 Performance Evaluation &amp; Functional Evaluation</t>
        </is>
      </c>
      <c r="F140" s="71" t="inlineStr">
        <is>
          <t>1-14</t>
        </is>
      </c>
      <c r="G140" s="71" t="inlineStr">
        <is>
          <t>14 个样品</t>
        </is>
      </c>
      <c r="H140" s="71" t="inlineStr">
        <is>
          <t>72 h</t>
        </is>
      </c>
      <c r="I140" s="71" t="inlineStr">
        <is>
          <t>按样品数量</t>
        </is>
      </c>
      <c r="J140" s="71" t="inlineStr">
        <is>
          <t>委外费用</t>
        </is>
      </c>
      <c r="K140" s="171" t="n"/>
      <c r="L140" s="171" t="n">
        <v>5600</v>
      </c>
      <c r="M140" s="171" t="n">
        <v>5600</v>
      </c>
      <c r="N140" s="132" t="inlineStr">
        <is>
          <t>14个 × 400/个 = 5,600</t>
        </is>
      </c>
      <c r="O140" s="133" t="n"/>
    </row>
    <row r="141" ht="31" customHeight="1" s="4">
      <c r="A141" s="128" t="inlineStr">
        <is>
          <t>Group A</t>
        </is>
      </c>
      <c r="B141" s="71" t="n">
        <v>3</v>
      </c>
      <c r="C141" s="71" t="inlineStr">
        <is>
          <t>PV</t>
        </is>
      </c>
      <c r="D141" s="71" t="inlineStr">
        <is>
          <t>Particle</t>
        </is>
      </c>
      <c r="E141" s="129" t="inlineStr">
        <is>
          <t>Particle Exposure</t>
        </is>
      </c>
      <c r="F141" s="71" t="inlineStr">
        <is>
          <t>1-12</t>
        </is>
      </c>
      <c r="G141" s="71" t="n"/>
      <c r="H141" s="71" t="inlineStr">
        <is>
          <t>120 h</t>
        </is>
      </c>
      <c r="I141" s="71" t="inlineStr">
        <is>
          <t>按批次</t>
        </is>
      </c>
      <c r="J141" s="71" t="inlineStr">
        <is>
          <t>委外费用</t>
        </is>
      </c>
      <c r="K141" s="171" t="n"/>
      <c r="L141" s="171" t="n">
        <v>24000</v>
      </c>
      <c r="M141" s="171" t="n">
        <v>24000</v>
      </c>
      <c r="N141" s="132" t="inlineStr">
        <is>
          <t>中位数/华测口径：4批 × 1,500/批 + 粉尘费 6,000 + 清洁费 12,000 = 24,000</t>
        </is>
      </c>
      <c r="O141" s="133" t="inlineStr">
        <is>
          <t>Particle Exposure：中位数实验室为华测；此处已拆出批次单价、粉尘费、清洁费</t>
        </is>
      </c>
    </row>
    <row r="142" ht="16" customHeight="1" s="4">
      <c r="A142" s="128" t="inlineStr">
        <is>
          <t>Group A</t>
        </is>
      </c>
      <c r="B142" s="71" t="n">
        <v>4</v>
      </c>
      <c r="C142" s="71" t="inlineStr">
        <is>
          <t>PV</t>
        </is>
      </c>
      <c r="D142" s="71" t="inlineStr">
        <is>
          <t>K1</t>
        </is>
      </c>
      <c r="E142" s="129" t="inlineStr">
        <is>
          <t>K1 Low Temperature Exposure</t>
        </is>
      </c>
      <c r="F142" s="71" t="inlineStr">
        <is>
          <t>1-12</t>
        </is>
      </c>
      <c r="G142" s="71" t="inlineStr">
        <is>
          <t>24 h</t>
        </is>
      </c>
      <c r="H142" s="71" t="inlineStr">
        <is>
          <t>24 h</t>
        </is>
      </c>
      <c r="I142" s="71" t="inlineStr">
        <is>
          <t>按小时</t>
        </is>
      </c>
      <c r="J142" s="71" t="inlineStr">
        <is>
          <t>委外费用</t>
        </is>
      </c>
      <c r="K142" s="171" t="n"/>
      <c r="L142" s="171" t="n">
        <v>720</v>
      </c>
      <c r="M142" s="171" t="n">
        <v>720</v>
      </c>
      <c r="N142" s="132" t="inlineStr">
        <is>
          <t>24h × 30/h = 720</t>
        </is>
      </c>
      <c r="O142" s="133" t="n"/>
    </row>
    <row r="143" ht="16" customHeight="1" s="4">
      <c r="A143" s="128" t="inlineStr">
        <is>
          <t>Group A</t>
        </is>
      </c>
      <c r="B143" s="71" t="n">
        <v>5</v>
      </c>
      <c r="C143" s="71" t="inlineStr">
        <is>
          <t>PV</t>
        </is>
      </c>
      <c r="D143" s="71" t="inlineStr">
        <is>
          <t>K2</t>
        </is>
      </c>
      <c r="E143" s="129" t="inlineStr">
        <is>
          <t>K2 High Temperature Exposure</t>
        </is>
      </c>
      <c r="F143" s="71" t="inlineStr">
        <is>
          <t>1-12</t>
        </is>
      </c>
      <c r="G143" s="71" t="inlineStr">
        <is>
          <t>24 h</t>
        </is>
      </c>
      <c r="H143" s="71" t="inlineStr">
        <is>
          <t>24 h</t>
        </is>
      </c>
      <c r="I143" s="71" t="inlineStr">
        <is>
          <t>按小时</t>
        </is>
      </c>
      <c r="J143" s="71" t="inlineStr">
        <is>
          <t>委外费用</t>
        </is>
      </c>
      <c r="K143" s="171" t="n"/>
      <c r="L143" s="171" t="n">
        <v>720</v>
      </c>
      <c r="M143" s="171" t="n">
        <v>720</v>
      </c>
      <c r="N143" s="132" t="inlineStr">
        <is>
          <t>24h × 30/h = 720</t>
        </is>
      </c>
      <c r="O143" s="133" t="n"/>
    </row>
    <row r="144" ht="16" customHeight="1" s="4">
      <c r="A144" s="128" t="inlineStr">
        <is>
          <t>Group A</t>
        </is>
      </c>
      <c r="B144" s="71" t="n">
        <v>6</v>
      </c>
      <c r="C144" s="71" t="inlineStr">
        <is>
          <t>PV</t>
        </is>
      </c>
      <c r="D144" s="71" t="inlineStr">
        <is>
          <t>K3</t>
        </is>
      </c>
      <c r="E144" s="129" t="inlineStr">
        <is>
          <t>K3 Low Temperature Operation</t>
        </is>
      </c>
      <c r="F144" s="71" t="inlineStr">
        <is>
          <t>1-12</t>
        </is>
      </c>
      <c r="G144" s="71" t="inlineStr">
        <is>
          <t>24 h</t>
        </is>
      </c>
      <c r="H144" s="71" t="inlineStr">
        <is>
          <t>24 h</t>
        </is>
      </c>
      <c r="I144" s="71" t="inlineStr">
        <is>
          <t>按小时</t>
        </is>
      </c>
      <c r="J144" s="71" t="inlineStr">
        <is>
          <t>委外费用</t>
        </is>
      </c>
      <c r="K144" s="171" t="n"/>
      <c r="L144" s="171" t="n">
        <v>720</v>
      </c>
      <c r="M144" s="171" t="n">
        <v>720</v>
      </c>
      <c r="N144" s="132" t="inlineStr">
        <is>
          <t>24h × 30/h = 720</t>
        </is>
      </c>
      <c r="O144" s="133" t="n"/>
    </row>
    <row r="145" ht="16" customHeight="1" s="4">
      <c r="A145" s="128" t="inlineStr">
        <is>
          <t>Group A</t>
        </is>
      </c>
      <c r="B145" s="71" t="n">
        <v>7</v>
      </c>
      <c r="C145" s="71" t="inlineStr">
        <is>
          <t>PV</t>
        </is>
      </c>
      <c r="D145" s="71" t="inlineStr">
        <is>
          <t>K4</t>
        </is>
      </c>
      <c r="E145" s="129" t="inlineStr">
        <is>
          <t>K4 High Temperature Operation</t>
        </is>
      </c>
      <c r="F145" s="71" t="inlineStr">
        <is>
          <t>1-12</t>
        </is>
      </c>
      <c r="G145" s="71" t="inlineStr">
        <is>
          <t>96 h</t>
        </is>
      </c>
      <c r="H145" s="71" t="inlineStr">
        <is>
          <t>96 h</t>
        </is>
      </c>
      <c r="I145" s="71" t="inlineStr">
        <is>
          <t>按小时</t>
        </is>
      </c>
      <c r="J145" s="71" t="inlineStr">
        <is>
          <t>委外费用</t>
        </is>
      </c>
      <c r="K145" s="171" t="n"/>
      <c r="L145" s="171" t="n">
        <v>2880</v>
      </c>
      <c r="M145" s="171" t="n">
        <v>2880</v>
      </c>
      <c r="N145" s="132" t="inlineStr">
        <is>
          <t>96h × 30/h = 2,880</t>
        </is>
      </c>
      <c r="O145" s="133" t="n"/>
    </row>
    <row r="146" ht="16" customHeight="1" s="4">
      <c r="A146" s="128" t="inlineStr">
        <is>
          <t>Group A</t>
        </is>
      </c>
      <c r="B146" s="71" t="n">
        <v>8</v>
      </c>
      <c r="C146" s="71" t="inlineStr">
        <is>
          <t>PV</t>
        </is>
      </c>
      <c r="D146" s="71" t="inlineStr">
        <is>
          <t>K5</t>
        </is>
      </c>
      <c r="E146" s="129" t="inlineStr">
        <is>
          <t>K5 Temperature Step Test</t>
        </is>
      </c>
      <c r="F146" s="71" t="inlineStr">
        <is>
          <t>1-12</t>
        </is>
      </c>
      <c r="G146" s="71" t="inlineStr">
        <is>
          <t>1 批</t>
        </is>
      </c>
      <c r="H146" s="71" t="inlineStr">
        <is>
          <t>48 h</t>
        </is>
      </c>
      <c r="I146" s="71" t="inlineStr">
        <is>
          <t>按批次</t>
        </is>
      </c>
      <c r="J146" s="71" t="inlineStr">
        <is>
          <t>委外费用</t>
        </is>
      </c>
      <c r="K146" s="171" t="n"/>
      <c r="L146" s="171" t="n">
        <v>5000</v>
      </c>
      <c r="M146" s="171" t="n">
        <v>5000</v>
      </c>
      <c r="N146" s="132" t="inlineStr">
        <is>
          <t>1批 × 5000/批 = 5,000</t>
        </is>
      </c>
      <c r="O146" s="133" t="n"/>
    </row>
    <row r="147" ht="16" customHeight="1" s="4">
      <c r="A147" s="128" t="inlineStr">
        <is>
          <t>Group A</t>
        </is>
      </c>
      <c r="B147" s="71" t="n">
        <v>9</v>
      </c>
      <c r="C147" s="71" t="inlineStr">
        <is>
          <t>PV</t>
        </is>
      </c>
      <c r="D147" s="71" t="inlineStr">
        <is>
          <t>K6</t>
        </is>
      </c>
      <c r="E147" s="129" t="inlineStr">
        <is>
          <t>K6 Power Thermal Cycle</t>
        </is>
      </c>
      <c r="F147" s="71" t="inlineStr">
        <is>
          <t>1-12</t>
        </is>
      </c>
      <c r="G147" s="71" t="inlineStr">
        <is>
          <t>240 h</t>
        </is>
      </c>
      <c r="H147" s="71" t="inlineStr">
        <is>
          <t>240 h</t>
        </is>
      </c>
      <c r="I147" s="71" t="inlineStr">
        <is>
          <t>按小时</t>
        </is>
      </c>
      <c r="J147" s="71" t="inlineStr">
        <is>
          <t>委外费用</t>
        </is>
      </c>
      <c r="K147" s="171" t="n"/>
      <c r="L147" s="171" t="n">
        <v>7200</v>
      </c>
      <c r="M147" s="171" t="n">
        <v>7200</v>
      </c>
      <c r="N147" s="132" t="inlineStr">
        <is>
          <t>240h × 30/h = 7,200</t>
        </is>
      </c>
      <c r="O147" s="133" t="n"/>
    </row>
    <row r="148" ht="16" customHeight="1" s="4">
      <c r="A148" s="128" t="inlineStr">
        <is>
          <t>Group A</t>
        </is>
      </c>
      <c r="B148" s="71" t="n">
        <v>10</v>
      </c>
      <c r="C148" s="71" t="inlineStr">
        <is>
          <t>PV</t>
        </is>
      </c>
      <c r="D148" s="71" t="inlineStr">
        <is>
          <t>K7</t>
        </is>
      </c>
      <c r="E148" s="129" t="inlineStr">
        <is>
          <t>K7 Thermal Shock in Air</t>
        </is>
      </c>
      <c r="F148" s="71" t="inlineStr">
        <is>
          <t>1-12</t>
        </is>
      </c>
      <c r="G148" s="71" t="inlineStr">
        <is>
          <t>105 h</t>
        </is>
      </c>
      <c r="H148" s="71" t="inlineStr">
        <is>
          <t>105 h</t>
        </is>
      </c>
      <c r="I148" s="71" t="inlineStr">
        <is>
          <t>按小时</t>
        </is>
      </c>
      <c r="J148" s="71" t="inlineStr">
        <is>
          <t>委外费用</t>
        </is>
      </c>
      <c r="K148" s="171" t="n"/>
      <c r="L148" s="171" t="n">
        <v>10500</v>
      </c>
      <c r="M148" s="171" t="n">
        <v>10500</v>
      </c>
      <c r="N148" s="132" t="inlineStr">
        <is>
          <t>105h × 100/h = 10,500</t>
        </is>
      </c>
      <c r="O148" s="133" t="n"/>
    </row>
    <row r="149" ht="16" customHeight="1" s="4">
      <c r="A149" s="128" t="inlineStr">
        <is>
          <t>Group A</t>
        </is>
      </c>
      <c r="B149" s="71" t="n">
        <v>11</v>
      </c>
      <c r="C149" s="71" t="inlineStr">
        <is>
          <t>PV</t>
        </is>
      </c>
      <c r="D149" s="71" t="inlineStr">
        <is>
          <t>K15</t>
        </is>
      </c>
      <c r="E149" s="129" t="inlineStr">
        <is>
          <t>K15 Vibration</t>
        </is>
      </c>
      <c r="F149" s="71" t="inlineStr">
        <is>
          <t>1-12</t>
        </is>
      </c>
      <c r="G149" s="71" t="inlineStr">
        <is>
          <t>48 h</t>
        </is>
      </c>
      <c r="H149" s="71" t="inlineStr">
        <is>
          <t>48 h</t>
        </is>
      </c>
      <c r="I149" s="71" t="inlineStr">
        <is>
          <t>按小时</t>
        </is>
      </c>
      <c r="J149" s="71" t="inlineStr">
        <is>
          <t>委外费用</t>
        </is>
      </c>
      <c r="K149" s="171" t="n"/>
      <c r="L149" s="171" t="n">
        <v>24000</v>
      </c>
      <c r="M149" s="171" t="n">
        <v>24000</v>
      </c>
      <c r="N149" s="132" t="inlineStr">
        <is>
          <t>48h × 500/h = 24,000</t>
        </is>
      </c>
      <c r="O149" s="133" t="n"/>
    </row>
    <row r="150" ht="16" customHeight="1" s="4">
      <c r="A150" s="128" t="inlineStr">
        <is>
          <t>Group A</t>
        </is>
      </c>
      <c r="B150" s="71" t="n">
        <v>12</v>
      </c>
      <c r="C150" s="71" t="inlineStr">
        <is>
          <t>PV</t>
        </is>
      </c>
      <c r="D150" s="71" t="inlineStr">
        <is>
          <t>K16.1</t>
        </is>
      </c>
      <c r="E150" s="129" t="inlineStr">
        <is>
          <t>K16.1 Mechanical Shock Package Drop</t>
        </is>
      </c>
      <c r="F150" s="71" t="inlineStr">
        <is>
          <t>1-14</t>
        </is>
      </c>
      <c r="G150" s="71" t="inlineStr">
        <is>
          <t>14 个样品</t>
        </is>
      </c>
      <c r="H150" s="71" t="inlineStr">
        <is>
          <t>48 h</t>
        </is>
      </c>
      <c r="I150" s="71" t="inlineStr">
        <is>
          <t>按样品数量</t>
        </is>
      </c>
      <c r="J150" s="71" t="inlineStr">
        <is>
          <t>委外费用</t>
        </is>
      </c>
      <c r="K150" s="171" t="n"/>
      <c r="L150" s="171" t="n">
        <v>4200</v>
      </c>
      <c r="M150" s="171" t="n">
        <v>4200</v>
      </c>
      <c r="N150" s="132" t="inlineStr">
        <is>
          <t>14个 × 300/个 = 4,200</t>
        </is>
      </c>
      <c r="O150" s="133" t="n"/>
    </row>
    <row r="151" ht="16" customHeight="1" s="4">
      <c r="A151" s="128" t="inlineStr">
        <is>
          <t>Group A</t>
        </is>
      </c>
      <c r="B151" s="71" t="n">
        <v>13</v>
      </c>
      <c r="C151" s="71" t="inlineStr">
        <is>
          <t>PV</t>
        </is>
      </c>
      <c r="D151" s="71" t="inlineStr">
        <is>
          <t>K16.4</t>
        </is>
      </c>
      <c r="E151" s="129" t="inlineStr">
        <is>
          <t>K16.4 Mechanical Shock Low</t>
        </is>
      </c>
      <c r="F151" s="71" t="inlineStr">
        <is>
          <t>1-12</t>
        </is>
      </c>
      <c r="G151" s="71" t="inlineStr">
        <is>
          <t>12 个样品</t>
        </is>
      </c>
      <c r="H151" s="71" t="inlineStr">
        <is>
          <t>48 h</t>
        </is>
      </c>
      <c r="I151" s="71" t="inlineStr">
        <is>
          <t>按样品数量</t>
        </is>
      </c>
      <c r="J151" s="71" t="inlineStr">
        <is>
          <t>委外费用</t>
        </is>
      </c>
      <c r="K151" s="171" t="n"/>
      <c r="L151" s="171" t="n">
        <v>3600</v>
      </c>
      <c r="M151" s="171" t="n">
        <v>3600</v>
      </c>
      <c r="N151" s="132" t="inlineStr">
        <is>
          <t>12个 × 300/个 = 3,600</t>
        </is>
      </c>
      <c r="O151" s="133" t="n"/>
    </row>
    <row r="152" ht="31" customHeight="1" s="4">
      <c r="A152" s="128" t="inlineStr">
        <is>
          <t>Group A</t>
        </is>
      </c>
      <c r="B152" s="71" t="n">
        <v>14</v>
      </c>
      <c r="C152" s="71" t="inlineStr">
        <is>
          <t>PV</t>
        </is>
      </c>
      <c r="D152" s="71" t="inlineStr">
        <is>
          <t>K17</t>
        </is>
      </c>
      <c r="E152" s="129" t="inlineStr">
        <is>
          <t>K17 Audible Noise</t>
        </is>
      </c>
      <c r="F152" s="71" t="inlineStr">
        <is>
          <t>1-12</t>
        </is>
      </c>
      <c r="G152" s="71" t="inlineStr">
        <is>
          <t>12 个样品</t>
        </is>
      </c>
      <c r="H152" s="71" t="inlineStr">
        <is>
          <t>240 h</t>
        </is>
      </c>
      <c r="I152" s="71" t="inlineStr">
        <is>
          <t>按样品数量</t>
        </is>
      </c>
      <c r="J152" s="71" t="inlineStr">
        <is>
          <t>委外费用</t>
        </is>
      </c>
      <c r="K152" s="171" t="n"/>
      <c r="L152" s="171" t="n">
        <v>120000</v>
      </c>
      <c r="M152" s="171" t="n">
        <v>120000</v>
      </c>
      <c r="N152" s="132" t="inlineStr">
        <is>
          <t>3个方向×12台×4000/台=120,000</t>
        </is>
      </c>
      <c r="O152" s="133" t="inlineStr">
        <is>
          <t>K17 Audible Noise 按 MLA 三个方向的组合单价 × 样机数计算</t>
        </is>
      </c>
    </row>
    <row r="153" ht="16" customHeight="1" s="4">
      <c r="A153" s="128" t="inlineStr">
        <is>
          <t>Group A</t>
        </is>
      </c>
      <c r="B153" s="71" t="n">
        <v>15</v>
      </c>
      <c r="C153" s="71" t="inlineStr">
        <is>
          <t>PV</t>
        </is>
      </c>
      <c r="D153" s="71" t="inlineStr">
        <is>
          <t>K9</t>
        </is>
      </c>
      <c r="E153" s="129" t="inlineStr">
        <is>
          <t>K9 Temperature/Humidity Cycle</t>
        </is>
      </c>
      <c r="F153" s="71" t="inlineStr">
        <is>
          <t>1-12</t>
        </is>
      </c>
      <c r="G153" s="71" t="inlineStr">
        <is>
          <t>264 h</t>
        </is>
      </c>
      <c r="H153" s="71" t="inlineStr">
        <is>
          <t>264 h</t>
        </is>
      </c>
      <c r="I153" s="71" t="inlineStr">
        <is>
          <t>按小时</t>
        </is>
      </c>
      <c r="J153" s="71" t="inlineStr">
        <is>
          <t>委外费用</t>
        </is>
      </c>
      <c r="K153" s="171" t="n"/>
      <c r="L153" s="171" t="n">
        <v>7920</v>
      </c>
      <c r="M153" s="171" t="n">
        <v>7920</v>
      </c>
      <c r="N153" s="132" t="inlineStr">
        <is>
          <t>264h × 30/h = 7,920</t>
        </is>
      </c>
      <c r="O153" s="133" t="n"/>
    </row>
    <row r="154" ht="16" customHeight="1" s="4">
      <c r="A154" s="128" t="inlineStr">
        <is>
          <t>Group A</t>
        </is>
      </c>
      <c r="B154" s="71" t="n">
        <v>16</v>
      </c>
      <c r="C154" s="71" t="inlineStr">
        <is>
          <t>PV</t>
        </is>
      </c>
      <c r="D154" s="71" t="inlineStr">
        <is>
          <t>K10</t>
        </is>
      </c>
      <c r="E154" s="129" t="inlineStr">
        <is>
          <t>K10 Water/Fluid Ingress Test</t>
        </is>
      </c>
      <c r="F154" s="71" t="inlineStr">
        <is>
          <t>1-12</t>
        </is>
      </c>
      <c r="G154" s="71" t="inlineStr">
        <is>
          <t>12 个样品</t>
        </is>
      </c>
      <c r="H154" s="71" t="inlineStr">
        <is>
          <t>72 h</t>
        </is>
      </c>
      <c r="I154" s="71" t="inlineStr">
        <is>
          <t>按样品数量</t>
        </is>
      </c>
      <c r="J154" s="71" t="inlineStr">
        <is>
          <t>委外费用</t>
        </is>
      </c>
      <c r="K154" s="171" t="n"/>
      <c r="L154" s="171" t="n">
        <v>6000</v>
      </c>
      <c r="M154" s="171" t="n">
        <v>6000</v>
      </c>
      <c r="N154" s="132" t="inlineStr">
        <is>
          <t>12个 × 500/个 = 6,000</t>
        </is>
      </c>
      <c r="O154" s="133" t="n"/>
    </row>
    <row r="155" ht="16" customHeight="1" s="4">
      <c r="A155" s="128" t="inlineStr">
        <is>
          <t>Group A</t>
        </is>
      </c>
      <c r="B155" s="71" t="n">
        <v>17</v>
      </c>
      <c r="C155" s="71" t="inlineStr">
        <is>
          <t>PV</t>
        </is>
      </c>
      <c r="D155" s="71" t="inlineStr">
        <is>
          <t>K13</t>
        </is>
      </c>
      <c r="E155" s="129" t="inlineStr">
        <is>
          <t>K13 Dust Ingress</t>
        </is>
      </c>
      <c r="F155" s="71" t="inlineStr">
        <is>
          <t>1-12</t>
        </is>
      </c>
      <c r="G155" s="71" t="inlineStr">
        <is>
          <t>4 批</t>
        </is>
      </c>
      <c r="H155" s="71" t="inlineStr">
        <is>
          <t>120 h</t>
        </is>
      </c>
      <c r="I155" s="71" t="inlineStr">
        <is>
          <t>按批次</t>
        </is>
      </c>
      <c r="J155" s="71" t="inlineStr">
        <is>
          <t>委外费用</t>
        </is>
      </c>
      <c r="K155" s="171" t="n"/>
      <c r="L155" s="171" t="n">
        <v>6000</v>
      </c>
      <c r="M155" s="171" t="n">
        <v>6000</v>
      </c>
      <c r="N155" s="132" t="inlineStr">
        <is>
          <t>4批 × 1500/批 = 6,000</t>
        </is>
      </c>
      <c r="O155" s="133" t="n"/>
    </row>
    <row r="156" ht="31" customHeight="1" s="4">
      <c r="A156" s="134" t="inlineStr">
        <is>
          <t>Group A</t>
        </is>
      </c>
      <c r="B156" s="135" t="n">
        <v>18</v>
      </c>
      <c r="C156" s="135" t="inlineStr">
        <is>
          <t>PV</t>
        </is>
      </c>
      <c r="D156" s="135" t="inlineStr">
        <is>
          <t>K14</t>
        </is>
      </c>
      <c r="E156" s="136" t="inlineStr">
        <is>
          <t>K14 Dust Blowing Test</t>
        </is>
      </c>
      <c r="F156" s="135" t="inlineStr">
        <is>
          <t>1-12</t>
        </is>
      </c>
      <c r="G156" s="135" t="inlineStr">
        <is>
          <t>4 批</t>
        </is>
      </c>
      <c r="H156" s="135" t="inlineStr">
        <is>
          <t>120 h</t>
        </is>
      </c>
      <c r="I156" s="135" t="inlineStr">
        <is>
          <t>按批次</t>
        </is>
      </c>
      <c r="J156" s="135" t="inlineStr">
        <is>
          <t>委外费用</t>
        </is>
      </c>
      <c r="K156" s="173" t="n"/>
      <c r="L156" s="173" t="n">
        <v>12000</v>
      </c>
      <c r="M156" s="173" t="n">
        <v>12000</v>
      </c>
      <c r="N156" s="138" t="inlineStr">
        <is>
          <t>4批 × 3000/批 = 12,000</t>
        </is>
      </c>
      <c r="O156" s="139" t="inlineStr">
        <is>
          <t>K14 Dust Blowing 指定国测，按 3000/批计算；每批 3 台样品</t>
        </is>
      </c>
    </row>
    <row r="157" ht="31" customHeight="1" s="4">
      <c r="A157" s="128" t="inlineStr">
        <is>
          <t>Group A</t>
        </is>
      </c>
      <c r="B157" s="71" t="n">
        <v>19</v>
      </c>
      <c r="C157" s="71" t="inlineStr">
        <is>
          <t>PV</t>
        </is>
      </c>
      <c r="D157" s="71" t="inlineStr">
        <is>
          <t>L1&amp;L4</t>
        </is>
      </c>
      <c r="E157" s="129" t="inlineStr">
        <is>
          <t>L1&amp;L4 Performance Evaluation &amp; Functional Evaluation</t>
        </is>
      </c>
      <c r="F157" s="71" t="inlineStr">
        <is>
          <t>1-14</t>
        </is>
      </c>
      <c r="G157" s="71" t="inlineStr">
        <is>
          <t>14 个样品</t>
        </is>
      </c>
      <c r="H157" s="71" t="inlineStr">
        <is>
          <t>72 h</t>
        </is>
      </c>
      <c r="I157" s="71" t="inlineStr">
        <is>
          <t>按样品数量</t>
        </is>
      </c>
      <c r="J157" s="71" t="inlineStr">
        <is>
          <t>委外费用</t>
        </is>
      </c>
      <c r="K157" s="171" t="n"/>
      <c r="L157" s="171" t="n">
        <v>5600</v>
      </c>
      <c r="M157" s="171" t="n">
        <v>5600</v>
      </c>
      <c r="N157" s="132" t="inlineStr">
        <is>
          <t>14个 × 400/个 = 5,600</t>
        </is>
      </c>
      <c r="O157" s="133" t="n"/>
    </row>
    <row r="158" ht="31" customHeight="1" s="4">
      <c r="A158" s="128" t="inlineStr">
        <is>
          <t>Group A</t>
        </is>
      </c>
      <c r="B158" s="71" t="n">
        <v>20</v>
      </c>
      <c r="C158" s="71" t="inlineStr">
        <is>
          <t>PV</t>
        </is>
      </c>
      <c r="D158" s="71" t="inlineStr">
        <is>
          <t>Optical</t>
        </is>
      </c>
      <c r="E158" s="129" t="inlineStr">
        <is>
          <t>Optical Test</t>
        </is>
      </c>
      <c r="F158" s="71" t="inlineStr">
        <is>
          <t>1-14</t>
        </is>
      </c>
      <c r="G158" s="71" t="inlineStr">
        <is>
          <t>14 个样品</t>
        </is>
      </c>
      <c r="H158" s="71" t="inlineStr">
        <is>
          <t>48 h</t>
        </is>
      </c>
      <c r="I158" s="71" t="inlineStr">
        <is>
          <t>按样品数量</t>
        </is>
      </c>
      <c r="J158" s="71" t="inlineStr">
        <is>
          <t>内部费用</t>
        </is>
      </c>
      <c r="K158" s="171" t="n">
        <v>3190</v>
      </c>
      <c r="L158" s="171" t="n"/>
      <c r="M158" s="171" t="n">
        <v>3190</v>
      </c>
      <c r="N158" s="132" t="inlineStr">
        <is>
          <t>1台×51点位(¥460) + 13台×19点位(¥210) = 460 + 2,730 = 3,190</t>
        </is>
      </c>
      <c r="O158" s="133" t="inlineStr">
        <is>
          <t>Optical Test: 1 台按 51 点位，其余按 19 点位计费</t>
        </is>
      </c>
    </row>
    <row r="159" ht="31" customHeight="1" s="4">
      <c r="A159" s="128" t="inlineStr">
        <is>
          <t>Group A</t>
        </is>
      </c>
      <c r="B159" s="71" t="n">
        <v>21</v>
      </c>
      <c r="C159" s="71" t="inlineStr">
        <is>
          <t>PV</t>
        </is>
      </c>
      <c r="D159" s="71" t="inlineStr">
        <is>
          <t>L6-photo&amp;xray</t>
        </is>
      </c>
      <c r="E159" s="129" t="inlineStr">
        <is>
          <t>L6-photo&amp;xray</t>
        </is>
      </c>
      <c r="F159" s="71" t="inlineStr">
        <is>
          <t>1-14</t>
        </is>
      </c>
      <c r="G159" s="71" t="inlineStr">
        <is>
          <t>14 个样品</t>
        </is>
      </c>
      <c r="H159" s="71" t="inlineStr">
        <is>
          <t>168 h</t>
        </is>
      </c>
      <c r="I159" s="71" t="inlineStr">
        <is>
          <t>按样品数量</t>
        </is>
      </c>
      <c r="J159" s="71" t="inlineStr">
        <is>
          <t>内部费用</t>
        </is>
      </c>
      <c r="K159" s="171" t="n">
        <v>5600</v>
      </c>
      <c r="L159" s="171" t="n"/>
      <c r="M159" s="171" t="n">
        <v>5600</v>
      </c>
      <c r="N159" s="132" t="inlineStr">
        <is>
          <t>14个 × 400/个 = 5,600</t>
        </is>
      </c>
      <c r="O159" s="133" t="inlineStr">
        <is>
          <t>L6-photo&amp;xray 固定单价 400/个样品；不按实验室报价中值计算</t>
        </is>
      </c>
    </row>
    <row r="160">
      <c r="A160" s="174" t="inlineStr">
        <is>
          <t>Group A Total Cost</t>
        </is>
      </c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3" t="n"/>
      <c r="K160" s="171">
        <f>SUM(K139:K159)</f>
        <v/>
      </c>
      <c r="L160" s="171">
        <f>SUM(L139:L159)</f>
        <v/>
      </c>
      <c r="M160" s="171">
        <f>SUM(M139:M159)</f>
        <v/>
      </c>
      <c r="N160" s="146" t="n"/>
      <c r="O160" s="175" t="n"/>
    </row>
    <row r="161">
      <c r="A161" s="159" t="inlineStr">
        <is>
          <t>Group B：PV / Group B Sequence Tests</t>
        </is>
      </c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3" t="n"/>
    </row>
    <row r="162" ht="16" customHeight="1" s="4">
      <c r="A162" s="128" t="inlineStr">
        <is>
          <t>组别顺序</t>
        </is>
      </c>
      <c r="B162" s="71" t="inlineStr">
        <is>
          <t>组内顺序</t>
        </is>
      </c>
      <c r="C162" s="71" t="inlineStr">
        <is>
          <t>Phase</t>
        </is>
      </c>
      <c r="D162" s="71" t="inlineStr">
        <is>
          <t>测试编号</t>
        </is>
      </c>
      <c r="E162" s="129" t="inlineStr">
        <is>
          <t>测试项目</t>
        </is>
      </c>
      <c r="F162" s="71" t="inlineStr">
        <is>
          <t>样品范围</t>
        </is>
      </c>
      <c r="G162" s="71" t="inlineStr">
        <is>
          <t>计费基数</t>
        </is>
      </c>
      <c r="H162" s="71" t="inlineStr">
        <is>
          <t>测试时间</t>
        </is>
      </c>
      <c r="I162" s="71" t="inlineStr">
        <is>
          <t>计费方式</t>
        </is>
      </c>
      <c r="J162" s="71" t="inlineStr">
        <is>
          <t>费用归属</t>
        </is>
      </c>
      <c r="K162" s="171" t="inlineStr">
        <is>
          <t>内部费用</t>
        </is>
      </c>
      <c r="L162" s="171" t="inlineStr">
        <is>
          <t>委外费用</t>
        </is>
      </c>
      <c r="M162" s="171" t="inlineStr">
        <is>
          <t>费用合计</t>
        </is>
      </c>
      <c r="N162" s="132" t="inlineStr">
        <is>
          <t>费用计算公式</t>
        </is>
      </c>
      <c r="O162" s="146" t="inlineStr">
        <is>
          <t>备注</t>
        </is>
      </c>
    </row>
    <row r="163" ht="31" customHeight="1" s="4">
      <c r="A163" s="128" t="inlineStr">
        <is>
          <t>Group B</t>
        </is>
      </c>
      <c r="B163" s="71" t="n">
        <v>1</v>
      </c>
      <c r="C163" s="71" t="inlineStr">
        <is>
          <t>PV</t>
        </is>
      </c>
      <c r="D163" s="71" t="inlineStr">
        <is>
          <t>Optical</t>
        </is>
      </c>
      <c r="E163" s="129" t="inlineStr">
        <is>
          <t>Optical Test</t>
        </is>
      </c>
      <c r="F163" s="71" t="inlineStr">
        <is>
          <t>15-26</t>
        </is>
      </c>
      <c r="G163" s="71" t="inlineStr">
        <is>
          <t>12 个样品</t>
        </is>
      </c>
      <c r="H163" s="71" t="inlineStr">
        <is>
          <t>168 h</t>
        </is>
      </c>
      <c r="I163" s="71" t="inlineStr">
        <is>
          <t>按样品数量</t>
        </is>
      </c>
      <c r="J163" s="71" t="inlineStr">
        <is>
          <t>内部费用</t>
        </is>
      </c>
      <c r="K163" s="171" t="n">
        <v>2770</v>
      </c>
      <c r="L163" s="171" t="n"/>
      <c r="M163" s="171" t="n">
        <v>2770</v>
      </c>
      <c r="N163" s="132" t="inlineStr">
        <is>
          <t>1台×51点位(¥460) + 11台×19点位(¥210) = 460 + 2,310 = 2,770</t>
        </is>
      </c>
      <c r="O163" s="133" t="inlineStr">
        <is>
          <t>Optical Test: 1 台按 51 点位，其余按 19 点位计费</t>
        </is>
      </c>
    </row>
    <row r="164" ht="31" customHeight="1" s="4">
      <c r="A164" s="128" t="inlineStr">
        <is>
          <t>Group B</t>
        </is>
      </c>
      <c r="B164" s="71" t="n">
        <v>2</v>
      </c>
      <c r="C164" s="71" t="inlineStr">
        <is>
          <t>PV</t>
        </is>
      </c>
      <c r="D164" s="71" t="inlineStr">
        <is>
          <t>L1&amp;L4</t>
        </is>
      </c>
      <c r="E164" s="129" t="inlineStr">
        <is>
          <t>L1&amp;L4 Performance Evaluation &amp; Functional Evaluation</t>
        </is>
      </c>
      <c r="F164" s="71" t="inlineStr">
        <is>
          <t>15-26</t>
        </is>
      </c>
      <c r="G164" s="71" t="inlineStr">
        <is>
          <t>12 个样品</t>
        </is>
      </c>
      <c r="H164" s="71" t="inlineStr">
        <is>
          <t>72 h</t>
        </is>
      </c>
      <c r="I164" s="71" t="inlineStr">
        <is>
          <t>按样品数量</t>
        </is>
      </c>
      <c r="J164" s="71" t="inlineStr">
        <is>
          <t>委外费用</t>
        </is>
      </c>
      <c r="K164" s="171" t="n"/>
      <c r="L164" s="171" t="n">
        <v>4800</v>
      </c>
      <c r="M164" s="171" t="n">
        <v>4800</v>
      </c>
      <c r="N164" s="132" t="inlineStr">
        <is>
          <t>12个 × 400/个 = 4,800</t>
        </is>
      </c>
      <c r="O164" s="133" t="n"/>
    </row>
    <row r="165" ht="46" customHeight="1" s="4">
      <c r="A165" s="128" t="inlineStr">
        <is>
          <t>Group B</t>
        </is>
      </c>
      <c r="B165" s="71" t="n">
        <v>3</v>
      </c>
      <c r="C165" s="71" t="inlineStr">
        <is>
          <t>PV</t>
        </is>
      </c>
      <c r="D165" s="71" t="inlineStr">
        <is>
          <t>K22</t>
        </is>
      </c>
      <c r="E165" s="129" t="inlineStr">
        <is>
          <t>K22 Chemical Resistance</t>
        </is>
      </c>
      <c r="F165" s="71" t="inlineStr">
        <is>
          <t>15-26</t>
        </is>
      </c>
      <c r="G165" s="71" t="inlineStr">
        <is>
          <t>72 h</t>
        </is>
      </c>
      <c r="H165" s="71" t="inlineStr">
        <is>
          <t>72 h</t>
        </is>
      </c>
      <c r="I165" s="71" t="inlineStr">
        <is>
          <t>按小时</t>
        </is>
      </c>
      <c r="J165" s="71" t="inlineStr">
        <is>
          <t>委外费用</t>
        </is>
      </c>
      <c r="K165" s="171" t="n"/>
      <c r="L165" s="171" t="n">
        <v>11190</v>
      </c>
      <c r="M165" s="171" t="n">
        <v>11190</v>
      </c>
      <c r="N165" s="132" t="inlineStr">
        <is>
          <t>15种×650/种 + 72h×20/h = 11,190</t>
        </is>
      </c>
      <c r="O165" s="133" t="inlineStr">
        <is>
          <t>K22 Chemical Resistance 按 MLA 条件 1 的 15 种试剂；试剂数量 × 各实验室试剂单价 + 测试时间 × 时间单价 计算</t>
        </is>
      </c>
    </row>
    <row r="166" ht="31" customHeight="1" s="4">
      <c r="A166" s="128" t="inlineStr">
        <is>
          <t>Group B</t>
        </is>
      </c>
      <c r="B166" s="71" t="n">
        <v>4</v>
      </c>
      <c r="C166" s="71" t="inlineStr">
        <is>
          <t>PV</t>
        </is>
      </c>
      <c r="D166" s="71" t="inlineStr">
        <is>
          <t>K18</t>
        </is>
      </c>
      <c r="E166" s="129" t="inlineStr">
        <is>
          <t>K18 Connector and lead/lock strength</t>
        </is>
      </c>
      <c r="F166" s="71" t="inlineStr">
        <is>
          <t>15-26</t>
        </is>
      </c>
      <c r="G166" s="71" t="inlineStr">
        <is>
          <t>12 个样品</t>
        </is>
      </c>
      <c r="H166" s="71" t="inlineStr">
        <is>
          <t>168 h</t>
        </is>
      </c>
      <c r="I166" s="71" t="inlineStr">
        <is>
          <t>按样品数量</t>
        </is>
      </c>
      <c r="J166" s="71" t="inlineStr">
        <is>
          <t>委外费用</t>
        </is>
      </c>
      <c r="K166" s="171" t="n"/>
      <c r="L166" s="171" t="n">
        <v>19000</v>
      </c>
      <c r="M166" s="171" t="n">
        <v>19000</v>
      </c>
      <c r="N166" s="132" t="inlineStr">
        <is>
          <t>4项×12台×325/项 + 微应力3400 = 19,000</t>
        </is>
      </c>
      <c r="O166" s="133" t="inlineStr">
        <is>
          <t>K18.1-K18.4 四项 × 12 台样机 × 单价 + K18.1 微应力费用</t>
        </is>
      </c>
    </row>
    <row r="167" ht="31" customHeight="1" s="4">
      <c r="A167" s="128" t="inlineStr">
        <is>
          <t>Group B</t>
        </is>
      </c>
      <c r="B167" s="71" t="n">
        <v>5</v>
      </c>
      <c r="C167" s="71" t="inlineStr">
        <is>
          <t>PV</t>
        </is>
      </c>
      <c r="D167" s="71" t="inlineStr">
        <is>
          <t>L1&amp;L4</t>
        </is>
      </c>
      <c r="E167" s="129" t="inlineStr">
        <is>
          <t>L1&amp;L4 Performance Evaluation &amp; Functional Evaluation</t>
        </is>
      </c>
      <c r="F167" s="71" t="inlineStr">
        <is>
          <t>15-26</t>
        </is>
      </c>
      <c r="G167" s="71" t="inlineStr">
        <is>
          <t>12 个样品</t>
        </is>
      </c>
      <c r="H167" s="71" t="inlineStr">
        <is>
          <t>72 h</t>
        </is>
      </c>
      <c r="I167" s="71" t="inlineStr">
        <is>
          <t>按样品数量</t>
        </is>
      </c>
      <c r="J167" s="71" t="inlineStr">
        <is>
          <t>委外费用</t>
        </is>
      </c>
      <c r="K167" s="171" t="n"/>
      <c r="L167" s="171" t="n">
        <v>4800</v>
      </c>
      <c r="M167" s="171" t="n">
        <v>4800</v>
      </c>
      <c r="N167" s="132" t="inlineStr">
        <is>
          <t>12个 × 400/个 = 4,800</t>
        </is>
      </c>
      <c r="O167" s="133" t="n"/>
    </row>
    <row r="168" ht="31" customHeight="1" s="4">
      <c r="A168" s="128" t="inlineStr">
        <is>
          <t>Group B</t>
        </is>
      </c>
      <c r="B168" s="71" t="n">
        <v>6</v>
      </c>
      <c r="C168" s="71" t="inlineStr">
        <is>
          <t>PV</t>
        </is>
      </c>
      <c r="D168" s="71" t="inlineStr">
        <is>
          <t>Optical</t>
        </is>
      </c>
      <c r="E168" s="129" t="inlineStr">
        <is>
          <t>Optical Test</t>
        </is>
      </c>
      <c r="F168" s="71" t="inlineStr">
        <is>
          <t>15-26</t>
        </is>
      </c>
      <c r="G168" s="71" t="inlineStr">
        <is>
          <t>12 个样品</t>
        </is>
      </c>
      <c r="H168" s="71" t="inlineStr">
        <is>
          <t>48 h</t>
        </is>
      </c>
      <c r="I168" s="71" t="inlineStr">
        <is>
          <t>按样品数量</t>
        </is>
      </c>
      <c r="J168" s="71" t="inlineStr">
        <is>
          <t>内部费用</t>
        </is>
      </c>
      <c r="K168" s="171" t="n">
        <v>2770</v>
      </c>
      <c r="L168" s="171" t="n"/>
      <c r="M168" s="171" t="n">
        <v>2770</v>
      </c>
      <c r="N168" s="132" t="inlineStr">
        <is>
          <t>1台×51点位(¥460) + 11台×19点位(¥210) = 460 + 2,310 = 2,770</t>
        </is>
      </c>
      <c r="O168" s="133" t="inlineStr">
        <is>
          <t>Optical Test: 1 台按 51 点位，其余按 19 点位计费</t>
        </is>
      </c>
    </row>
    <row r="169" ht="31" customHeight="1" s="4">
      <c r="A169" s="128" t="inlineStr">
        <is>
          <t>Group B</t>
        </is>
      </c>
      <c r="B169" s="71" t="n">
        <v>7</v>
      </c>
      <c r="C169" s="71" t="inlineStr">
        <is>
          <t>PV</t>
        </is>
      </c>
      <c r="D169" s="71" t="inlineStr">
        <is>
          <t>L6-photo&amp;xray</t>
        </is>
      </c>
      <c r="E169" s="129" t="inlineStr">
        <is>
          <t>L6-photo&amp;xray</t>
        </is>
      </c>
      <c r="F169" s="71" t="inlineStr">
        <is>
          <t>15-26</t>
        </is>
      </c>
      <c r="G169" s="71" t="inlineStr">
        <is>
          <t>12 个样品</t>
        </is>
      </c>
      <c r="H169" s="71" t="inlineStr">
        <is>
          <t>168 h</t>
        </is>
      </c>
      <c r="I169" s="71" t="inlineStr">
        <is>
          <t>按样品数量</t>
        </is>
      </c>
      <c r="J169" s="71" t="inlineStr">
        <is>
          <t>内部费用</t>
        </is>
      </c>
      <c r="K169" s="171" t="n">
        <v>4800</v>
      </c>
      <c r="L169" s="171" t="n"/>
      <c r="M169" s="171" t="n">
        <v>4800</v>
      </c>
      <c r="N169" s="132" t="inlineStr">
        <is>
          <t>12个 × 400/个 = 4,800</t>
        </is>
      </c>
      <c r="O169" s="133" t="inlineStr">
        <is>
          <t>L6-photo&amp;xray 固定单价 400/个样品；不按实验室报价中值计算</t>
        </is>
      </c>
    </row>
    <row r="170">
      <c r="A170" s="174" t="inlineStr">
        <is>
          <t>Group B Total Cost</t>
        </is>
      </c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3" t="n"/>
      <c r="K170" s="171">
        <f>SUM(K163:K169)</f>
        <v/>
      </c>
      <c r="L170" s="171">
        <f>SUM(L163:L169)</f>
        <v/>
      </c>
      <c r="M170" s="171">
        <f>SUM(M163:M169)</f>
        <v/>
      </c>
      <c r="N170" s="146" t="n"/>
      <c r="O170" s="175" t="n"/>
    </row>
    <row r="171">
      <c r="A171" s="159" t="inlineStr">
        <is>
          <t>Group C：PV / Group C Sequence Tests</t>
        </is>
      </c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3" t="n"/>
    </row>
    <row r="172" ht="16" customHeight="1" s="4">
      <c r="A172" s="128" t="inlineStr">
        <is>
          <t>组别顺序</t>
        </is>
      </c>
      <c r="B172" s="71" t="inlineStr">
        <is>
          <t>组内顺序</t>
        </is>
      </c>
      <c r="C172" s="71" t="inlineStr">
        <is>
          <t>Phase</t>
        </is>
      </c>
      <c r="D172" s="71" t="inlineStr">
        <is>
          <t>测试编号</t>
        </is>
      </c>
      <c r="E172" s="129" t="inlineStr">
        <is>
          <t>测试项目</t>
        </is>
      </c>
      <c r="F172" s="71" t="inlineStr">
        <is>
          <t>样品范围</t>
        </is>
      </c>
      <c r="G172" s="71" t="inlineStr">
        <is>
          <t>计费基数</t>
        </is>
      </c>
      <c r="H172" s="71" t="inlineStr">
        <is>
          <t>测试时间</t>
        </is>
      </c>
      <c r="I172" s="71" t="inlineStr">
        <is>
          <t>计费方式</t>
        </is>
      </c>
      <c r="J172" s="71" t="inlineStr">
        <is>
          <t>费用归属</t>
        </is>
      </c>
      <c r="K172" s="171" t="inlineStr">
        <is>
          <t>内部费用</t>
        </is>
      </c>
      <c r="L172" s="171" t="inlineStr">
        <is>
          <t>委外费用</t>
        </is>
      </c>
      <c r="M172" s="171" t="inlineStr">
        <is>
          <t>费用合计</t>
        </is>
      </c>
      <c r="N172" s="132" t="inlineStr">
        <is>
          <t>费用计算公式</t>
        </is>
      </c>
      <c r="O172" s="146" t="inlineStr">
        <is>
          <t>备注</t>
        </is>
      </c>
    </row>
    <row r="173" ht="31" customHeight="1" s="4">
      <c r="A173" s="128" t="inlineStr">
        <is>
          <t>Group C</t>
        </is>
      </c>
      <c r="B173" s="71" t="n">
        <v>1</v>
      </c>
      <c r="C173" s="71" t="inlineStr">
        <is>
          <t>PV</t>
        </is>
      </c>
      <c r="D173" s="71" t="inlineStr">
        <is>
          <t>Optical</t>
        </is>
      </c>
      <c r="E173" s="129" t="inlineStr">
        <is>
          <t>Optical Test</t>
        </is>
      </c>
      <c r="F173" s="71" t="inlineStr">
        <is>
          <t>27-32</t>
        </is>
      </c>
      <c r="G173" s="71" t="inlineStr">
        <is>
          <t>6 个样品</t>
        </is>
      </c>
      <c r="H173" s="71" t="inlineStr">
        <is>
          <t>168 h</t>
        </is>
      </c>
      <c r="I173" s="71" t="inlineStr">
        <is>
          <t>按样品数量</t>
        </is>
      </c>
      <c r="J173" s="71" t="inlineStr">
        <is>
          <t>内部费用</t>
        </is>
      </c>
      <c r="K173" s="171" t="n">
        <v>1510</v>
      </c>
      <c r="L173" s="171" t="n"/>
      <c r="M173" s="171" t="n">
        <v>1510</v>
      </c>
      <c r="N173" s="132" t="inlineStr">
        <is>
          <t>1台×51点位(¥460) + 5台×19点位(¥210) = 460 + 1,050 = 1,510</t>
        </is>
      </c>
      <c r="O173" s="133" t="inlineStr">
        <is>
          <t>Optical Test: 1 台按 51 点位，其余按 19 点位计费</t>
        </is>
      </c>
    </row>
    <row r="174" ht="31" customHeight="1" s="4">
      <c r="A174" s="128" t="inlineStr">
        <is>
          <t>Group C</t>
        </is>
      </c>
      <c r="B174" s="71" t="n">
        <v>2</v>
      </c>
      <c r="C174" s="71" t="inlineStr">
        <is>
          <t>PV</t>
        </is>
      </c>
      <c r="D174" s="71" t="inlineStr">
        <is>
          <t>L1&amp;L4</t>
        </is>
      </c>
      <c r="E174" s="129" t="inlineStr">
        <is>
          <t>L1&amp;L4 Performance Evaluation &amp; Functional Evaluation</t>
        </is>
      </c>
      <c r="F174" s="71" t="inlineStr">
        <is>
          <t>27-32</t>
        </is>
      </c>
      <c r="G174" s="71" t="inlineStr">
        <is>
          <t>6 个样品</t>
        </is>
      </c>
      <c r="H174" s="71" t="inlineStr">
        <is>
          <t>72 h</t>
        </is>
      </c>
      <c r="I174" s="71" t="inlineStr">
        <is>
          <t>按样品数量</t>
        </is>
      </c>
      <c r="J174" s="71" t="inlineStr">
        <is>
          <t>委外费用</t>
        </is>
      </c>
      <c r="K174" s="171" t="n"/>
      <c r="L174" s="171" t="n">
        <v>2400</v>
      </c>
      <c r="M174" s="171" t="n">
        <v>2400</v>
      </c>
      <c r="N174" s="132" t="inlineStr">
        <is>
          <t>6个 × 400/个 = 2,400</t>
        </is>
      </c>
      <c r="O174" s="133" t="n"/>
    </row>
    <row r="175" ht="16" customHeight="1" s="4">
      <c r="A175" s="128" t="inlineStr">
        <is>
          <t>Group C</t>
        </is>
      </c>
      <c r="B175" s="71" t="n">
        <v>3</v>
      </c>
      <c r="C175" s="71" t="inlineStr">
        <is>
          <t>PV</t>
        </is>
      </c>
      <c r="D175" s="71" t="inlineStr">
        <is>
          <t>K7</t>
        </is>
      </c>
      <c r="E175" s="129" t="inlineStr">
        <is>
          <t>K7 Thermal Shock in Air</t>
        </is>
      </c>
      <c r="F175" s="71" t="inlineStr">
        <is>
          <t>27-32</t>
        </is>
      </c>
      <c r="G175" s="71" t="inlineStr">
        <is>
          <t>105 h</t>
        </is>
      </c>
      <c r="H175" s="71" t="inlineStr">
        <is>
          <t>105 h</t>
        </is>
      </c>
      <c r="I175" s="71" t="inlineStr">
        <is>
          <t>按小时</t>
        </is>
      </c>
      <c r="J175" s="71" t="inlineStr">
        <is>
          <t>委外费用</t>
        </is>
      </c>
      <c r="K175" s="171" t="n"/>
      <c r="L175" s="171" t="n">
        <v>10500</v>
      </c>
      <c r="M175" s="171" t="n">
        <v>10500</v>
      </c>
      <c r="N175" s="132" t="inlineStr">
        <is>
          <t>105h × 100/h = 10,500</t>
        </is>
      </c>
      <c r="O175" s="133" t="n"/>
    </row>
    <row r="176" ht="31" customHeight="1" s="4">
      <c r="A176" s="128" t="inlineStr">
        <is>
          <t>Group C</t>
        </is>
      </c>
      <c r="B176" s="71" t="n">
        <v>4</v>
      </c>
      <c r="C176" s="71" t="inlineStr">
        <is>
          <t>PV</t>
        </is>
      </c>
      <c r="D176" s="71" t="inlineStr">
        <is>
          <t>Particle</t>
        </is>
      </c>
      <c r="E176" s="129" t="inlineStr">
        <is>
          <t>Particle Exposure</t>
        </is>
      </c>
      <c r="F176" s="71" t="inlineStr">
        <is>
          <t>27-32</t>
        </is>
      </c>
      <c r="G176" s="71" t="n"/>
      <c r="H176" s="71" t="inlineStr">
        <is>
          <t>48 h</t>
        </is>
      </c>
      <c r="I176" s="71" t="inlineStr">
        <is>
          <t>按批次</t>
        </is>
      </c>
      <c r="J176" s="71" t="inlineStr">
        <is>
          <t>委外费用</t>
        </is>
      </c>
      <c r="K176" s="171" t="n"/>
      <c r="L176" s="171" t="n">
        <v>3000</v>
      </c>
      <c r="M176" s="171" t="n">
        <v>3000</v>
      </c>
      <c r="N176" s="132" t="inlineStr">
        <is>
          <t>A组已计入粉尘费/清洁费，当前仅计批次费：2批 × 1,500/批 = 3,000</t>
        </is>
      </c>
      <c r="O176" s="133" t="inlineStr">
        <is>
          <t>Particle Exposure：A组已覆盖粉尘费/清洁费，Group C 仅计新增批次费</t>
        </is>
      </c>
    </row>
    <row r="177" ht="16" customHeight="1" s="4">
      <c r="A177" s="128" t="inlineStr">
        <is>
          <t>Group C</t>
        </is>
      </c>
      <c r="B177" s="71" t="n">
        <v>5</v>
      </c>
      <c r="C177" s="71" t="inlineStr">
        <is>
          <t>PV</t>
        </is>
      </c>
      <c r="D177" s="71" t="inlineStr">
        <is>
          <t>K15</t>
        </is>
      </c>
      <c r="E177" s="129" t="inlineStr">
        <is>
          <t>K15 Vibartion</t>
        </is>
      </c>
      <c r="F177" s="71" t="inlineStr">
        <is>
          <t>27-32</t>
        </is>
      </c>
      <c r="G177" s="71" t="inlineStr">
        <is>
          <t>24 h</t>
        </is>
      </c>
      <c r="H177" s="71" t="inlineStr">
        <is>
          <t>24 h</t>
        </is>
      </c>
      <c r="I177" s="71" t="inlineStr">
        <is>
          <t>按小时</t>
        </is>
      </c>
      <c r="J177" s="71" t="inlineStr">
        <is>
          <t>委外费用</t>
        </is>
      </c>
      <c r="K177" s="171" t="n"/>
      <c r="L177" s="171" t="n">
        <v>12000</v>
      </c>
      <c r="M177" s="171" t="n">
        <v>12000</v>
      </c>
      <c r="N177" s="132" t="inlineStr">
        <is>
          <t>24h × 500/h = 12,000</t>
        </is>
      </c>
      <c r="O177" s="133" t="n"/>
    </row>
    <row r="178" ht="16" customHeight="1" s="4">
      <c r="A178" s="128" t="inlineStr">
        <is>
          <t>Group C</t>
        </is>
      </c>
      <c r="B178" s="71" t="n">
        <v>6</v>
      </c>
      <c r="C178" s="71" t="inlineStr">
        <is>
          <t>PV</t>
        </is>
      </c>
      <c r="D178" s="71" t="inlineStr">
        <is>
          <t>K13</t>
        </is>
      </c>
      <c r="E178" s="129" t="inlineStr">
        <is>
          <t>K13 Dust Ingress</t>
        </is>
      </c>
      <c r="F178" s="71" t="inlineStr">
        <is>
          <t>27-32</t>
        </is>
      </c>
      <c r="G178" s="71" t="inlineStr">
        <is>
          <t>2 批</t>
        </is>
      </c>
      <c r="H178" s="71" t="inlineStr">
        <is>
          <t>48 h</t>
        </is>
      </c>
      <c r="I178" s="71" t="inlineStr">
        <is>
          <t>按批次</t>
        </is>
      </c>
      <c r="J178" s="71" t="inlineStr">
        <is>
          <t>委外费用</t>
        </is>
      </c>
      <c r="K178" s="171" t="n"/>
      <c r="L178" s="171" t="n">
        <v>3000</v>
      </c>
      <c r="M178" s="171" t="n">
        <v>3000</v>
      </c>
      <c r="N178" s="132" t="inlineStr">
        <is>
          <t>2批 × 1500/批 = 3,000</t>
        </is>
      </c>
      <c r="O178" s="133" t="n"/>
    </row>
    <row r="179" ht="31" customHeight="1" s="4">
      <c r="A179" s="134" t="inlineStr">
        <is>
          <t>Group C</t>
        </is>
      </c>
      <c r="B179" s="135" t="n">
        <v>7</v>
      </c>
      <c r="C179" s="135" t="inlineStr">
        <is>
          <t>PV</t>
        </is>
      </c>
      <c r="D179" s="135" t="inlineStr">
        <is>
          <t>K14</t>
        </is>
      </c>
      <c r="E179" s="136" t="inlineStr">
        <is>
          <t>K14 Dust Blowing Test</t>
        </is>
      </c>
      <c r="F179" s="135" t="inlineStr">
        <is>
          <t>27-32</t>
        </is>
      </c>
      <c r="G179" s="135" t="inlineStr">
        <is>
          <t>2 批</t>
        </is>
      </c>
      <c r="H179" s="135" t="inlineStr">
        <is>
          <t>72 h</t>
        </is>
      </c>
      <c r="I179" s="135" t="inlineStr">
        <is>
          <t>按批次</t>
        </is>
      </c>
      <c r="J179" s="135" t="inlineStr">
        <is>
          <t>委外费用</t>
        </is>
      </c>
      <c r="K179" s="173" t="n"/>
      <c r="L179" s="173" t="n">
        <v>6000</v>
      </c>
      <c r="M179" s="173" t="n">
        <v>6000</v>
      </c>
      <c r="N179" s="138" t="inlineStr">
        <is>
          <t>2批 × 3000/批 = 6,000</t>
        </is>
      </c>
      <c r="O179" s="139" t="inlineStr">
        <is>
          <t>K14 Dust Blowing 指定国测，按 3000/批计算；每批 3 台样品</t>
        </is>
      </c>
    </row>
    <row r="180" ht="46" customHeight="1" s="4">
      <c r="A180" s="128" t="inlineStr">
        <is>
          <t>Group C</t>
        </is>
      </c>
      <c r="B180" s="71" t="n">
        <v>8</v>
      </c>
      <c r="C180" s="71" t="inlineStr">
        <is>
          <t>PV</t>
        </is>
      </c>
      <c r="D180" s="71" t="inlineStr">
        <is>
          <t>K26</t>
        </is>
      </c>
      <c r="E180" s="129" t="inlineStr">
        <is>
          <t>K26 Mechanical Wear-Out</t>
        </is>
      </c>
      <c r="F180" s="71" t="inlineStr">
        <is>
          <t>27-32</t>
        </is>
      </c>
      <c r="G180" s="71" t="inlineStr">
        <is>
          <t>500 h</t>
        </is>
      </c>
      <c r="H180" s="71" t="inlineStr">
        <is>
          <t>500 h</t>
        </is>
      </c>
      <c r="I180" s="71" t="inlineStr">
        <is>
          <t>按小时</t>
        </is>
      </c>
      <c r="J180" s="71" t="inlineStr">
        <is>
          <t>委外费用</t>
        </is>
      </c>
      <c r="K180" s="171" t="n"/>
      <c r="L180" s="171" t="n">
        <v>7158</v>
      </c>
      <c r="M180" s="171" t="n">
        <v>7158</v>
      </c>
      <c r="N180" s="132" t="inlineStr">
        <is>
          <t>334h×10 + 83h×23 + 83h×23 = 7,158</t>
        </is>
      </c>
      <c r="O180" s="133" t="inlineStr">
        <is>
          <t>K26 Mechanical Wear-Out 按 334h 常温 + 83h 低温 + 83h 高温分别计费，采用当前实验室总价</t>
        </is>
      </c>
    </row>
    <row r="181" ht="31" customHeight="1" s="4">
      <c r="A181" s="128" t="inlineStr">
        <is>
          <t>Group C</t>
        </is>
      </c>
      <c r="B181" s="71" t="n">
        <v>9</v>
      </c>
      <c r="C181" s="71" t="inlineStr">
        <is>
          <t>PV</t>
        </is>
      </c>
      <c r="D181" s="71" t="inlineStr">
        <is>
          <t>L1&amp;L4</t>
        </is>
      </c>
      <c r="E181" s="129" t="inlineStr">
        <is>
          <t>L1&amp;L4 Performance Evaluation &amp; Functional Evaluation</t>
        </is>
      </c>
      <c r="F181" s="71" t="inlineStr">
        <is>
          <t>27-32</t>
        </is>
      </c>
      <c r="G181" s="71" t="inlineStr">
        <is>
          <t>6 个样品</t>
        </is>
      </c>
      <c r="H181" s="71" t="inlineStr">
        <is>
          <t>48 h</t>
        </is>
      </c>
      <c r="I181" s="71" t="inlineStr">
        <is>
          <t>按样品数量</t>
        </is>
      </c>
      <c r="J181" s="71" t="inlineStr">
        <is>
          <t>委外费用</t>
        </is>
      </c>
      <c r="K181" s="171" t="n"/>
      <c r="L181" s="171" t="n">
        <v>2400</v>
      </c>
      <c r="M181" s="171" t="n">
        <v>2400</v>
      </c>
      <c r="N181" s="132" t="inlineStr">
        <is>
          <t>6个 × 400/个 = 2,400</t>
        </is>
      </c>
      <c r="O181" s="133" t="n"/>
    </row>
    <row r="182" ht="31" customHeight="1" s="4">
      <c r="A182" s="128" t="inlineStr">
        <is>
          <t>Group C</t>
        </is>
      </c>
      <c r="B182" s="71" t="n">
        <v>10</v>
      </c>
      <c r="C182" s="71" t="inlineStr">
        <is>
          <t>PV</t>
        </is>
      </c>
      <c r="D182" s="71" t="inlineStr">
        <is>
          <t>Optical</t>
        </is>
      </c>
      <c r="E182" s="129" t="inlineStr">
        <is>
          <t>Optical Test</t>
        </is>
      </c>
      <c r="F182" s="71" t="inlineStr">
        <is>
          <t>27-32</t>
        </is>
      </c>
      <c r="G182" s="71" t="inlineStr">
        <is>
          <t>6 个样品</t>
        </is>
      </c>
      <c r="H182" s="71" t="inlineStr">
        <is>
          <t>24 h</t>
        </is>
      </c>
      <c r="I182" s="71" t="inlineStr">
        <is>
          <t>按样品数量</t>
        </is>
      </c>
      <c r="J182" s="71" t="inlineStr">
        <is>
          <t>内部费用</t>
        </is>
      </c>
      <c r="K182" s="171" t="n">
        <v>1510</v>
      </c>
      <c r="L182" s="171" t="n"/>
      <c r="M182" s="171" t="n">
        <v>1510</v>
      </c>
      <c r="N182" s="132" t="inlineStr">
        <is>
          <t>1台×51点位(¥460) + 5台×19点位(¥210) = 460 + 1,050 = 1,510</t>
        </is>
      </c>
      <c r="O182" s="133" t="inlineStr">
        <is>
          <t>Optical Test: 1 台按 51 点位，其余按 19 点位计费</t>
        </is>
      </c>
    </row>
    <row r="183" ht="31" customHeight="1" s="4">
      <c r="A183" s="128" t="inlineStr">
        <is>
          <t>Group C</t>
        </is>
      </c>
      <c r="B183" s="71" t="n">
        <v>11</v>
      </c>
      <c r="C183" s="71" t="inlineStr">
        <is>
          <t>PV</t>
        </is>
      </c>
      <c r="D183" s="71" t="inlineStr">
        <is>
          <t>L6-photo&amp;xray</t>
        </is>
      </c>
      <c r="E183" s="129" t="inlineStr">
        <is>
          <t>L6-photo&amp;xray</t>
        </is>
      </c>
      <c r="F183" s="71" t="inlineStr">
        <is>
          <t>27-32</t>
        </is>
      </c>
      <c r="G183" s="71" t="inlineStr">
        <is>
          <t>6 个样品</t>
        </is>
      </c>
      <c r="H183" s="71" t="inlineStr">
        <is>
          <t>72 h</t>
        </is>
      </c>
      <c r="I183" s="71" t="inlineStr">
        <is>
          <t>按样品数量</t>
        </is>
      </c>
      <c r="J183" s="71" t="inlineStr">
        <is>
          <t>内部费用</t>
        </is>
      </c>
      <c r="K183" s="171" t="n">
        <v>2400</v>
      </c>
      <c r="L183" s="171" t="n"/>
      <c r="M183" s="171" t="n">
        <v>2400</v>
      </c>
      <c r="N183" s="132" t="inlineStr">
        <is>
          <t>6个 × 400/个 = 2,400</t>
        </is>
      </c>
      <c r="O183" s="133" t="inlineStr">
        <is>
          <t>L6-photo&amp;xray 固定单价 400/个样品；不按实验室报价中值计算</t>
        </is>
      </c>
    </row>
    <row r="184">
      <c r="A184" s="174" t="inlineStr">
        <is>
          <t>Group C Total Cost</t>
        </is>
      </c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3" t="n"/>
      <c r="K184" s="171">
        <f>SUM(K173:K183)</f>
        <v/>
      </c>
      <c r="L184" s="171">
        <f>SUM(L173:L183)</f>
        <v/>
      </c>
      <c r="M184" s="171">
        <f>SUM(M173:M183)</f>
        <v/>
      </c>
      <c r="N184" s="146" t="n"/>
      <c r="O184" s="175" t="n"/>
    </row>
    <row r="185">
      <c r="A185" s="159" t="inlineStr">
        <is>
          <t>Group D-1：PV / Group D Parallel Tests / D-1 Corrosive Gases</t>
        </is>
      </c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3" t="n"/>
    </row>
    <row r="186" ht="16" customHeight="1" s="4">
      <c r="A186" s="128" t="inlineStr">
        <is>
          <t>组别顺序</t>
        </is>
      </c>
      <c r="B186" s="71" t="inlineStr">
        <is>
          <t>组内顺序</t>
        </is>
      </c>
      <c r="C186" s="71" t="inlineStr">
        <is>
          <t>Phase</t>
        </is>
      </c>
      <c r="D186" s="71" t="inlineStr">
        <is>
          <t>测试编号</t>
        </is>
      </c>
      <c r="E186" s="129" t="inlineStr">
        <is>
          <t>测试项目</t>
        </is>
      </c>
      <c r="F186" s="71" t="inlineStr">
        <is>
          <t>样品范围</t>
        </is>
      </c>
      <c r="G186" s="71" t="inlineStr">
        <is>
          <t>计费基数</t>
        </is>
      </c>
      <c r="H186" s="71" t="inlineStr">
        <is>
          <t>测试时间</t>
        </is>
      </c>
      <c r="I186" s="71" t="inlineStr">
        <is>
          <t>计费方式</t>
        </is>
      </c>
      <c r="J186" s="71" t="inlineStr">
        <is>
          <t>费用归属</t>
        </is>
      </c>
      <c r="K186" s="171" t="inlineStr">
        <is>
          <t>内部费用</t>
        </is>
      </c>
      <c r="L186" s="171" t="inlineStr">
        <is>
          <t>委外费用</t>
        </is>
      </c>
      <c r="M186" s="171" t="inlineStr">
        <is>
          <t>费用合计</t>
        </is>
      </c>
      <c r="N186" s="132" t="inlineStr">
        <is>
          <t>费用计算公式</t>
        </is>
      </c>
      <c r="O186" s="146" t="inlineStr">
        <is>
          <t>备注</t>
        </is>
      </c>
    </row>
    <row r="187" ht="31" customHeight="1" s="4">
      <c r="A187" s="128" t="inlineStr">
        <is>
          <t>Group D-1</t>
        </is>
      </c>
      <c r="B187" s="71" t="n">
        <v>1</v>
      </c>
      <c r="C187" s="71" t="inlineStr">
        <is>
          <t>PV</t>
        </is>
      </c>
      <c r="D187" s="71" t="inlineStr">
        <is>
          <t>Optical</t>
        </is>
      </c>
      <c r="E187" s="129" t="inlineStr">
        <is>
          <t>Optical Test</t>
        </is>
      </c>
      <c r="F187" s="71" t="inlineStr">
        <is>
          <t>33-38</t>
        </is>
      </c>
      <c r="G187" s="71" t="inlineStr">
        <is>
          <t>6 个样品</t>
        </is>
      </c>
      <c r="H187" s="71" t="inlineStr">
        <is>
          <t>168 h</t>
        </is>
      </c>
      <c r="I187" s="71" t="inlineStr">
        <is>
          <t>按样品数量</t>
        </is>
      </c>
      <c r="J187" s="71" t="inlineStr">
        <is>
          <t>内部费用</t>
        </is>
      </c>
      <c r="K187" s="171" t="n">
        <v>1510</v>
      </c>
      <c r="L187" s="171" t="n"/>
      <c r="M187" s="171" t="n">
        <v>1510</v>
      </c>
      <c r="N187" s="132" t="inlineStr">
        <is>
          <t>1台×51点位(¥460) + 5台×19点位(¥210) = 460 + 1,050 = 1,510</t>
        </is>
      </c>
      <c r="O187" s="133" t="inlineStr">
        <is>
          <t>Optical Test: 1 台按 51 点位，其余按 19 点位计费</t>
        </is>
      </c>
    </row>
    <row r="188" ht="31" customHeight="1" s="4">
      <c r="A188" s="128" t="inlineStr">
        <is>
          <t>Group D-1</t>
        </is>
      </c>
      <c r="B188" s="71" t="n">
        <v>2</v>
      </c>
      <c r="C188" s="71" t="inlineStr">
        <is>
          <t>PV</t>
        </is>
      </c>
      <c r="D188" s="71" t="inlineStr">
        <is>
          <t>L1&amp;L4</t>
        </is>
      </c>
      <c r="E188" s="129" t="inlineStr">
        <is>
          <t>L1&amp;L4 Performance Evaluation &amp; Functional Evaluation</t>
        </is>
      </c>
      <c r="F188" s="71" t="inlineStr">
        <is>
          <t>33-38</t>
        </is>
      </c>
      <c r="G188" s="71" t="inlineStr">
        <is>
          <t>6 个样品</t>
        </is>
      </c>
      <c r="H188" s="71" t="inlineStr">
        <is>
          <t>72 h</t>
        </is>
      </c>
      <c r="I188" s="71" t="inlineStr">
        <is>
          <t>按样品数量</t>
        </is>
      </c>
      <c r="J188" s="71" t="inlineStr">
        <is>
          <t>委外费用</t>
        </is>
      </c>
      <c r="K188" s="171" t="n"/>
      <c r="L188" s="171" t="n">
        <v>2400</v>
      </c>
      <c r="M188" s="171" t="n">
        <v>2400</v>
      </c>
      <c r="N188" s="132" t="inlineStr">
        <is>
          <t>6个 × 400/个 = 2,400</t>
        </is>
      </c>
      <c r="O188" s="133" t="n"/>
    </row>
    <row r="189" ht="16" customHeight="1" s="4">
      <c r="A189" s="128" t="inlineStr">
        <is>
          <t>Group D-1</t>
        </is>
      </c>
      <c r="B189" s="71" t="n">
        <v>3</v>
      </c>
      <c r="C189" s="71" t="inlineStr">
        <is>
          <t>PV</t>
        </is>
      </c>
      <c r="D189" s="71" t="inlineStr">
        <is>
          <t>K21</t>
        </is>
      </c>
      <c r="E189" s="129" t="inlineStr">
        <is>
          <t>K21 Corrosive Gases</t>
        </is>
      </c>
      <c r="F189" s="71" t="inlineStr">
        <is>
          <t>33-38</t>
        </is>
      </c>
      <c r="G189" s="71" t="inlineStr">
        <is>
          <t>336 h</t>
        </is>
      </c>
      <c r="H189" s="71" t="inlineStr">
        <is>
          <t>336 h</t>
        </is>
      </c>
      <c r="I189" s="71" t="inlineStr">
        <is>
          <t>按小时</t>
        </is>
      </c>
      <c r="J189" s="71" t="inlineStr">
        <is>
          <t>委外费用</t>
        </is>
      </c>
      <c r="K189" s="171" t="n"/>
      <c r="L189" s="171" t="n">
        <v>40320</v>
      </c>
      <c r="M189" s="171" t="n">
        <v>40320</v>
      </c>
      <c r="N189" s="132" t="inlineStr">
        <is>
          <t>336h × 120/h = 40,320</t>
        </is>
      </c>
      <c r="O189" s="133" t="n"/>
    </row>
    <row r="190" ht="31" customHeight="1" s="4">
      <c r="A190" s="128" t="inlineStr">
        <is>
          <t>Group D-1</t>
        </is>
      </c>
      <c r="B190" s="71" t="n">
        <v>4</v>
      </c>
      <c r="C190" s="71" t="inlineStr">
        <is>
          <t>PV</t>
        </is>
      </c>
      <c r="D190" s="71" t="inlineStr">
        <is>
          <t>L1&amp;L4</t>
        </is>
      </c>
      <c r="E190" s="129" t="inlineStr">
        <is>
          <t>L1&amp;L4 Performance Evaluation &amp; Functional Evaluation</t>
        </is>
      </c>
      <c r="F190" s="71" t="inlineStr">
        <is>
          <t>33-38</t>
        </is>
      </c>
      <c r="G190" s="71" t="inlineStr">
        <is>
          <t>6 个样品</t>
        </is>
      </c>
      <c r="H190" s="71" t="inlineStr">
        <is>
          <t>48 h</t>
        </is>
      </c>
      <c r="I190" s="71" t="inlineStr">
        <is>
          <t>按样品数量</t>
        </is>
      </c>
      <c r="J190" s="71" t="inlineStr">
        <is>
          <t>委外费用</t>
        </is>
      </c>
      <c r="K190" s="171" t="n"/>
      <c r="L190" s="171" t="n">
        <v>2400</v>
      </c>
      <c r="M190" s="171" t="n">
        <v>2400</v>
      </c>
      <c r="N190" s="132" t="inlineStr">
        <is>
          <t>6个 × 400/个 = 2,400</t>
        </is>
      </c>
      <c r="O190" s="133" t="n"/>
    </row>
    <row r="191" ht="31" customHeight="1" s="4">
      <c r="A191" s="128" t="inlineStr">
        <is>
          <t>Group D-1</t>
        </is>
      </c>
      <c r="B191" s="71" t="n">
        <v>5</v>
      </c>
      <c r="C191" s="71" t="inlineStr">
        <is>
          <t>PV</t>
        </is>
      </c>
      <c r="D191" s="71" t="inlineStr">
        <is>
          <t>Optical</t>
        </is>
      </c>
      <c r="E191" s="129" t="inlineStr">
        <is>
          <t>Optical Test</t>
        </is>
      </c>
      <c r="F191" s="71" t="inlineStr">
        <is>
          <t>33-38</t>
        </is>
      </c>
      <c r="G191" s="71" t="inlineStr">
        <is>
          <t>6 个样品</t>
        </is>
      </c>
      <c r="H191" s="71" t="inlineStr">
        <is>
          <t>24 h</t>
        </is>
      </c>
      <c r="I191" s="71" t="inlineStr">
        <is>
          <t>按样品数量</t>
        </is>
      </c>
      <c r="J191" s="71" t="inlineStr">
        <is>
          <t>内部费用</t>
        </is>
      </c>
      <c r="K191" s="171" t="n">
        <v>1510</v>
      </c>
      <c r="L191" s="171" t="n"/>
      <c r="M191" s="171" t="n">
        <v>1510</v>
      </c>
      <c r="N191" s="132" t="inlineStr">
        <is>
          <t>1台×51点位(¥460) + 5台×19点位(¥210) = 460 + 1,050 = 1,510</t>
        </is>
      </c>
      <c r="O191" s="133" t="inlineStr">
        <is>
          <t>Optical Test: 1 台按 51 点位，其余按 19 点位计费</t>
        </is>
      </c>
    </row>
    <row r="192" ht="31" customHeight="1" s="4">
      <c r="A192" s="128" t="inlineStr">
        <is>
          <t>Group D-1</t>
        </is>
      </c>
      <c r="B192" s="71" t="n">
        <v>6</v>
      </c>
      <c r="C192" s="71" t="inlineStr">
        <is>
          <t>PV</t>
        </is>
      </c>
      <c r="D192" s="71" t="inlineStr">
        <is>
          <t>L6-photo&amp;xray</t>
        </is>
      </c>
      <c r="E192" s="129" t="inlineStr">
        <is>
          <t>L6-photo&amp;xray</t>
        </is>
      </c>
      <c r="F192" s="71" t="inlineStr">
        <is>
          <t>33-38</t>
        </is>
      </c>
      <c r="G192" s="71" t="inlineStr">
        <is>
          <t>6 个样品</t>
        </is>
      </c>
      <c r="H192" s="71" t="inlineStr">
        <is>
          <t>72 h</t>
        </is>
      </c>
      <c r="I192" s="71" t="inlineStr">
        <is>
          <t>按样品数量</t>
        </is>
      </c>
      <c r="J192" s="71" t="inlineStr">
        <is>
          <t>内部费用</t>
        </is>
      </c>
      <c r="K192" s="171" t="n">
        <v>2400</v>
      </c>
      <c r="L192" s="171" t="n"/>
      <c r="M192" s="171" t="n">
        <v>2400</v>
      </c>
      <c r="N192" s="132" t="inlineStr">
        <is>
          <t>6个 × 400/个 = 2,400</t>
        </is>
      </c>
      <c r="O192" s="133" t="inlineStr">
        <is>
          <t>L6-photo&amp;xray 固定单价 400/个样品；不按实验室报价中值计算</t>
        </is>
      </c>
    </row>
    <row r="193">
      <c r="A193" s="174" t="inlineStr">
        <is>
          <t>Group D-1 Total Cost</t>
        </is>
      </c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3" t="n"/>
      <c r="K193" s="171">
        <f>SUM(K187:K192)</f>
        <v/>
      </c>
      <c r="L193" s="171">
        <f>SUM(L187:L192)</f>
        <v/>
      </c>
      <c r="M193" s="171">
        <f>SUM(M187:M192)</f>
        <v/>
      </c>
      <c r="N193" s="146" t="n"/>
      <c r="O193" s="175" t="n"/>
    </row>
    <row r="194">
      <c r="A194" s="159" t="inlineStr">
        <is>
          <t>Group D-2：PV / Group D Parallel Tests / D-2 Solar Radiation</t>
        </is>
      </c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3" t="n"/>
    </row>
    <row r="195" ht="16" customHeight="1" s="4">
      <c r="A195" s="128" t="inlineStr">
        <is>
          <t>组别顺序</t>
        </is>
      </c>
      <c r="B195" s="71" t="inlineStr">
        <is>
          <t>组内顺序</t>
        </is>
      </c>
      <c r="C195" s="71" t="inlineStr">
        <is>
          <t>Phase</t>
        </is>
      </c>
      <c r="D195" s="71" t="inlineStr">
        <is>
          <t>测试编号</t>
        </is>
      </c>
      <c r="E195" s="129" t="inlineStr">
        <is>
          <t>测试项目</t>
        </is>
      </c>
      <c r="F195" s="71" t="inlineStr">
        <is>
          <t>样品范围</t>
        </is>
      </c>
      <c r="G195" s="71" t="inlineStr">
        <is>
          <t>计费基数</t>
        </is>
      </c>
      <c r="H195" s="71" t="inlineStr">
        <is>
          <t>测试时间</t>
        </is>
      </c>
      <c r="I195" s="71" t="inlineStr">
        <is>
          <t>计费方式</t>
        </is>
      </c>
      <c r="J195" s="71" t="inlineStr">
        <is>
          <t>费用归属</t>
        </is>
      </c>
      <c r="K195" s="171" t="inlineStr">
        <is>
          <t>内部费用</t>
        </is>
      </c>
      <c r="L195" s="171" t="inlineStr">
        <is>
          <t>委外费用</t>
        </is>
      </c>
      <c r="M195" s="171" t="inlineStr">
        <is>
          <t>费用合计</t>
        </is>
      </c>
      <c r="N195" s="132" t="inlineStr">
        <is>
          <t>费用计算公式</t>
        </is>
      </c>
      <c r="O195" s="146" t="inlineStr">
        <is>
          <t>备注</t>
        </is>
      </c>
    </row>
    <row r="196" ht="31" customHeight="1" s="4">
      <c r="A196" s="128" t="inlineStr">
        <is>
          <t>Group D-2</t>
        </is>
      </c>
      <c r="B196" s="71" t="n">
        <v>1</v>
      </c>
      <c r="C196" s="71" t="inlineStr">
        <is>
          <t>PV</t>
        </is>
      </c>
      <c r="D196" s="71" t="inlineStr">
        <is>
          <t>Optical</t>
        </is>
      </c>
      <c r="E196" s="129" t="inlineStr">
        <is>
          <t>Optical Test</t>
        </is>
      </c>
      <c r="F196" s="71" t="inlineStr">
        <is>
          <t>39-44</t>
        </is>
      </c>
      <c r="G196" s="71" t="inlineStr">
        <is>
          <t>6 个样品</t>
        </is>
      </c>
      <c r="H196" s="71" t="inlineStr">
        <is>
          <t>168 h</t>
        </is>
      </c>
      <c r="I196" s="71" t="inlineStr">
        <is>
          <t>按样品数量</t>
        </is>
      </c>
      <c r="J196" s="71" t="inlineStr">
        <is>
          <t>内部费用</t>
        </is>
      </c>
      <c r="K196" s="171" t="n">
        <v>1510</v>
      </c>
      <c r="L196" s="171" t="n"/>
      <c r="M196" s="171" t="n">
        <v>1510</v>
      </c>
      <c r="N196" s="132" t="inlineStr">
        <is>
          <t>1台×51点位(¥460) + 5台×19点位(¥210) = 460 + 1,050 = 1,510</t>
        </is>
      </c>
      <c r="O196" s="133" t="inlineStr">
        <is>
          <t>Optical Test: 1 台按 51 点位，其余按 19 点位计费</t>
        </is>
      </c>
    </row>
    <row r="197" ht="31" customHeight="1" s="4">
      <c r="A197" s="128" t="inlineStr">
        <is>
          <t>Group D-2</t>
        </is>
      </c>
      <c r="B197" s="71" t="n">
        <v>2</v>
      </c>
      <c r="C197" s="71" t="inlineStr">
        <is>
          <t>PV</t>
        </is>
      </c>
      <c r="D197" s="71" t="inlineStr">
        <is>
          <t>L1&amp;L4</t>
        </is>
      </c>
      <c r="E197" s="129" t="inlineStr">
        <is>
          <t>L1&amp;L4 Performance Evaluation &amp; Functional Evaluation</t>
        </is>
      </c>
      <c r="F197" s="71" t="inlineStr">
        <is>
          <t>39-44</t>
        </is>
      </c>
      <c r="G197" s="71" t="inlineStr">
        <is>
          <t>6 个样品</t>
        </is>
      </c>
      <c r="H197" s="71" t="inlineStr">
        <is>
          <t>72 h</t>
        </is>
      </c>
      <c r="I197" s="71" t="inlineStr">
        <is>
          <t>按样品数量</t>
        </is>
      </c>
      <c r="J197" s="71" t="inlineStr">
        <is>
          <t>委外费用</t>
        </is>
      </c>
      <c r="K197" s="171" t="n"/>
      <c r="L197" s="171" t="n">
        <v>2400</v>
      </c>
      <c r="M197" s="171" t="n">
        <v>2400</v>
      </c>
      <c r="N197" s="132" t="inlineStr">
        <is>
          <t>6个 × 400/个 = 2,400</t>
        </is>
      </c>
      <c r="O197" s="133" t="n"/>
    </row>
    <row r="198" ht="16" customHeight="1" s="4">
      <c r="A198" s="128" t="inlineStr">
        <is>
          <t>Group D-2</t>
        </is>
      </c>
      <c r="B198" s="71" t="n">
        <v>3</v>
      </c>
      <c r="C198" s="71" t="inlineStr">
        <is>
          <t>PV</t>
        </is>
      </c>
      <c r="D198" s="71" t="inlineStr">
        <is>
          <t>K20</t>
        </is>
      </c>
      <c r="E198" s="129" t="inlineStr">
        <is>
          <t>K20 Solar Radiation</t>
        </is>
      </c>
      <c r="F198" s="71" t="inlineStr">
        <is>
          <t>39-44</t>
        </is>
      </c>
      <c r="G198" s="71" t="inlineStr">
        <is>
          <t>720 h</t>
        </is>
      </c>
      <c r="H198" s="71" t="inlineStr">
        <is>
          <t>720 h</t>
        </is>
      </c>
      <c r="I198" s="71" t="inlineStr">
        <is>
          <t>按小时</t>
        </is>
      </c>
      <c r="J198" s="71" t="inlineStr">
        <is>
          <t>委外费用</t>
        </is>
      </c>
      <c r="K198" s="171" t="n"/>
      <c r="L198" s="171" t="n">
        <v>104400</v>
      </c>
      <c r="M198" s="171" t="n">
        <v>104400</v>
      </c>
      <c r="N198" s="132" t="inlineStr">
        <is>
          <t>720h × 145/h = 104,400</t>
        </is>
      </c>
      <c r="O198" s="133" t="n"/>
    </row>
    <row r="199" ht="31" customHeight="1" s="4">
      <c r="A199" s="128" t="inlineStr">
        <is>
          <t>Group D-2</t>
        </is>
      </c>
      <c r="B199" s="71" t="n">
        <v>4</v>
      </c>
      <c r="C199" s="71" t="inlineStr">
        <is>
          <t>PV</t>
        </is>
      </c>
      <c r="D199" s="71" t="inlineStr">
        <is>
          <t>L1&amp;L4</t>
        </is>
      </c>
      <c r="E199" s="129" t="inlineStr">
        <is>
          <t>L1&amp;L4 Performance Evaluation &amp; Functional Evaluation</t>
        </is>
      </c>
      <c r="F199" s="71" t="inlineStr">
        <is>
          <t>39-44</t>
        </is>
      </c>
      <c r="G199" s="71" t="inlineStr">
        <is>
          <t>6 个样品</t>
        </is>
      </c>
      <c r="H199" s="71" t="inlineStr">
        <is>
          <t>48 h</t>
        </is>
      </c>
      <c r="I199" s="71" t="inlineStr">
        <is>
          <t>按样品数量</t>
        </is>
      </c>
      <c r="J199" s="71" t="inlineStr">
        <is>
          <t>委外费用</t>
        </is>
      </c>
      <c r="K199" s="171" t="n"/>
      <c r="L199" s="171" t="n">
        <v>2400</v>
      </c>
      <c r="M199" s="171" t="n">
        <v>2400</v>
      </c>
      <c r="N199" s="132" t="inlineStr">
        <is>
          <t>6个 × 400/个 = 2,400</t>
        </is>
      </c>
      <c r="O199" s="133" t="n"/>
    </row>
    <row r="200" ht="31" customHeight="1" s="4">
      <c r="A200" s="128" t="inlineStr">
        <is>
          <t>Group D-2</t>
        </is>
      </c>
      <c r="B200" s="71" t="n">
        <v>5</v>
      </c>
      <c r="C200" s="71" t="inlineStr">
        <is>
          <t>PV</t>
        </is>
      </c>
      <c r="D200" s="71" t="inlineStr">
        <is>
          <t>Optical</t>
        </is>
      </c>
      <c r="E200" s="129" t="inlineStr">
        <is>
          <t>Optical Test</t>
        </is>
      </c>
      <c r="F200" s="71" t="inlineStr">
        <is>
          <t>39-44</t>
        </is>
      </c>
      <c r="G200" s="71" t="inlineStr">
        <is>
          <t>6 个样品</t>
        </is>
      </c>
      <c r="H200" s="71" t="inlineStr">
        <is>
          <t>24 h</t>
        </is>
      </c>
      <c r="I200" s="71" t="inlineStr">
        <is>
          <t>按样品数量</t>
        </is>
      </c>
      <c r="J200" s="71" t="inlineStr">
        <is>
          <t>内部费用</t>
        </is>
      </c>
      <c r="K200" s="171" t="n">
        <v>1510</v>
      </c>
      <c r="L200" s="171" t="n"/>
      <c r="M200" s="171" t="n">
        <v>1510</v>
      </c>
      <c r="N200" s="132" t="inlineStr">
        <is>
          <t>1台×51点位(¥460) + 5台×19点位(¥210) = 460 + 1,050 = 1,510</t>
        </is>
      </c>
      <c r="O200" s="133" t="inlineStr">
        <is>
          <t>Optical Test: 1 台按 51 点位，其余按 19 点位计费</t>
        </is>
      </c>
    </row>
    <row r="201" ht="31" customHeight="1" s="4">
      <c r="A201" s="128" t="inlineStr">
        <is>
          <t>Group D-2</t>
        </is>
      </c>
      <c r="B201" s="71" t="n">
        <v>6</v>
      </c>
      <c r="C201" s="71" t="inlineStr">
        <is>
          <t>PV</t>
        </is>
      </c>
      <c r="D201" s="71" t="inlineStr">
        <is>
          <t>L6-photo&amp;xray</t>
        </is>
      </c>
      <c r="E201" s="129" t="inlineStr">
        <is>
          <t>L6-photo&amp;xray</t>
        </is>
      </c>
      <c r="F201" s="71" t="inlineStr">
        <is>
          <t>39-44</t>
        </is>
      </c>
      <c r="G201" s="71" t="inlineStr">
        <is>
          <t>6 个样品</t>
        </is>
      </c>
      <c r="H201" s="71" t="inlineStr">
        <is>
          <t>72 h</t>
        </is>
      </c>
      <c r="I201" s="71" t="inlineStr">
        <is>
          <t>按样品数量</t>
        </is>
      </c>
      <c r="J201" s="71" t="inlineStr">
        <is>
          <t>内部费用</t>
        </is>
      </c>
      <c r="K201" s="171" t="n">
        <v>2400</v>
      </c>
      <c r="L201" s="171" t="n"/>
      <c r="M201" s="171" t="n">
        <v>2400</v>
      </c>
      <c r="N201" s="132" t="inlineStr">
        <is>
          <t>6个 × 400/个 = 2,400</t>
        </is>
      </c>
      <c r="O201" s="133" t="inlineStr">
        <is>
          <t>L6-photo&amp;xray 固定单价 400/个样品；不按实验室报价中值计算</t>
        </is>
      </c>
    </row>
    <row r="202">
      <c r="A202" s="174" t="inlineStr">
        <is>
          <t>Group D-2 Total Cost</t>
        </is>
      </c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3" t="n"/>
      <c r="K202" s="171">
        <f>SUM(K196:K201)</f>
        <v/>
      </c>
      <c r="L202" s="171">
        <f>SUM(L196:L201)</f>
        <v/>
      </c>
      <c r="M202" s="171">
        <f>SUM(M196:M201)</f>
        <v/>
      </c>
      <c r="N202" s="146" t="n"/>
      <c r="O202" s="175" t="n"/>
    </row>
    <row r="203">
      <c r="A203" s="159" t="inlineStr">
        <is>
          <t>Group D-3：PV / Group D Parallel Tests / D-3 Thermal Shock Endurance --PCBA</t>
        </is>
      </c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3" t="n"/>
    </row>
    <row r="204" ht="16" customHeight="1" s="4">
      <c r="A204" s="128" t="inlineStr">
        <is>
          <t>组别顺序</t>
        </is>
      </c>
      <c r="B204" s="71" t="inlineStr">
        <is>
          <t>组内顺序</t>
        </is>
      </c>
      <c r="C204" s="71" t="inlineStr">
        <is>
          <t>Phase</t>
        </is>
      </c>
      <c r="D204" s="71" t="inlineStr">
        <is>
          <t>测试编号</t>
        </is>
      </c>
      <c r="E204" s="129" t="inlineStr">
        <is>
          <t>测试项目</t>
        </is>
      </c>
      <c r="F204" s="71" t="inlineStr">
        <is>
          <t>样品范围</t>
        </is>
      </c>
      <c r="G204" s="71" t="inlineStr">
        <is>
          <t>计费基数</t>
        </is>
      </c>
      <c r="H204" s="71" t="inlineStr">
        <is>
          <t>测试时间</t>
        </is>
      </c>
      <c r="I204" s="71" t="inlineStr">
        <is>
          <t>计费方式</t>
        </is>
      </c>
      <c r="J204" s="71" t="inlineStr">
        <is>
          <t>费用归属</t>
        </is>
      </c>
      <c r="K204" s="171" t="inlineStr">
        <is>
          <t>内部费用</t>
        </is>
      </c>
      <c r="L204" s="171" t="inlineStr">
        <is>
          <t>委外费用</t>
        </is>
      </c>
      <c r="M204" s="171" t="inlineStr">
        <is>
          <t>费用合计</t>
        </is>
      </c>
      <c r="N204" s="132" t="inlineStr">
        <is>
          <t>费用计算公式</t>
        </is>
      </c>
      <c r="O204" s="146" t="inlineStr">
        <is>
          <t>备注</t>
        </is>
      </c>
    </row>
    <row r="205" ht="16" customHeight="1" s="4">
      <c r="A205" s="128" t="inlineStr">
        <is>
          <t>Group D-3</t>
        </is>
      </c>
      <c r="B205" s="71" t="n">
        <v>1</v>
      </c>
      <c r="C205" s="71" t="inlineStr">
        <is>
          <t>PV</t>
        </is>
      </c>
      <c r="D205" s="71" t="inlineStr">
        <is>
          <t>Optical</t>
        </is>
      </c>
      <c r="E205" s="129" t="inlineStr">
        <is>
          <t>Optical Test</t>
        </is>
      </c>
      <c r="F205" s="71" t="inlineStr">
        <is>
          <t>45-52</t>
        </is>
      </c>
      <c r="G205" s="71" t="n"/>
      <c r="H205" s="71" t="inlineStr">
        <is>
          <t>168 h</t>
        </is>
      </c>
      <c r="I205" s="71" t="inlineStr">
        <is>
          <t>待确认</t>
        </is>
      </c>
      <c r="J205" s="71" t="inlineStr">
        <is>
          <t>内部费用</t>
        </is>
      </c>
      <c r="K205" s="171" t="n"/>
      <c r="L205" s="171" t="n"/>
      <c r="M205" s="171" t="n"/>
      <c r="N205" s="132" t="n"/>
      <c r="O205" s="160" t="n"/>
    </row>
    <row r="206" ht="31" customHeight="1" s="4">
      <c r="A206" s="128" t="inlineStr">
        <is>
          <t>Group D-3</t>
        </is>
      </c>
      <c r="B206" s="71" t="n">
        <v>2</v>
      </c>
      <c r="C206" s="71" t="inlineStr">
        <is>
          <t>PV</t>
        </is>
      </c>
      <c r="D206" s="71" t="inlineStr">
        <is>
          <t>L1&amp;L4</t>
        </is>
      </c>
      <c r="E206" s="129" t="inlineStr">
        <is>
          <t>L1&amp;L4 Performance Evaluation &amp; Functional Evaluation</t>
        </is>
      </c>
      <c r="F206" s="71" t="inlineStr">
        <is>
          <t>45-52</t>
        </is>
      </c>
      <c r="G206" s="71" t="inlineStr">
        <is>
          <t>6 个样品</t>
        </is>
      </c>
      <c r="H206" s="71" t="inlineStr">
        <is>
          <t>72 h</t>
        </is>
      </c>
      <c r="I206" s="71" t="inlineStr">
        <is>
          <t>按样品数量</t>
        </is>
      </c>
      <c r="J206" s="71" t="inlineStr">
        <is>
          <t>委外费用</t>
        </is>
      </c>
      <c r="K206" s="171" t="n"/>
      <c r="L206" s="171" t="n">
        <v>2400</v>
      </c>
      <c r="M206" s="171" t="n">
        <v>2400</v>
      </c>
      <c r="N206" s="132" t="inlineStr">
        <is>
          <t>6个 × 400/个 = 2,400</t>
        </is>
      </c>
      <c r="O206" s="133" t="n"/>
    </row>
    <row r="207" ht="16" customHeight="1" s="4">
      <c r="A207" s="128" t="inlineStr">
        <is>
          <t>Group D-3</t>
        </is>
      </c>
      <c r="B207" s="71" t="n">
        <v>3</v>
      </c>
      <c r="C207" s="71" t="inlineStr">
        <is>
          <t>PV</t>
        </is>
      </c>
      <c r="D207" s="71" t="inlineStr">
        <is>
          <t>K23</t>
        </is>
      </c>
      <c r="E207" s="129" t="inlineStr">
        <is>
          <t>K23 Thermal Shock Endurance</t>
        </is>
      </c>
      <c r="F207" s="71" t="inlineStr">
        <is>
          <t>45-52</t>
        </is>
      </c>
      <c r="G207" s="71" t="inlineStr">
        <is>
          <t>1017 h</t>
        </is>
      </c>
      <c r="H207" s="71" t="inlineStr">
        <is>
          <t>1017 h</t>
        </is>
      </c>
      <c r="I207" s="71" t="inlineStr">
        <is>
          <t>按小时</t>
        </is>
      </c>
      <c r="J207" s="71" t="inlineStr">
        <is>
          <t>委外费用</t>
        </is>
      </c>
      <c r="K207" s="171" t="n"/>
      <c r="L207" s="171" t="n">
        <v>50850</v>
      </c>
      <c r="M207" s="171" t="n">
        <v>50850</v>
      </c>
      <c r="N207" s="132" t="inlineStr">
        <is>
          <t>1017h × 50/h = 50,850</t>
        </is>
      </c>
      <c r="O207" s="133" t="n"/>
    </row>
    <row r="208" ht="31" customHeight="1" s="4">
      <c r="A208" s="128" t="inlineStr">
        <is>
          <t>Group D-3</t>
        </is>
      </c>
      <c r="B208" s="71" t="n">
        <v>4</v>
      </c>
      <c r="C208" s="71" t="inlineStr">
        <is>
          <t>PV</t>
        </is>
      </c>
      <c r="D208" s="71" t="inlineStr">
        <is>
          <t>L1&amp;L4</t>
        </is>
      </c>
      <c r="E208" s="129" t="inlineStr">
        <is>
          <t>L1&amp;L4 Performance Evaluation &amp; Functional Evaluation</t>
        </is>
      </c>
      <c r="F208" s="71" t="inlineStr">
        <is>
          <t>45-52</t>
        </is>
      </c>
      <c r="G208" s="71" t="inlineStr">
        <is>
          <t>6 个样品</t>
        </is>
      </c>
      <c r="H208" s="71" t="inlineStr">
        <is>
          <t>48 h</t>
        </is>
      </c>
      <c r="I208" s="71" t="inlineStr">
        <is>
          <t>按样品数量</t>
        </is>
      </c>
      <c r="J208" s="71" t="inlineStr">
        <is>
          <t>委外费用</t>
        </is>
      </c>
      <c r="K208" s="171" t="n"/>
      <c r="L208" s="171" t="n">
        <v>2400</v>
      </c>
      <c r="M208" s="171" t="n">
        <v>2400</v>
      </c>
      <c r="N208" s="132" t="inlineStr">
        <is>
          <t>6个 × 400/个 = 2,400</t>
        </is>
      </c>
      <c r="O208" s="133" t="n"/>
    </row>
    <row r="209" ht="31" customHeight="1" s="4">
      <c r="A209" s="128" t="inlineStr">
        <is>
          <t>Group D-3</t>
        </is>
      </c>
      <c r="B209" s="71" t="n">
        <v>5</v>
      </c>
      <c r="C209" s="71" t="inlineStr">
        <is>
          <t>PV</t>
        </is>
      </c>
      <c r="D209" s="71" t="inlineStr">
        <is>
          <t>L6-photo&amp;xray</t>
        </is>
      </c>
      <c r="E209" s="129" t="inlineStr">
        <is>
          <t>L6-photo&amp;xray</t>
        </is>
      </c>
      <c r="F209" s="71" t="inlineStr">
        <is>
          <t>45-52</t>
        </is>
      </c>
      <c r="G209" s="71" t="inlineStr">
        <is>
          <t>8 个样品</t>
        </is>
      </c>
      <c r="H209" s="71" t="inlineStr">
        <is>
          <t>72 h</t>
        </is>
      </c>
      <c r="I209" s="71" t="inlineStr">
        <is>
          <t>按样品数量</t>
        </is>
      </c>
      <c r="J209" s="71" t="inlineStr">
        <is>
          <t>内部费用</t>
        </is>
      </c>
      <c r="K209" s="171" t="n">
        <v>3200</v>
      </c>
      <c r="L209" s="171" t="n"/>
      <c r="M209" s="171" t="n">
        <v>3200</v>
      </c>
      <c r="N209" s="132" t="inlineStr">
        <is>
          <t>8个 × 400/个 = 3,200</t>
        </is>
      </c>
      <c r="O209" s="133" t="inlineStr">
        <is>
          <t>L6-photo&amp;xray 固定单价 400/个样品；不按实验室报价中值计算</t>
        </is>
      </c>
    </row>
    <row r="210" ht="46" customHeight="1" s="4">
      <c r="A210" s="128" t="inlineStr">
        <is>
          <t>Group D-3</t>
        </is>
      </c>
      <c r="B210" s="71" t="n">
        <v>6</v>
      </c>
      <c r="C210" s="71" t="inlineStr">
        <is>
          <t>PV</t>
        </is>
      </c>
      <c r="D210" s="71" t="inlineStr">
        <is>
          <t>L6-SEM&amp;SECTION</t>
        </is>
      </c>
      <c r="E210" s="129" t="inlineStr">
        <is>
          <t>L6-SEM&amp;SECTION</t>
        </is>
      </c>
      <c r="F210" s="71" t="inlineStr">
        <is>
          <t>45-52</t>
        </is>
      </c>
      <c r="G210" s="71" t="inlineStr">
        <is>
          <t>33 个样品</t>
        </is>
      </c>
      <c r="H210" s="71" t="inlineStr">
        <is>
          <t>480 h</t>
        </is>
      </c>
      <c r="I210" s="71" t="inlineStr">
        <is>
          <t>按样品数量</t>
        </is>
      </c>
      <c r="J210" s="71" t="inlineStr">
        <is>
          <t>委外费用</t>
        </is>
      </c>
      <c r="K210" s="171" t="n"/>
      <c r="L210" s="171" t="n">
        <v>21450</v>
      </c>
      <c r="M210" s="171" t="n">
        <v>21450</v>
      </c>
      <c r="N210" s="132" t="inlineStr">
        <is>
          <t>33个 × 650/个 = 21,450</t>
        </is>
      </c>
      <c r="O210" s="133" t="inlineStr">
        <is>
          <t>L6-SEM&amp;SECTION 委外组合报价：SEM &amp; Sectioning 按 33 个测试点位采用当前实验室总价</t>
        </is>
      </c>
    </row>
    <row r="211">
      <c r="A211" s="174" t="inlineStr">
        <is>
          <t>Group D-3 Total Cost</t>
        </is>
      </c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3" t="n"/>
      <c r="K211" s="171">
        <f>SUM(K205:K210)</f>
        <v/>
      </c>
      <c r="L211" s="171">
        <f>SUM(L205:L210)</f>
        <v/>
      </c>
      <c r="M211" s="171">
        <f>SUM(M205:M210)</f>
        <v/>
      </c>
      <c r="N211" s="146" t="n"/>
      <c r="O211" s="175" t="n"/>
    </row>
    <row r="212">
      <c r="A212" s="159" t="inlineStr">
        <is>
          <t>Group D-4：PV / Group D Parallel Tests / D-4 Dewing Test-- PCBA</t>
        </is>
      </c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3" t="n"/>
    </row>
    <row r="213" ht="16" customHeight="1" s="4">
      <c r="A213" s="128" t="inlineStr">
        <is>
          <t>组别顺序</t>
        </is>
      </c>
      <c r="B213" s="71" t="inlineStr">
        <is>
          <t>组内顺序</t>
        </is>
      </c>
      <c r="C213" s="71" t="inlineStr">
        <is>
          <t>Phase</t>
        </is>
      </c>
      <c r="D213" s="71" t="inlineStr">
        <is>
          <t>测试编号</t>
        </is>
      </c>
      <c r="E213" s="129" t="inlineStr">
        <is>
          <t>测试项目</t>
        </is>
      </c>
      <c r="F213" s="71" t="inlineStr">
        <is>
          <t>样品范围</t>
        </is>
      </c>
      <c r="G213" s="71" t="inlineStr">
        <is>
          <t>计费基数</t>
        </is>
      </c>
      <c r="H213" s="71" t="inlineStr">
        <is>
          <t>测试时间</t>
        </is>
      </c>
      <c r="I213" s="71" t="inlineStr">
        <is>
          <t>计费方式</t>
        </is>
      </c>
      <c r="J213" s="71" t="inlineStr">
        <is>
          <t>费用归属</t>
        </is>
      </c>
      <c r="K213" s="171" t="inlineStr">
        <is>
          <t>内部费用</t>
        </is>
      </c>
      <c r="L213" s="171" t="inlineStr">
        <is>
          <t>委外费用</t>
        </is>
      </c>
      <c r="M213" s="171" t="inlineStr">
        <is>
          <t>费用合计</t>
        </is>
      </c>
      <c r="N213" s="132" t="inlineStr">
        <is>
          <t>费用计算公式</t>
        </is>
      </c>
      <c r="O213" s="146" t="inlineStr">
        <is>
          <t>备注</t>
        </is>
      </c>
    </row>
    <row r="214" ht="16" customHeight="1" s="4">
      <c r="A214" s="128" t="inlineStr">
        <is>
          <t>Group D-4</t>
        </is>
      </c>
      <c r="B214" s="71" t="n">
        <v>1</v>
      </c>
      <c r="C214" s="71" t="inlineStr">
        <is>
          <t>PV</t>
        </is>
      </c>
      <c r="D214" s="71" t="inlineStr">
        <is>
          <t>Optical</t>
        </is>
      </c>
      <c r="E214" s="129" t="inlineStr">
        <is>
          <t>Optical Test</t>
        </is>
      </c>
      <c r="F214" s="71" t="inlineStr">
        <is>
          <t>53-58</t>
        </is>
      </c>
      <c r="G214" s="71" t="n"/>
      <c r="H214" s="71" t="inlineStr">
        <is>
          <t>168 h</t>
        </is>
      </c>
      <c r="I214" s="71" t="inlineStr">
        <is>
          <t>待确认</t>
        </is>
      </c>
      <c r="J214" s="71" t="inlineStr">
        <is>
          <t>内部费用</t>
        </is>
      </c>
      <c r="K214" s="171" t="n"/>
      <c r="L214" s="171" t="n"/>
      <c r="M214" s="171" t="n"/>
      <c r="N214" s="132" t="n"/>
      <c r="O214" s="160" t="n"/>
    </row>
    <row r="215" ht="31" customHeight="1" s="4">
      <c r="A215" s="128" t="inlineStr">
        <is>
          <t>Group D-4</t>
        </is>
      </c>
      <c r="B215" s="71" t="n">
        <v>2</v>
      </c>
      <c r="C215" s="71" t="inlineStr">
        <is>
          <t>PV</t>
        </is>
      </c>
      <c r="D215" s="71" t="inlineStr">
        <is>
          <t>L1&amp;L4</t>
        </is>
      </c>
      <c r="E215" s="129" t="inlineStr">
        <is>
          <t>L1&amp;L4 Performance Evaluation &amp; Functional Evaluation</t>
        </is>
      </c>
      <c r="F215" s="71" t="inlineStr">
        <is>
          <t>53-58</t>
        </is>
      </c>
      <c r="G215" s="71" t="inlineStr">
        <is>
          <t>6 个样品</t>
        </is>
      </c>
      <c r="H215" s="71" t="inlineStr">
        <is>
          <t>72 h</t>
        </is>
      </c>
      <c r="I215" s="71" t="inlineStr">
        <is>
          <t>按样品数量</t>
        </is>
      </c>
      <c r="J215" s="71" t="inlineStr">
        <is>
          <t>委外费用</t>
        </is>
      </c>
      <c r="K215" s="171" t="n"/>
      <c r="L215" s="171" t="n">
        <v>2400</v>
      </c>
      <c r="M215" s="171" t="n">
        <v>2400</v>
      </c>
      <c r="N215" s="132" t="inlineStr">
        <is>
          <t>6个 × 400/个 = 2,400</t>
        </is>
      </c>
      <c r="O215" s="133" t="n"/>
    </row>
    <row r="216" ht="16" customHeight="1" s="4">
      <c r="A216" s="128" t="inlineStr">
        <is>
          <t>Group D-4</t>
        </is>
      </c>
      <c r="B216" s="71" t="n">
        <v>3</v>
      </c>
      <c r="C216" s="71" t="inlineStr">
        <is>
          <t>PV</t>
        </is>
      </c>
      <c r="D216" s="71" t="inlineStr">
        <is>
          <t>K8</t>
        </is>
      </c>
      <c r="E216" s="129" t="inlineStr">
        <is>
          <t>K8 Dewing Test</t>
        </is>
      </c>
      <c r="F216" s="71" t="inlineStr">
        <is>
          <t>53-58</t>
        </is>
      </c>
      <c r="G216" s="71" t="inlineStr">
        <is>
          <t>1 批</t>
        </is>
      </c>
      <c r="H216" s="71" t="inlineStr">
        <is>
          <t>48 h</t>
        </is>
      </c>
      <c r="I216" s="71" t="inlineStr">
        <is>
          <t>按批次</t>
        </is>
      </c>
      <c r="J216" s="71" t="inlineStr">
        <is>
          <t>委外费用</t>
        </is>
      </c>
      <c r="K216" s="171" t="n"/>
      <c r="L216" s="171" t="n">
        <v>5000</v>
      </c>
      <c r="M216" s="171" t="n">
        <v>5000</v>
      </c>
      <c r="N216" s="132" t="inlineStr">
        <is>
          <t>1批 × 5000/批 = 5,000</t>
        </is>
      </c>
      <c r="O216" s="133" t="n"/>
    </row>
    <row r="217" ht="31" customHeight="1" s="4">
      <c r="A217" s="128" t="inlineStr">
        <is>
          <t>Group D-4</t>
        </is>
      </c>
      <c r="B217" s="71" t="n">
        <v>4</v>
      </c>
      <c r="C217" s="71" t="inlineStr">
        <is>
          <t>PV</t>
        </is>
      </c>
      <c r="D217" s="71" t="inlineStr">
        <is>
          <t>L1&amp;L4</t>
        </is>
      </c>
      <c r="E217" s="129" t="inlineStr">
        <is>
          <t>L1&amp;L4 Performance Evaluation &amp; Functional Evaluation</t>
        </is>
      </c>
      <c r="F217" s="71" t="inlineStr">
        <is>
          <t>53-58</t>
        </is>
      </c>
      <c r="G217" s="71" t="inlineStr">
        <is>
          <t>6 个样品</t>
        </is>
      </c>
      <c r="H217" s="71" t="inlineStr">
        <is>
          <t>48 h</t>
        </is>
      </c>
      <c r="I217" s="71" t="inlineStr">
        <is>
          <t>按样品数量</t>
        </is>
      </c>
      <c r="J217" s="71" t="inlineStr">
        <is>
          <t>委外费用</t>
        </is>
      </c>
      <c r="K217" s="171" t="n"/>
      <c r="L217" s="171" t="n">
        <v>2400</v>
      </c>
      <c r="M217" s="171" t="n">
        <v>2400</v>
      </c>
      <c r="N217" s="132" t="inlineStr">
        <is>
          <t>6个 × 400/个 = 2,400</t>
        </is>
      </c>
      <c r="O217" s="133" t="n"/>
    </row>
    <row r="218" ht="31" customHeight="1" s="4">
      <c r="A218" s="128" t="inlineStr">
        <is>
          <t>Group D-4</t>
        </is>
      </c>
      <c r="B218" s="71" t="n">
        <v>5</v>
      </c>
      <c r="C218" s="71" t="inlineStr">
        <is>
          <t>PV</t>
        </is>
      </c>
      <c r="D218" s="71" t="inlineStr">
        <is>
          <t>L6-photo&amp;xray</t>
        </is>
      </c>
      <c r="E218" s="129" t="inlineStr">
        <is>
          <t>L6-photo&amp;xray</t>
        </is>
      </c>
      <c r="F218" s="71" t="inlineStr">
        <is>
          <t>53-58</t>
        </is>
      </c>
      <c r="G218" s="71" t="inlineStr">
        <is>
          <t>6 个样品</t>
        </is>
      </c>
      <c r="H218" s="71" t="inlineStr">
        <is>
          <t>72 h</t>
        </is>
      </c>
      <c r="I218" s="71" t="inlineStr">
        <is>
          <t>按样品数量</t>
        </is>
      </c>
      <c r="J218" s="71" t="inlineStr">
        <is>
          <t>内部费用</t>
        </is>
      </c>
      <c r="K218" s="171" t="n">
        <v>2400</v>
      </c>
      <c r="L218" s="171" t="n"/>
      <c r="M218" s="171" t="n">
        <v>2400</v>
      </c>
      <c r="N218" s="132" t="inlineStr">
        <is>
          <t>6个 × 400/个 = 2,400</t>
        </is>
      </c>
      <c r="O218" s="133" t="inlineStr">
        <is>
          <t>L6-photo&amp;xray 固定单价 400/个样品；不按实验室报价中值计算</t>
        </is>
      </c>
    </row>
    <row r="219">
      <c r="A219" s="174" t="inlineStr">
        <is>
          <t>Group D-4 Total Cost</t>
        </is>
      </c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3" t="n"/>
      <c r="K219" s="171">
        <f>SUM(K214:K218)</f>
        <v/>
      </c>
      <c r="L219" s="171">
        <f>SUM(L214:L218)</f>
        <v/>
      </c>
      <c r="M219" s="171">
        <f>SUM(M214:M218)</f>
        <v/>
      </c>
      <c r="N219" s="146" t="n"/>
      <c r="O219" s="175" t="n"/>
    </row>
    <row r="220">
      <c r="A220" s="159" t="inlineStr">
        <is>
          <t>Group D-5：PV / Group D Parallel Tests / D-5 Life Test-1</t>
        </is>
      </c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3" t="n"/>
    </row>
    <row r="221" ht="16" customHeight="1" s="4">
      <c r="A221" s="128" t="inlineStr">
        <is>
          <t>组别顺序</t>
        </is>
      </c>
      <c r="B221" s="71" t="inlineStr">
        <is>
          <t>组内顺序</t>
        </is>
      </c>
      <c r="C221" s="71" t="inlineStr">
        <is>
          <t>Phase</t>
        </is>
      </c>
      <c r="D221" s="71" t="inlineStr">
        <is>
          <t>测试编号</t>
        </is>
      </c>
      <c r="E221" s="129" t="inlineStr">
        <is>
          <t>测试项目</t>
        </is>
      </c>
      <c r="F221" s="71" t="inlineStr">
        <is>
          <t>样品范围</t>
        </is>
      </c>
      <c r="G221" s="71" t="inlineStr">
        <is>
          <t>计费基数</t>
        </is>
      </c>
      <c r="H221" s="71" t="inlineStr">
        <is>
          <t>测试时间</t>
        </is>
      </c>
      <c r="I221" s="71" t="inlineStr">
        <is>
          <t>计费方式</t>
        </is>
      </c>
      <c r="J221" s="71" t="inlineStr">
        <is>
          <t>费用归属</t>
        </is>
      </c>
      <c r="K221" s="171" t="inlineStr">
        <is>
          <t>内部费用</t>
        </is>
      </c>
      <c r="L221" s="171" t="inlineStr">
        <is>
          <t>委外费用</t>
        </is>
      </c>
      <c r="M221" s="171" t="inlineStr">
        <is>
          <t>费用合计</t>
        </is>
      </c>
      <c r="N221" s="132" t="inlineStr">
        <is>
          <t>费用计算公式</t>
        </is>
      </c>
      <c r="O221" s="146" t="inlineStr">
        <is>
          <t>备注</t>
        </is>
      </c>
    </row>
    <row r="222" ht="31" customHeight="1" s="4">
      <c r="A222" s="128" t="inlineStr">
        <is>
          <t>Group D-5</t>
        </is>
      </c>
      <c r="B222" s="71" t="n">
        <v>1</v>
      </c>
      <c r="C222" s="71" t="inlineStr">
        <is>
          <t>PV</t>
        </is>
      </c>
      <c r="D222" s="71" t="inlineStr">
        <is>
          <t>Optical</t>
        </is>
      </c>
      <c r="E222" s="129" t="inlineStr">
        <is>
          <t>Optical Test</t>
        </is>
      </c>
      <c r="F222" s="71" t="inlineStr">
        <is>
          <t>59-64</t>
        </is>
      </c>
      <c r="G222" s="71" t="inlineStr">
        <is>
          <t>6 个样品</t>
        </is>
      </c>
      <c r="H222" s="71" t="inlineStr">
        <is>
          <t>168 h</t>
        </is>
      </c>
      <c r="I222" s="71" t="inlineStr">
        <is>
          <t>按样品数量</t>
        </is>
      </c>
      <c r="J222" s="71" t="inlineStr">
        <is>
          <t>内部费用</t>
        </is>
      </c>
      <c r="K222" s="171" t="n">
        <v>1510</v>
      </c>
      <c r="L222" s="171" t="n"/>
      <c r="M222" s="171" t="n">
        <v>1510</v>
      </c>
      <c r="N222" s="132" t="inlineStr">
        <is>
          <t>1台×51点位(¥460) + 5台×19点位(¥210) = 460 + 1,050 = 1,510</t>
        </is>
      </c>
      <c r="O222" s="133" t="inlineStr">
        <is>
          <t>Optical Test: 1 台按 51 点位，其余按 19 点位计费</t>
        </is>
      </c>
    </row>
    <row r="223" ht="31" customHeight="1" s="4">
      <c r="A223" s="128" t="inlineStr">
        <is>
          <t>Group D-5</t>
        </is>
      </c>
      <c r="B223" s="71" t="n">
        <v>2</v>
      </c>
      <c r="C223" s="71" t="inlineStr">
        <is>
          <t>PV</t>
        </is>
      </c>
      <c r="D223" s="71" t="inlineStr">
        <is>
          <t>L1&amp;L4</t>
        </is>
      </c>
      <c r="E223" s="129" t="inlineStr">
        <is>
          <t>L1&amp;L4 Performance Evaluation &amp; Functional Evaluation</t>
        </is>
      </c>
      <c r="F223" s="71" t="inlineStr">
        <is>
          <t>59-64</t>
        </is>
      </c>
      <c r="G223" s="71" t="inlineStr">
        <is>
          <t>6 个样品</t>
        </is>
      </c>
      <c r="H223" s="71" t="inlineStr">
        <is>
          <t>72 h</t>
        </is>
      </c>
      <c r="I223" s="71" t="inlineStr">
        <is>
          <t>按样品数量</t>
        </is>
      </c>
      <c r="J223" s="71" t="inlineStr">
        <is>
          <t>委外费用</t>
        </is>
      </c>
      <c r="K223" s="171" t="n"/>
      <c r="L223" s="171" t="n">
        <v>2400</v>
      </c>
      <c r="M223" s="171" t="n">
        <v>2400</v>
      </c>
      <c r="N223" s="132" t="inlineStr">
        <is>
          <t>6个 × 400/个 = 2,400</t>
        </is>
      </c>
      <c r="O223" s="133" t="n"/>
    </row>
    <row r="224" ht="16" customHeight="1" s="4">
      <c r="A224" s="128" t="inlineStr">
        <is>
          <t>Group D-5</t>
        </is>
      </c>
      <c r="B224" s="71" t="n">
        <v>3</v>
      </c>
      <c r="C224" s="71" t="inlineStr">
        <is>
          <t>PV</t>
        </is>
      </c>
      <c r="D224" s="71" t="inlineStr">
        <is>
          <t>K24</t>
        </is>
      </c>
      <c r="E224" s="129" t="inlineStr">
        <is>
          <t>K24 High Temperature Endurance</t>
        </is>
      </c>
      <c r="F224" s="71" t="inlineStr">
        <is>
          <t>59-64</t>
        </is>
      </c>
      <c r="G224" s="71" t="inlineStr">
        <is>
          <t>1000 h</t>
        </is>
      </c>
      <c r="H224" s="71" t="inlineStr">
        <is>
          <t>1000 h</t>
        </is>
      </c>
      <c r="I224" s="71" t="inlineStr">
        <is>
          <t>按小时</t>
        </is>
      </c>
      <c r="J224" s="71" t="inlineStr">
        <is>
          <t>委外费用</t>
        </is>
      </c>
      <c r="K224" s="171" t="n"/>
      <c r="L224" s="171" t="n">
        <v>23000</v>
      </c>
      <c r="M224" s="171" t="n">
        <v>23000</v>
      </c>
      <c r="N224" s="132" t="inlineStr">
        <is>
          <t>1000h × 23/h = 23,000</t>
        </is>
      </c>
      <c r="O224" s="133" t="n"/>
    </row>
    <row r="225" ht="31" customHeight="1" s="4">
      <c r="A225" s="128" t="inlineStr">
        <is>
          <t>Group D-5</t>
        </is>
      </c>
      <c r="B225" s="71" t="n">
        <v>4</v>
      </c>
      <c r="C225" s="71" t="inlineStr">
        <is>
          <t>PV</t>
        </is>
      </c>
      <c r="D225" s="71" t="inlineStr">
        <is>
          <t>L1&amp;L4</t>
        </is>
      </c>
      <c r="E225" s="129" t="inlineStr">
        <is>
          <t>L1&amp;L4 Performance Evaluation &amp; Functional Evaluation</t>
        </is>
      </c>
      <c r="F225" s="71" t="inlineStr">
        <is>
          <t>59-64</t>
        </is>
      </c>
      <c r="G225" s="71" t="inlineStr">
        <is>
          <t>6 个样品</t>
        </is>
      </c>
      <c r="H225" s="71" t="inlineStr">
        <is>
          <t>48 h</t>
        </is>
      </c>
      <c r="I225" s="71" t="inlineStr">
        <is>
          <t>按样品数量</t>
        </is>
      </c>
      <c r="J225" s="71" t="inlineStr">
        <is>
          <t>委外费用</t>
        </is>
      </c>
      <c r="K225" s="171" t="n"/>
      <c r="L225" s="171" t="n">
        <v>2400</v>
      </c>
      <c r="M225" s="171" t="n">
        <v>2400</v>
      </c>
      <c r="N225" s="132" t="inlineStr">
        <is>
          <t>6个 × 400/个 = 2,400</t>
        </is>
      </c>
      <c r="O225" s="133" t="n"/>
    </row>
    <row r="226" ht="31" customHeight="1" s="4">
      <c r="A226" s="128" t="inlineStr">
        <is>
          <t>Group D-5</t>
        </is>
      </c>
      <c r="B226" s="71" t="n">
        <v>5</v>
      </c>
      <c r="C226" s="71" t="inlineStr">
        <is>
          <t>PV</t>
        </is>
      </c>
      <c r="D226" s="71" t="inlineStr">
        <is>
          <t>Optical</t>
        </is>
      </c>
      <c r="E226" s="129" t="inlineStr">
        <is>
          <t>Optical Test</t>
        </is>
      </c>
      <c r="F226" s="71" t="inlineStr">
        <is>
          <t>59-64</t>
        </is>
      </c>
      <c r="G226" s="71" t="inlineStr">
        <is>
          <t>6 个样品</t>
        </is>
      </c>
      <c r="H226" s="71" t="inlineStr">
        <is>
          <t>24 h</t>
        </is>
      </c>
      <c r="I226" s="71" t="inlineStr">
        <is>
          <t>按样品数量</t>
        </is>
      </c>
      <c r="J226" s="71" t="inlineStr">
        <is>
          <t>内部费用</t>
        </is>
      </c>
      <c r="K226" s="171" t="n">
        <v>1510</v>
      </c>
      <c r="L226" s="171" t="n"/>
      <c r="M226" s="171" t="n">
        <v>1510</v>
      </c>
      <c r="N226" s="132" t="inlineStr">
        <is>
          <t>1台×51点位(¥460) + 5台×19点位(¥210) = 460 + 1,050 = 1,510</t>
        </is>
      </c>
      <c r="O226" s="133" t="inlineStr">
        <is>
          <t>Optical Test: 1 台按 51 点位，其余按 19 点位计费</t>
        </is>
      </c>
    </row>
    <row r="227" ht="31" customHeight="1" s="4">
      <c r="A227" s="128" t="inlineStr">
        <is>
          <t>Group D-5</t>
        </is>
      </c>
      <c r="B227" s="71" t="n">
        <v>6</v>
      </c>
      <c r="C227" s="71" t="inlineStr">
        <is>
          <t>PV</t>
        </is>
      </c>
      <c r="D227" s="71" t="inlineStr">
        <is>
          <t>L6-photo&amp;xray</t>
        </is>
      </c>
      <c r="E227" s="129" t="inlineStr">
        <is>
          <t>L6-photo&amp;xray</t>
        </is>
      </c>
      <c r="F227" s="71" t="inlineStr">
        <is>
          <t>59-64</t>
        </is>
      </c>
      <c r="G227" s="71" t="inlineStr">
        <is>
          <t>6 个样品</t>
        </is>
      </c>
      <c r="H227" s="71" t="inlineStr">
        <is>
          <t>72 h</t>
        </is>
      </c>
      <c r="I227" s="71" t="inlineStr">
        <is>
          <t>按样品数量</t>
        </is>
      </c>
      <c r="J227" s="71" t="inlineStr">
        <is>
          <t>内部费用</t>
        </is>
      </c>
      <c r="K227" s="171" t="n">
        <v>2400</v>
      </c>
      <c r="L227" s="171" t="n"/>
      <c r="M227" s="171" t="n">
        <v>2400</v>
      </c>
      <c r="N227" s="132" t="inlineStr">
        <is>
          <t>6个 × 400/个 = 2,400</t>
        </is>
      </c>
      <c r="O227" s="133" t="inlineStr">
        <is>
          <t>L6-photo&amp;xray 固定单价 400/个样品；不按实验室报价中值计算</t>
        </is>
      </c>
    </row>
    <row r="228">
      <c r="A228" s="174" t="inlineStr">
        <is>
          <t>Group D-5 Total Cost</t>
        </is>
      </c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3" t="n"/>
      <c r="K228" s="171">
        <f>SUM(K222:K227)</f>
        <v/>
      </c>
      <c r="L228" s="171">
        <f>SUM(L222:L227)</f>
        <v/>
      </c>
      <c r="M228" s="171">
        <f>SUM(M222:M227)</f>
        <v/>
      </c>
      <c r="N228" s="146" t="n"/>
      <c r="O228" s="175" t="n"/>
    </row>
    <row r="229">
      <c r="A229" s="159" t="inlineStr">
        <is>
          <t>Group D-6：PV / Group D Parallel Tests / D-6 Life Test-2-1</t>
        </is>
      </c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3" t="n"/>
    </row>
    <row r="230" ht="16" customHeight="1" s="4">
      <c r="A230" s="128" t="inlineStr">
        <is>
          <t>组别顺序</t>
        </is>
      </c>
      <c r="B230" s="71" t="inlineStr">
        <is>
          <t>组内顺序</t>
        </is>
      </c>
      <c r="C230" s="71" t="inlineStr">
        <is>
          <t>Phase</t>
        </is>
      </c>
      <c r="D230" s="71" t="inlineStr">
        <is>
          <t>测试编号</t>
        </is>
      </c>
      <c r="E230" s="129" t="inlineStr">
        <is>
          <t>测试项目</t>
        </is>
      </c>
      <c r="F230" s="71" t="inlineStr">
        <is>
          <t>样品范围</t>
        </is>
      </c>
      <c r="G230" s="71" t="inlineStr">
        <is>
          <t>计费基数</t>
        </is>
      </c>
      <c r="H230" s="71" t="inlineStr">
        <is>
          <t>测试时间</t>
        </is>
      </c>
      <c r="I230" s="71" t="inlineStr">
        <is>
          <t>计费方式</t>
        </is>
      </c>
      <c r="J230" s="71" t="inlineStr">
        <is>
          <t>费用归属</t>
        </is>
      </c>
      <c r="K230" s="171" t="inlineStr">
        <is>
          <t>内部费用</t>
        </is>
      </c>
      <c r="L230" s="171" t="inlineStr">
        <is>
          <t>委外费用</t>
        </is>
      </c>
      <c r="M230" s="171" t="inlineStr">
        <is>
          <t>费用合计</t>
        </is>
      </c>
      <c r="N230" s="132" t="inlineStr">
        <is>
          <t>费用计算公式</t>
        </is>
      </c>
      <c r="O230" s="146" t="inlineStr">
        <is>
          <t>备注</t>
        </is>
      </c>
    </row>
    <row r="231" ht="31" customHeight="1" s="4">
      <c r="A231" s="128" t="inlineStr">
        <is>
          <t>Group D-6</t>
        </is>
      </c>
      <c r="B231" s="71" t="n">
        <v>1</v>
      </c>
      <c r="C231" s="71" t="inlineStr">
        <is>
          <t>PV</t>
        </is>
      </c>
      <c r="D231" s="71" t="inlineStr">
        <is>
          <t>Optical</t>
        </is>
      </c>
      <c r="E231" s="129" t="inlineStr">
        <is>
          <t>Optical Test</t>
        </is>
      </c>
      <c r="F231" s="71" t="inlineStr">
        <is>
          <t>65-70</t>
        </is>
      </c>
      <c r="G231" s="71" t="inlineStr">
        <is>
          <t>6 个样品</t>
        </is>
      </c>
      <c r="H231" s="71" t="inlineStr">
        <is>
          <t>168 h</t>
        </is>
      </c>
      <c r="I231" s="71" t="inlineStr">
        <is>
          <t>按样品数量</t>
        </is>
      </c>
      <c r="J231" s="71" t="inlineStr">
        <is>
          <t>内部费用</t>
        </is>
      </c>
      <c r="K231" s="171" t="n">
        <v>1510</v>
      </c>
      <c r="L231" s="171" t="n"/>
      <c r="M231" s="171" t="n">
        <v>1510</v>
      </c>
      <c r="N231" s="132" t="inlineStr">
        <is>
          <t>1台×51点位(¥460) + 5台×19点位(¥210) = 460 + 1,050 = 1,510</t>
        </is>
      </c>
      <c r="O231" s="133" t="inlineStr">
        <is>
          <t>Optical Test: 1 台按 51 点位，其余按 19 点位计费</t>
        </is>
      </c>
    </row>
    <row r="232" ht="31" customHeight="1" s="4">
      <c r="A232" s="128" t="inlineStr">
        <is>
          <t>Group D-6</t>
        </is>
      </c>
      <c r="B232" s="71" t="n">
        <v>2</v>
      </c>
      <c r="C232" s="71" t="inlineStr">
        <is>
          <t>PV</t>
        </is>
      </c>
      <c r="D232" s="71" t="inlineStr">
        <is>
          <t>L1&amp;L4</t>
        </is>
      </c>
      <c r="E232" s="129" t="inlineStr">
        <is>
          <t>L1&amp;L4 Performance Evaluation &amp; Functional Evaluation</t>
        </is>
      </c>
      <c r="F232" s="71" t="inlineStr">
        <is>
          <t>65-70</t>
        </is>
      </c>
      <c r="G232" s="71" t="inlineStr">
        <is>
          <t>6 个样品</t>
        </is>
      </c>
      <c r="H232" s="71" t="inlineStr">
        <is>
          <t>72 h</t>
        </is>
      </c>
      <c r="I232" s="71" t="inlineStr">
        <is>
          <t>按样品数量</t>
        </is>
      </c>
      <c r="J232" s="71" t="inlineStr">
        <is>
          <t>委外费用</t>
        </is>
      </c>
      <c r="K232" s="171" t="n"/>
      <c r="L232" s="171" t="n">
        <v>2400</v>
      </c>
      <c r="M232" s="171" t="n">
        <v>2400</v>
      </c>
      <c r="N232" s="132" t="inlineStr">
        <is>
          <t>6个 × 400/个 = 2,400</t>
        </is>
      </c>
      <c r="O232" s="133" t="n"/>
    </row>
    <row r="233" ht="31" customHeight="1" s="4">
      <c r="A233" s="128" t="inlineStr">
        <is>
          <t>Group D-6</t>
        </is>
      </c>
      <c r="B233" s="71" t="n">
        <v>3</v>
      </c>
      <c r="C233" s="71" t="inlineStr">
        <is>
          <t>PV</t>
        </is>
      </c>
      <c r="D233" s="71" t="inlineStr">
        <is>
          <t>K27</t>
        </is>
      </c>
      <c r="E233" s="129" t="inlineStr">
        <is>
          <t>K27 85/85 High Temperature -High Humidity Endurance</t>
        </is>
      </c>
      <c r="F233" s="71" t="inlineStr">
        <is>
          <t>65-70</t>
        </is>
      </c>
      <c r="G233" s="71" t="inlineStr">
        <is>
          <t>1000 h</t>
        </is>
      </c>
      <c r="H233" s="71" t="inlineStr">
        <is>
          <t>1000 h</t>
        </is>
      </c>
      <c r="I233" s="71" t="inlineStr">
        <is>
          <t>按小时</t>
        </is>
      </c>
      <c r="J233" s="71" t="inlineStr">
        <is>
          <t>委外费用</t>
        </is>
      </c>
      <c r="K233" s="171" t="n"/>
      <c r="L233" s="171" t="n">
        <v>23000</v>
      </c>
      <c r="M233" s="171" t="n">
        <v>23000</v>
      </c>
      <c r="N233" s="132" t="inlineStr">
        <is>
          <t>1000h × 23/h = 23,000</t>
        </is>
      </c>
      <c r="O233" s="133" t="n"/>
    </row>
    <row r="234" ht="31" customHeight="1" s="4">
      <c r="A234" s="128" t="inlineStr">
        <is>
          <t>Group D-6</t>
        </is>
      </c>
      <c r="B234" s="71" t="n">
        <v>4</v>
      </c>
      <c r="C234" s="71" t="inlineStr">
        <is>
          <t>PV</t>
        </is>
      </c>
      <c r="D234" s="71" t="inlineStr">
        <is>
          <t>L1&amp;L4</t>
        </is>
      </c>
      <c r="E234" s="129" t="inlineStr">
        <is>
          <t>L1&amp;L4 Performance Evaluation &amp; Functional Evaluation</t>
        </is>
      </c>
      <c r="F234" s="71" t="inlineStr">
        <is>
          <t>65-70</t>
        </is>
      </c>
      <c r="G234" s="71" t="inlineStr">
        <is>
          <t>6 个样品</t>
        </is>
      </c>
      <c r="H234" s="71" t="inlineStr">
        <is>
          <t>48 h</t>
        </is>
      </c>
      <c r="I234" s="71" t="inlineStr">
        <is>
          <t>按样品数量</t>
        </is>
      </c>
      <c r="J234" s="71" t="inlineStr">
        <is>
          <t>委外费用</t>
        </is>
      </c>
      <c r="K234" s="171" t="n"/>
      <c r="L234" s="171" t="n">
        <v>2400</v>
      </c>
      <c r="M234" s="171" t="n">
        <v>2400</v>
      </c>
      <c r="N234" s="132" t="inlineStr">
        <is>
          <t>6个 × 400/个 = 2,400</t>
        </is>
      </c>
      <c r="O234" s="133" t="n"/>
    </row>
    <row r="235" ht="31" customHeight="1" s="4">
      <c r="A235" s="128" t="inlineStr">
        <is>
          <t>Group D-6</t>
        </is>
      </c>
      <c r="B235" s="71" t="n">
        <v>5</v>
      </c>
      <c r="C235" s="71" t="inlineStr">
        <is>
          <t>PV</t>
        </is>
      </c>
      <c r="D235" s="71" t="inlineStr">
        <is>
          <t>L6-photo&amp;xray</t>
        </is>
      </c>
      <c r="E235" s="129" t="inlineStr">
        <is>
          <t>L6-photo&amp;xray</t>
        </is>
      </c>
      <c r="F235" s="71" t="inlineStr">
        <is>
          <t>65-70</t>
        </is>
      </c>
      <c r="G235" s="71" t="inlineStr">
        <is>
          <t>6 个样品</t>
        </is>
      </c>
      <c r="H235" s="71" t="inlineStr">
        <is>
          <t>72 h</t>
        </is>
      </c>
      <c r="I235" s="71" t="inlineStr">
        <is>
          <t>按样品数量</t>
        </is>
      </c>
      <c r="J235" s="71" t="inlineStr">
        <is>
          <t>内部费用</t>
        </is>
      </c>
      <c r="K235" s="171" t="n">
        <v>2400</v>
      </c>
      <c r="L235" s="171" t="n"/>
      <c r="M235" s="171" t="n">
        <v>2400</v>
      </c>
      <c r="N235" s="132" t="inlineStr">
        <is>
          <t>6个 × 400/个 = 2,400</t>
        </is>
      </c>
      <c r="O235" s="133" t="inlineStr">
        <is>
          <t>L6-photo&amp;xray 固定单价 400/个样品；不按实验室报价中值计算</t>
        </is>
      </c>
    </row>
    <row r="236">
      <c r="A236" s="174" t="inlineStr">
        <is>
          <t>Group D-6 Total Cost</t>
        </is>
      </c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3" t="n"/>
      <c r="K236" s="171">
        <f>SUM(K231:K235)</f>
        <v/>
      </c>
      <c r="L236" s="171">
        <f>SUM(L231:L235)</f>
        <v/>
      </c>
      <c r="M236" s="171">
        <f>SUM(M231:M235)</f>
        <v/>
      </c>
      <c r="N236" s="146" t="n"/>
      <c r="O236" s="175" t="n"/>
    </row>
    <row r="237">
      <c r="A237" s="159" t="inlineStr">
        <is>
          <t>Group D-7：PV / Group D Parallel Tests / D-7 Life Test-2-2</t>
        </is>
      </c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3" t="n"/>
    </row>
    <row r="238" ht="16" customHeight="1" s="4">
      <c r="A238" s="128" t="inlineStr">
        <is>
          <t>组别顺序</t>
        </is>
      </c>
      <c r="B238" s="71" t="inlineStr">
        <is>
          <t>组内顺序</t>
        </is>
      </c>
      <c r="C238" s="71" t="inlineStr">
        <is>
          <t>Phase</t>
        </is>
      </c>
      <c r="D238" s="71" t="inlineStr">
        <is>
          <t>测试编号</t>
        </is>
      </c>
      <c r="E238" s="129" t="inlineStr">
        <is>
          <t>测试项目</t>
        </is>
      </c>
      <c r="F238" s="71" t="inlineStr">
        <is>
          <t>样品范围</t>
        </is>
      </c>
      <c r="G238" s="71" t="inlineStr">
        <is>
          <t>计费基数</t>
        </is>
      </c>
      <c r="H238" s="71" t="inlineStr">
        <is>
          <t>测试时间</t>
        </is>
      </c>
      <c r="I238" s="71" t="inlineStr">
        <is>
          <t>计费方式</t>
        </is>
      </c>
      <c r="J238" s="71" t="inlineStr">
        <is>
          <t>费用归属</t>
        </is>
      </c>
      <c r="K238" s="171" t="inlineStr">
        <is>
          <t>内部费用</t>
        </is>
      </c>
      <c r="L238" s="171" t="inlineStr">
        <is>
          <t>委外费用</t>
        </is>
      </c>
      <c r="M238" s="171" t="inlineStr">
        <is>
          <t>费用合计</t>
        </is>
      </c>
      <c r="N238" s="132" t="inlineStr">
        <is>
          <t>费用计算公式</t>
        </is>
      </c>
      <c r="O238" s="146" t="inlineStr">
        <is>
          <t>备注</t>
        </is>
      </c>
    </row>
    <row r="239" ht="31" customHeight="1" s="4">
      <c r="A239" s="128" t="inlineStr">
        <is>
          <t>Group D-7</t>
        </is>
      </c>
      <c r="B239" s="71" t="n">
        <v>1</v>
      </c>
      <c r="C239" s="71" t="inlineStr">
        <is>
          <t>PV</t>
        </is>
      </c>
      <c r="D239" s="71" t="inlineStr">
        <is>
          <t>Optical</t>
        </is>
      </c>
      <c r="E239" s="129" t="inlineStr">
        <is>
          <t>Optical Test</t>
        </is>
      </c>
      <c r="F239" s="71" t="inlineStr">
        <is>
          <t>71-76</t>
        </is>
      </c>
      <c r="G239" s="71" t="inlineStr">
        <is>
          <t>6 个样品</t>
        </is>
      </c>
      <c r="H239" s="71" t="inlineStr">
        <is>
          <t>168 h</t>
        </is>
      </c>
      <c r="I239" s="71" t="inlineStr">
        <is>
          <t>按样品数量</t>
        </is>
      </c>
      <c r="J239" s="71" t="inlineStr">
        <is>
          <t>内部费用</t>
        </is>
      </c>
      <c r="K239" s="171" t="n">
        <v>1510</v>
      </c>
      <c r="L239" s="171" t="n"/>
      <c r="M239" s="171" t="n">
        <v>1510</v>
      </c>
      <c r="N239" s="132" t="inlineStr">
        <is>
          <t>1台×51点位(¥460) + 5台×19点位(¥210) = 460 + 1,050 = 1,510</t>
        </is>
      </c>
      <c r="O239" s="133" t="inlineStr">
        <is>
          <t>Optical Test: 1 台按 51 点位，其余按 19 点位计费</t>
        </is>
      </c>
    </row>
    <row r="240" ht="31" customHeight="1" s="4">
      <c r="A240" s="128" t="inlineStr">
        <is>
          <t>Group D-7</t>
        </is>
      </c>
      <c r="B240" s="71" t="n">
        <v>2</v>
      </c>
      <c r="C240" s="71" t="inlineStr">
        <is>
          <t>PV</t>
        </is>
      </c>
      <c r="D240" s="71" t="inlineStr">
        <is>
          <t>L1&amp;L4</t>
        </is>
      </c>
      <c r="E240" s="129" t="inlineStr">
        <is>
          <t>L1&amp;L4 Performance Evaluation &amp; Functional Evaluation</t>
        </is>
      </c>
      <c r="F240" s="71" t="inlineStr">
        <is>
          <t>71-76</t>
        </is>
      </c>
      <c r="G240" s="71" t="inlineStr">
        <is>
          <t>6 个样品</t>
        </is>
      </c>
      <c r="H240" s="71" t="inlineStr">
        <is>
          <t>72 h</t>
        </is>
      </c>
      <c r="I240" s="71" t="inlineStr">
        <is>
          <t>按样品数量</t>
        </is>
      </c>
      <c r="J240" s="71" t="inlineStr">
        <is>
          <t>委外费用</t>
        </is>
      </c>
      <c r="K240" s="171" t="n"/>
      <c r="L240" s="171" t="n">
        <v>2400</v>
      </c>
      <c r="M240" s="171" t="n">
        <v>2400</v>
      </c>
      <c r="N240" s="132" t="inlineStr">
        <is>
          <t>6个 × 400/个 = 2,400</t>
        </is>
      </c>
      <c r="O240" s="133" t="n"/>
    </row>
    <row r="241" ht="31" customHeight="1" s="4">
      <c r="A241" s="128" t="inlineStr">
        <is>
          <t>Group D-7</t>
        </is>
      </c>
      <c r="B241" s="71" t="n">
        <v>3</v>
      </c>
      <c r="C241" s="71" t="inlineStr">
        <is>
          <t>PV</t>
        </is>
      </c>
      <c r="D241" s="71" t="inlineStr">
        <is>
          <t>K27</t>
        </is>
      </c>
      <c r="E241" s="129" t="inlineStr">
        <is>
          <t>K27 60/95 High Temperature -High Humidity Endurance</t>
        </is>
      </c>
      <c r="F241" s="71" t="inlineStr">
        <is>
          <t>71-76</t>
        </is>
      </c>
      <c r="G241" s="71" t="inlineStr">
        <is>
          <t>1100 h</t>
        </is>
      </c>
      <c r="H241" s="71" t="inlineStr">
        <is>
          <t>1100 h</t>
        </is>
      </c>
      <c r="I241" s="71" t="inlineStr">
        <is>
          <t>按小时</t>
        </is>
      </c>
      <c r="J241" s="71" t="inlineStr">
        <is>
          <t>委外费用</t>
        </is>
      </c>
      <c r="K241" s="171" t="n"/>
      <c r="L241" s="171" t="n">
        <v>25300</v>
      </c>
      <c r="M241" s="171" t="n">
        <v>25300</v>
      </c>
      <c r="N241" s="132" t="inlineStr">
        <is>
          <t>1100h × 23/h = 25,300</t>
        </is>
      </c>
      <c r="O241" s="133" t="n"/>
    </row>
    <row r="242" ht="31" customHeight="1" s="4">
      <c r="A242" s="128" t="inlineStr">
        <is>
          <t>Group D-7</t>
        </is>
      </c>
      <c r="B242" s="71" t="n">
        <v>4</v>
      </c>
      <c r="C242" s="71" t="inlineStr">
        <is>
          <t>PV</t>
        </is>
      </c>
      <c r="D242" s="71" t="inlineStr">
        <is>
          <t>L1&amp;L4</t>
        </is>
      </c>
      <c r="E242" s="129" t="inlineStr">
        <is>
          <t>L1&amp;L4 Performance Evaluation &amp; Functional Evaluation</t>
        </is>
      </c>
      <c r="F242" s="71" t="inlineStr">
        <is>
          <t>71-76</t>
        </is>
      </c>
      <c r="G242" s="71" t="inlineStr">
        <is>
          <t>6 个样品</t>
        </is>
      </c>
      <c r="H242" s="71" t="inlineStr">
        <is>
          <t>48 h</t>
        </is>
      </c>
      <c r="I242" s="71" t="inlineStr">
        <is>
          <t>按样品数量</t>
        </is>
      </c>
      <c r="J242" s="71" t="inlineStr">
        <is>
          <t>委外费用</t>
        </is>
      </c>
      <c r="K242" s="171" t="n"/>
      <c r="L242" s="171" t="n">
        <v>2400</v>
      </c>
      <c r="M242" s="171" t="n">
        <v>2400</v>
      </c>
      <c r="N242" s="132" t="inlineStr">
        <is>
          <t>6个 × 400/个 = 2,400</t>
        </is>
      </c>
      <c r="O242" s="133" t="n"/>
    </row>
    <row r="243" ht="31" customHeight="1" s="4">
      <c r="A243" s="128" t="inlineStr">
        <is>
          <t>Group D-7</t>
        </is>
      </c>
      <c r="B243" s="71" t="n">
        <v>5</v>
      </c>
      <c r="C243" s="71" t="inlineStr">
        <is>
          <t>PV</t>
        </is>
      </c>
      <c r="D243" s="71" t="inlineStr">
        <is>
          <t>Optical</t>
        </is>
      </c>
      <c r="E243" s="129" t="inlineStr">
        <is>
          <t>Optical Test</t>
        </is>
      </c>
      <c r="F243" s="71" t="inlineStr">
        <is>
          <t>71-76</t>
        </is>
      </c>
      <c r="G243" s="71" t="inlineStr">
        <is>
          <t>6 个样品</t>
        </is>
      </c>
      <c r="H243" s="71" t="inlineStr">
        <is>
          <t>24 h</t>
        </is>
      </c>
      <c r="I243" s="71" t="inlineStr">
        <is>
          <t>按样品数量</t>
        </is>
      </c>
      <c r="J243" s="71" t="inlineStr">
        <is>
          <t>内部费用</t>
        </is>
      </c>
      <c r="K243" s="171" t="n">
        <v>1510</v>
      </c>
      <c r="L243" s="171" t="n"/>
      <c r="M243" s="171" t="n">
        <v>1510</v>
      </c>
      <c r="N243" s="132" t="inlineStr">
        <is>
          <t>1台×51点位(¥460) + 5台×19点位(¥210) = 460 + 1,050 = 1,510</t>
        </is>
      </c>
      <c r="O243" s="133" t="inlineStr">
        <is>
          <t>Optical Test: 1 台按 51 点位，其余按 19 点位计费</t>
        </is>
      </c>
    </row>
    <row r="244" ht="31" customHeight="1" s="4">
      <c r="A244" s="128" t="inlineStr">
        <is>
          <t>Group D-7</t>
        </is>
      </c>
      <c r="B244" s="71" t="n">
        <v>6</v>
      </c>
      <c r="C244" s="71" t="inlineStr">
        <is>
          <t>PV</t>
        </is>
      </c>
      <c r="D244" s="71" t="inlineStr">
        <is>
          <t>L6-photo&amp;xray</t>
        </is>
      </c>
      <c r="E244" s="129" t="inlineStr">
        <is>
          <t>L6-photo&amp;xray</t>
        </is>
      </c>
      <c r="F244" s="71" t="inlineStr">
        <is>
          <t>71-76</t>
        </is>
      </c>
      <c r="G244" s="71" t="inlineStr">
        <is>
          <t>6 个样品</t>
        </is>
      </c>
      <c r="H244" s="71" t="inlineStr">
        <is>
          <t>72 h</t>
        </is>
      </c>
      <c r="I244" s="71" t="inlineStr">
        <is>
          <t>按样品数量</t>
        </is>
      </c>
      <c r="J244" s="71" t="inlineStr">
        <is>
          <t>内部费用</t>
        </is>
      </c>
      <c r="K244" s="171" t="n">
        <v>2400</v>
      </c>
      <c r="L244" s="171" t="n"/>
      <c r="M244" s="171" t="n">
        <v>2400</v>
      </c>
      <c r="N244" s="132" t="inlineStr">
        <is>
          <t>6个 × 400/个 = 2,400</t>
        </is>
      </c>
      <c r="O244" s="133" t="inlineStr">
        <is>
          <t>L6-photo&amp;xray 固定单价 400/个样品；不按实验室报价中值计算</t>
        </is>
      </c>
    </row>
    <row r="245">
      <c r="A245" s="174" t="inlineStr">
        <is>
          <t>Group D-7 Total Cost</t>
        </is>
      </c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3" t="n"/>
      <c r="K245" s="171">
        <f>SUM(K239:K244)</f>
        <v/>
      </c>
      <c r="L245" s="171">
        <f>SUM(L239:L244)</f>
        <v/>
      </c>
      <c r="M245" s="171">
        <f>SUM(M239:M244)</f>
        <v/>
      </c>
      <c r="N245" s="146" t="n"/>
      <c r="O245" s="175" t="n"/>
    </row>
    <row r="246">
      <c r="A246" s="159" t="inlineStr">
        <is>
          <t>Group D-8：PV / Group D Parallel Tests / D-8</t>
        </is>
      </c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3" t="n"/>
    </row>
    <row r="247" ht="16" customHeight="1" s="4">
      <c r="A247" s="128" t="inlineStr">
        <is>
          <t>组别顺序</t>
        </is>
      </c>
      <c r="B247" s="71" t="inlineStr">
        <is>
          <t>组内顺序</t>
        </is>
      </c>
      <c r="C247" s="71" t="inlineStr">
        <is>
          <t>Phase</t>
        </is>
      </c>
      <c r="D247" s="71" t="inlineStr">
        <is>
          <t>测试编号</t>
        </is>
      </c>
      <c r="E247" s="129" t="inlineStr">
        <is>
          <t>测试项目</t>
        </is>
      </c>
      <c r="F247" s="71" t="inlineStr">
        <is>
          <t>样品范围</t>
        </is>
      </c>
      <c r="G247" s="71" t="inlineStr">
        <is>
          <t>计费基数</t>
        </is>
      </c>
      <c r="H247" s="71" t="inlineStr">
        <is>
          <t>测试时间</t>
        </is>
      </c>
      <c r="I247" s="71" t="inlineStr">
        <is>
          <t>计费方式</t>
        </is>
      </c>
      <c r="J247" s="71" t="inlineStr">
        <is>
          <t>费用归属</t>
        </is>
      </c>
      <c r="K247" s="171" t="inlineStr">
        <is>
          <t>内部费用</t>
        </is>
      </c>
      <c r="L247" s="171" t="inlineStr">
        <is>
          <t>委外费用</t>
        </is>
      </c>
      <c r="M247" s="171" t="inlineStr">
        <is>
          <t>费用合计</t>
        </is>
      </c>
      <c r="N247" s="132" t="inlineStr">
        <is>
          <t>费用计算公式</t>
        </is>
      </c>
      <c r="O247" s="146" t="inlineStr">
        <is>
          <t>备注</t>
        </is>
      </c>
    </row>
    <row r="248" ht="31" customHeight="1" s="4">
      <c r="A248" s="128" t="inlineStr">
        <is>
          <t>Group D-8</t>
        </is>
      </c>
      <c r="B248" s="71" t="n">
        <v>1</v>
      </c>
      <c r="C248" s="71" t="inlineStr">
        <is>
          <t>PV</t>
        </is>
      </c>
      <c r="D248" s="71" t="inlineStr">
        <is>
          <t>Optical</t>
        </is>
      </c>
      <c r="E248" s="129" t="inlineStr">
        <is>
          <t>Optical Test</t>
        </is>
      </c>
      <c r="F248" s="71" t="inlineStr">
        <is>
          <t>77-91</t>
        </is>
      </c>
      <c r="G248" s="71" t="inlineStr">
        <is>
          <t>15 个样品</t>
        </is>
      </c>
      <c r="H248" s="71" t="inlineStr">
        <is>
          <t>168 h</t>
        </is>
      </c>
      <c r="I248" s="71" t="inlineStr">
        <is>
          <t>按样品数量</t>
        </is>
      </c>
      <c r="J248" s="71" t="inlineStr">
        <is>
          <t>内部费用</t>
        </is>
      </c>
      <c r="K248" s="171" t="n">
        <v>3150</v>
      </c>
      <c r="L248" s="171" t="n"/>
      <c r="M248" s="171" t="n">
        <v>3150</v>
      </c>
      <c r="N248" s="132" t="inlineStr">
        <is>
          <t>15台×19点位(¥210/台) = 285 × 210 = 3,150</t>
        </is>
      </c>
      <c r="O248" s="133" t="inlineStr">
        <is>
          <t>Optical Test: 全部按 19 点位计费</t>
        </is>
      </c>
    </row>
    <row r="249" ht="31" customHeight="1" s="4">
      <c r="A249" s="128" t="inlineStr">
        <is>
          <t>Group D-8</t>
        </is>
      </c>
      <c r="B249" s="71" t="n">
        <v>2</v>
      </c>
      <c r="C249" s="71" t="inlineStr">
        <is>
          <t>PV</t>
        </is>
      </c>
      <c r="D249" s="71" t="inlineStr">
        <is>
          <t>L1&amp;L4</t>
        </is>
      </c>
      <c r="E249" s="129" t="inlineStr">
        <is>
          <t>L1&amp;L4 Performance Evaluation &amp; Functional Evaluation</t>
        </is>
      </c>
      <c r="F249" s="71" t="inlineStr">
        <is>
          <t>77-91</t>
        </is>
      </c>
      <c r="G249" s="71" t="inlineStr">
        <is>
          <t>15 个样品</t>
        </is>
      </c>
      <c r="H249" s="71" t="inlineStr">
        <is>
          <t>72 h</t>
        </is>
      </c>
      <c r="I249" s="71" t="inlineStr">
        <is>
          <t>按样品数量</t>
        </is>
      </c>
      <c r="J249" s="71" t="inlineStr">
        <is>
          <t>委外费用</t>
        </is>
      </c>
      <c r="K249" s="171" t="n"/>
      <c r="L249" s="171" t="n">
        <v>6000</v>
      </c>
      <c r="M249" s="171" t="n">
        <v>6000</v>
      </c>
      <c r="N249" s="132" t="inlineStr">
        <is>
          <t>15个 × 400/个 = 6,000</t>
        </is>
      </c>
      <c r="O249" s="133" t="n"/>
    </row>
    <row r="250" ht="16" customHeight="1" s="4">
      <c r="A250" s="128" t="inlineStr">
        <is>
          <t>Group D-8</t>
        </is>
      </c>
      <c r="B250" s="71" t="n">
        <v>3</v>
      </c>
      <c r="C250" s="71" t="inlineStr">
        <is>
          <t>PV</t>
        </is>
      </c>
      <c r="D250" s="71" t="inlineStr">
        <is>
          <t>K28</t>
        </is>
      </c>
      <c r="E250" s="129" t="inlineStr">
        <is>
          <t>K28 HALT Cold</t>
        </is>
      </c>
      <c r="F250" s="71" t="inlineStr">
        <is>
          <t>77-91</t>
        </is>
      </c>
      <c r="G250" s="71" t="inlineStr">
        <is>
          <t>8 h</t>
        </is>
      </c>
      <c r="H250" s="71" t="inlineStr">
        <is>
          <t>8 h</t>
        </is>
      </c>
      <c r="I250" s="71" t="inlineStr">
        <is>
          <t>按小时</t>
        </is>
      </c>
      <c r="J250" s="71" t="inlineStr">
        <is>
          <t>委外费用</t>
        </is>
      </c>
      <c r="K250" s="171" t="n"/>
      <c r="L250" s="171" t="n">
        <v>6400</v>
      </c>
      <c r="M250" s="171" t="n">
        <v>6400</v>
      </c>
      <c r="N250" s="132" t="inlineStr">
        <is>
          <t>8h × 800/h = 6,400</t>
        </is>
      </c>
      <c r="O250" s="133" t="n"/>
    </row>
    <row r="251" ht="16" customHeight="1" s="4">
      <c r="A251" s="128" t="inlineStr">
        <is>
          <t>Group D-8</t>
        </is>
      </c>
      <c r="B251" s="71" t="n">
        <v>4</v>
      </c>
      <c r="C251" s="71" t="inlineStr">
        <is>
          <t>PV</t>
        </is>
      </c>
      <c r="D251" s="71" t="inlineStr">
        <is>
          <t>K28</t>
        </is>
      </c>
      <c r="E251" s="129" t="inlineStr">
        <is>
          <t>K28 HALT Hot</t>
        </is>
      </c>
      <c r="F251" s="71" t="inlineStr">
        <is>
          <t>77-91</t>
        </is>
      </c>
      <c r="G251" s="71" t="inlineStr">
        <is>
          <t>8 h</t>
        </is>
      </c>
      <c r="H251" s="71" t="inlineStr">
        <is>
          <t>8 h</t>
        </is>
      </c>
      <c r="I251" s="71" t="inlineStr">
        <is>
          <t>按小时</t>
        </is>
      </c>
      <c r="J251" s="71" t="inlineStr">
        <is>
          <t>委外费用</t>
        </is>
      </c>
      <c r="K251" s="171" t="n"/>
      <c r="L251" s="171" t="n">
        <v>6400</v>
      </c>
      <c r="M251" s="171" t="n">
        <v>6400</v>
      </c>
      <c r="N251" s="132" t="inlineStr">
        <is>
          <t>8h × 800/h = 6,400</t>
        </is>
      </c>
      <c r="O251" s="133" t="n"/>
    </row>
    <row r="252" ht="16" customHeight="1" s="4">
      <c r="A252" s="128" t="inlineStr">
        <is>
          <t>Group D-8</t>
        </is>
      </c>
      <c r="B252" s="71" t="n">
        <v>5</v>
      </c>
      <c r="C252" s="71" t="inlineStr">
        <is>
          <t>PV</t>
        </is>
      </c>
      <c r="D252" s="71" t="inlineStr">
        <is>
          <t>K28</t>
        </is>
      </c>
      <c r="E252" s="129" t="inlineStr">
        <is>
          <t>K28 HALT Thermal Shock</t>
        </is>
      </c>
      <c r="F252" s="71" t="inlineStr">
        <is>
          <t>77-91</t>
        </is>
      </c>
      <c r="G252" s="71" t="inlineStr">
        <is>
          <t>8 h</t>
        </is>
      </c>
      <c r="H252" s="71" t="inlineStr">
        <is>
          <t>8 h</t>
        </is>
      </c>
      <c r="I252" s="71" t="inlineStr">
        <is>
          <t>按小时</t>
        </is>
      </c>
      <c r="J252" s="71" t="inlineStr">
        <is>
          <t>委外费用</t>
        </is>
      </c>
      <c r="K252" s="171" t="n"/>
      <c r="L252" s="171" t="n">
        <v>6400</v>
      </c>
      <c r="M252" s="171" t="n">
        <v>6400</v>
      </c>
      <c r="N252" s="132" t="inlineStr">
        <is>
          <t>8h × 800/h = 6,400</t>
        </is>
      </c>
      <c r="O252" s="133" t="n"/>
    </row>
    <row r="253" ht="16" customHeight="1" s="4">
      <c r="A253" s="128" t="inlineStr">
        <is>
          <t>Group D-8</t>
        </is>
      </c>
      <c r="B253" s="71" t="n">
        <v>6</v>
      </c>
      <c r="C253" s="71" t="inlineStr">
        <is>
          <t>PV</t>
        </is>
      </c>
      <c r="D253" s="71" t="inlineStr">
        <is>
          <t>K28</t>
        </is>
      </c>
      <c r="E253" s="129" t="inlineStr">
        <is>
          <t>K28 HALT Vibration</t>
        </is>
      </c>
      <c r="F253" s="71" t="inlineStr">
        <is>
          <t>77-91</t>
        </is>
      </c>
      <c r="G253" s="71" t="inlineStr">
        <is>
          <t>8 h</t>
        </is>
      </c>
      <c r="H253" s="71" t="inlineStr">
        <is>
          <t>8 h</t>
        </is>
      </c>
      <c r="I253" s="71" t="inlineStr">
        <is>
          <t>按小时</t>
        </is>
      </c>
      <c r="J253" s="71" t="inlineStr">
        <is>
          <t>委外费用</t>
        </is>
      </c>
      <c r="K253" s="171" t="n"/>
      <c r="L253" s="171" t="n">
        <v>6400</v>
      </c>
      <c r="M253" s="171" t="n">
        <v>6400</v>
      </c>
      <c r="N253" s="132" t="inlineStr">
        <is>
          <t>8h × 800/h = 6,400</t>
        </is>
      </c>
      <c r="O253" s="133" t="n"/>
    </row>
    <row r="254" ht="16" customHeight="1" s="4">
      <c r="A254" s="128" t="inlineStr">
        <is>
          <t>Group D-8</t>
        </is>
      </c>
      <c r="B254" s="71" t="n">
        <v>7</v>
      </c>
      <c r="C254" s="71" t="inlineStr">
        <is>
          <t>PV</t>
        </is>
      </c>
      <c r="D254" s="71" t="inlineStr">
        <is>
          <t>K28</t>
        </is>
      </c>
      <c r="E254" s="129" t="inlineStr">
        <is>
          <t>K28 HALT TST &amp; Vibration</t>
        </is>
      </c>
      <c r="F254" s="71" t="inlineStr">
        <is>
          <t>77-91</t>
        </is>
      </c>
      <c r="G254" s="71" t="inlineStr">
        <is>
          <t>8 h</t>
        </is>
      </c>
      <c r="H254" s="71" t="inlineStr">
        <is>
          <t>8 h</t>
        </is>
      </c>
      <c r="I254" s="71" t="inlineStr">
        <is>
          <t>按小时</t>
        </is>
      </c>
      <c r="J254" s="71" t="inlineStr">
        <is>
          <t>委外费用</t>
        </is>
      </c>
      <c r="K254" s="171" t="n"/>
      <c r="L254" s="171" t="n">
        <v>6400</v>
      </c>
      <c r="M254" s="171" t="n">
        <v>6400</v>
      </c>
      <c r="N254" s="132" t="inlineStr">
        <is>
          <t>8h × 800/h = 6,400</t>
        </is>
      </c>
      <c r="O254" s="133" t="n"/>
    </row>
    <row r="255" ht="31" customHeight="1" s="4">
      <c r="A255" s="128" t="inlineStr">
        <is>
          <t>Group D-8</t>
        </is>
      </c>
      <c r="B255" s="71" t="n">
        <v>8</v>
      </c>
      <c r="C255" s="71" t="inlineStr">
        <is>
          <t>PV</t>
        </is>
      </c>
      <c r="D255" s="71" t="inlineStr">
        <is>
          <t>L1&amp;L4</t>
        </is>
      </c>
      <c r="E255" s="129" t="inlineStr">
        <is>
          <t>L1&amp;L4 Performance Evaluation &amp; Functional Evaluation</t>
        </is>
      </c>
      <c r="F255" s="71" t="inlineStr">
        <is>
          <t>77-91</t>
        </is>
      </c>
      <c r="G255" s="71" t="inlineStr">
        <is>
          <t>9 个样品</t>
        </is>
      </c>
      <c r="H255" s="71" t="inlineStr">
        <is>
          <t>72 h</t>
        </is>
      </c>
      <c r="I255" s="71" t="inlineStr">
        <is>
          <t>按样品数量</t>
        </is>
      </c>
      <c r="J255" s="71" t="inlineStr">
        <is>
          <t>委外费用</t>
        </is>
      </c>
      <c r="K255" s="171" t="n"/>
      <c r="L255" s="171" t="n">
        <v>3600</v>
      </c>
      <c r="M255" s="171" t="n">
        <v>3600</v>
      </c>
      <c r="N255" s="132" t="inlineStr">
        <is>
          <t>9个 × 400/个 = 3,600</t>
        </is>
      </c>
      <c r="O255" s="133" t="n"/>
    </row>
    <row r="256" ht="31" customHeight="1" s="4">
      <c r="A256" s="128" t="inlineStr">
        <is>
          <t>Group D-8</t>
        </is>
      </c>
      <c r="B256" s="71" t="n">
        <v>9</v>
      </c>
      <c r="C256" s="71" t="inlineStr">
        <is>
          <t>PV</t>
        </is>
      </c>
      <c r="D256" s="71" t="inlineStr">
        <is>
          <t>Optical</t>
        </is>
      </c>
      <c r="E256" s="129" t="inlineStr">
        <is>
          <t>Optical Test</t>
        </is>
      </c>
      <c r="F256" s="71" t="inlineStr">
        <is>
          <t>77-91</t>
        </is>
      </c>
      <c r="G256" s="71" t="inlineStr">
        <is>
          <t>9 个样品</t>
        </is>
      </c>
      <c r="H256" s="71" t="inlineStr">
        <is>
          <t>72 h</t>
        </is>
      </c>
      <c r="I256" s="71" t="inlineStr">
        <is>
          <t>按样品数量</t>
        </is>
      </c>
      <c r="J256" s="71" t="inlineStr">
        <is>
          <t>内部费用</t>
        </is>
      </c>
      <c r="K256" s="171" t="n">
        <v>1890</v>
      </c>
      <c r="L256" s="171" t="n"/>
      <c r="M256" s="171" t="n">
        <v>1890</v>
      </c>
      <c r="N256" s="132" t="inlineStr">
        <is>
          <t>9台×19点位(¥210/台) = 171 × 210 = 1,890</t>
        </is>
      </c>
      <c r="O256" s="133" t="inlineStr">
        <is>
          <t>Optical Test: 全部按 19 点位计费</t>
        </is>
      </c>
    </row>
    <row r="257" ht="31" customHeight="1" s="4">
      <c r="A257" s="128" t="inlineStr">
        <is>
          <t>Group D-8</t>
        </is>
      </c>
      <c r="B257" s="71" t="n">
        <v>10</v>
      </c>
      <c r="C257" s="71" t="inlineStr">
        <is>
          <t>PV</t>
        </is>
      </c>
      <c r="D257" s="71" t="inlineStr">
        <is>
          <t>L6-photo&amp;xray</t>
        </is>
      </c>
      <c r="E257" s="129" t="inlineStr">
        <is>
          <t>L6-photo&amp;xray</t>
        </is>
      </c>
      <c r="F257" s="71" t="inlineStr">
        <is>
          <t>77-91</t>
        </is>
      </c>
      <c r="G257" s="71" t="inlineStr">
        <is>
          <t>9 个样品</t>
        </is>
      </c>
      <c r="H257" s="71" t="inlineStr">
        <is>
          <t>72 h</t>
        </is>
      </c>
      <c r="I257" s="71" t="inlineStr">
        <is>
          <t>按样品数量</t>
        </is>
      </c>
      <c r="J257" s="71" t="inlineStr">
        <is>
          <t>内部费用</t>
        </is>
      </c>
      <c r="K257" s="171" t="n">
        <v>3600</v>
      </c>
      <c r="L257" s="171" t="n"/>
      <c r="M257" s="171" t="n">
        <v>3600</v>
      </c>
      <c r="N257" s="132" t="inlineStr">
        <is>
          <t>9个 × 400/个 = 3,600</t>
        </is>
      </c>
      <c r="O257" s="133" t="inlineStr">
        <is>
          <t>L6-photo&amp;xray 固定单价 400/个样品；不按实验室报价中值计算</t>
        </is>
      </c>
    </row>
    <row r="258">
      <c r="A258" s="174" t="inlineStr">
        <is>
          <t>Group D-8 Total Cost</t>
        </is>
      </c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3" t="n"/>
      <c r="K258" s="171">
        <f>SUM(K248:K257)</f>
        <v/>
      </c>
      <c r="L258" s="171">
        <f>SUM(L248:L257)</f>
        <v/>
      </c>
      <c r="M258" s="171">
        <f>SUM(M248:M257)</f>
        <v/>
      </c>
      <c r="N258" s="146" t="n"/>
      <c r="O258" s="175" t="n"/>
    </row>
    <row r="259">
      <c r="A259" s="159" t="inlineStr">
        <is>
          <t>Group D-9：PV / Group D Parallel Tests / D-9</t>
        </is>
      </c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3" t="n"/>
    </row>
    <row r="260" ht="16" customHeight="1" s="4">
      <c r="A260" s="128" t="inlineStr">
        <is>
          <t>组别顺序</t>
        </is>
      </c>
      <c r="B260" s="71" t="inlineStr">
        <is>
          <t>组内顺序</t>
        </is>
      </c>
      <c r="C260" s="71" t="inlineStr">
        <is>
          <t>Phase</t>
        </is>
      </c>
      <c r="D260" s="71" t="inlineStr">
        <is>
          <t>测试编号</t>
        </is>
      </c>
      <c r="E260" s="129" t="inlineStr">
        <is>
          <t>测试项目</t>
        </is>
      </c>
      <c r="F260" s="71" t="inlineStr">
        <is>
          <t>样品范围</t>
        </is>
      </c>
      <c r="G260" s="71" t="inlineStr">
        <is>
          <t>计费基数</t>
        </is>
      </c>
      <c r="H260" s="71" t="inlineStr">
        <is>
          <t>测试时间</t>
        </is>
      </c>
      <c r="I260" s="71" t="inlineStr">
        <is>
          <t>计费方式</t>
        </is>
      </c>
      <c r="J260" s="71" t="inlineStr">
        <is>
          <t>费用归属</t>
        </is>
      </c>
      <c r="K260" s="171" t="inlineStr">
        <is>
          <t>内部费用</t>
        </is>
      </c>
      <c r="L260" s="171" t="inlineStr">
        <is>
          <t>委外费用</t>
        </is>
      </c>
      <c r="M260" s="171" t="inlineStr">
        <is>
          <t>费用合计</t>
        </is>
      </c>
      <c r="N260" s="132" t="inlineStr">
        <is>
          <t>费用计算公式</t>
        </is>
      </c>
      <c r="O260" s="146" t="inlineStr">
        <is>
          <t>备注</t>
        </is>
      </c>
    </row>
    <row r="261" ht="31" customHeight="1" s="4">
      <c r="A261" s="128" t="inlineStr">
        <is>
          <t>Group D-9</t>
        </is>
      </c>
      <c r="B261" s="71" t="n">
        <v>1</v>
      </c>
      <c r="C261" s="71" t="inlineStr">
        <is>
          <t>PV</t>
        </is>
      </c>
      <c r="D261" s="71" t="inlineStr">
        <is>
          <t>Optical</t>
        </is>
      </c>
      <c r="E261" s="129" t="inlineStr">
        <is>
          <t>Optical Test</t>
        </is>
      </c>
      <c r="F261" s="71" t="inlineStr">
        <is>
          <t>92-97</t>
        </is>
      </c>
      <c r="G261" s="71" t="inlineStr">
        <is>
          <t>6 个样品</t>
        </is>
      </c>
      <c r="H261" s="71" t="inlineStr">
        <is>
          <t>168 h</t>
        </is>
      </c>
      <c r="I261" s="71" t="inlineStr">
        <is>
          <t>按样品数量</t>
        </is>
      </c>
      <c r="J261" s="71" t="inlineStr">
        <is>
          <t>内部费用</t>
        </is>
      </c>
      <c r="K261" s="171" t="n">
        <v>1510</v>
      </c>
      <c r="L261" s="171" t="n"/>
      <c r="M261" s="171" t="n">
        <v>1510</v>
      </c>
      <c r="N261" s="132" t="inlineStr">
        <is>
          <t>1台×51点位(¥460) + 5台×19点位(¥210) = 460 + 1,050 = 1,510</t>
        </is>
      </c>
      <c r="O261" s="133" t="inlineStr">
        <is>
          <t>Optical Test: 1 台按 51 点位，其余按 19 点位计费</t>
        </is>
      </c>
    </row>
    <row r="262" ht="31" customHeight="1" s="4">
      <c r="A262" s="128" t="inlineStr">
        <is>
          <t>Group D-9</t>
        </is>
      </c>
      <c r="B262" s="71" t="n">
        <v>2</v>
      </c>
      <c r="C262" s="71" t="inlineStr">
        <is>
          <t>PV</t>
        </is>
      </c>
      <c r="D262" s="71" t="inlineStr">
        <is>
          <t>L1&amp;L4</t>
        </is>
      </c>
      <c r="E262" s="129" t="inlineStr">
        <is>
          <t>L1&amp;L4 Performance Evaluation &amp; Functional Evaluation</t>
        </is>
      </c>
      <c r="F262" s="71" t="inlineStr">
        <is>
          <t>92-97</t>
        </is>
      </c>
      <c r="G262" s="71" t="inlineStr">
        <is>
          <t>6 个样品</t>
        </is>
      </c>
      <c r="H262" s="71" t="inlineStr">
        <is>
          <t>72 h</t>
        </is>
      </c>
      <c r="I262" s="71" t="inlineStr">
        <is>
          <t>按样品数量</t>
        </is>
      </c>
      <c r="J262" s="71" t="inlineStr">
        <is>
          <t>委外费用</t>
        </is>
      </c>
      <c r="K262" s="171" t="n"/>
      <c r="L262" s="171" t="n">
        <v>2400</v>
      </c>
      <c r="M262" s="171" t="n">
        <v>2400</v>
      </c>
      <c r="N262" s="132" t="inlineStr">
        <is>
          <t>6个 × 400/个 = 2,400</t>
        </is>
      </c>
      <c r="O262" s="133" t="n"/>
    </row>
    <row r="263" ht="16" customHeight="1" s="4">
      <c r="A263" s="128" t="inlineStr">
        <is>
          <t>Group D-9</t>
        </is>
      </c>
      <c r="B263" s="71" t="n">
        <v>3</v>
      </c>
      <c r="C263" s="71" t="inlineStr">
        <is>
          <t>PV</t>
        </is>
      </c>
      <c r="D263" s="71" t="inlineStr">
        <is>
          <t>K52.351</t>
        </is>
      </c>
      <c r="E263" s="129" t="inlineStr">
        <is>
          <t>K52.351 Condensing humidity</t>
        </is>
      </c>
      <c r="F263" s="71" t="inlineStr">
        <is>
          <t>92-97</t>
        </is>
      </c>
      <c r="G263" s="71" t="inlineStr">
        <is>
          <t>120 h</t>
        </is>
      </c>
      <c r="H263" s="71" t="inlineStr">
        <is>
          <t>120 h</t>
        </is>
      </c>
      <c r="I263" s="71" t="inlineStr">
        <is>
          <t>按小时</t>
        </is>
      </c>
      <c r="J263" s="71" t="inlineStr">
        <is>
          <t>委外费用</t>
        </is>
      </c>
      <c r="K263" s="171" t="n"/>
      <c r="L263" s="171" t="n">
        <v>6600</v>
      </c>
      <c r="M263" s="171" t="n">
        <v>6600</v>
      </c>
      <c r="N263" s="132" t="inlineStr">
        <is>
          <t>120h × 55/h = 6,600</t>
        </is>
      </c>
      <c r="O263" s="133" t="n"/>
    </row>
    <row r="264" ht="31" customHeight="1" s="4">
      <c r="A264" s="128" t="inlineStr">
        <is>
          <t>Group D-9</t>
        </is>
      </c>
      <c r="B264" s="71" t="n">
        <v>4</v>
      </c>
      <c r="C264" s="71" t="inlineStr">
        <is>
          <t>PV</t>
        </is>
      </c>
      <c r="D264" s="71" t="inlineStr">
        <is>
          <t>L1&amp;L4</t>
        </is>
      </c>
      <c r="E264" s="129" t="inlineStr">
        <is>
          <t>L1&amp;L4 Performance Evaluation &amp; Functional Evaluation</t>
        </is>
      </c>
      <c r="F264" s="71" t="inlineStr">
        <is>
          <t>92-97</t>
        </is>
      </c>
      <c r="G264" s="71" t="inlineStr">
        <is>
          <t>6 个样品</t>
        </is>
      </c>
      <c r="H264" s="71" t="inlineStr">
        <is>
          <t>48 h</t>
        </is>
      </c>
      <c r="I264" s="71" t="inlineStr">
        <is>
          <t>按样品数量</t>
        </is>
      </c>
      <c r="J264" s="71" t="inlineStr">
        <is>
          <t>委外费用</t>
        </is>
      </c>
      <c r="K264" s="171" t="n"/>
      <c r="L264" s="171" t="n">
        <v>2400</v>
      </c>
      <c r="M264" s="171" t="n">
        <v>2400</v>
      </c>
      <c r="N264" s="132" t="inlineStr">
        <is>
          <t>6个 × 400/个 = 2,400</t>
        </is>
      </c>
      <c r="O264" s="133" t="n"/>
    </row>
    <row r="265" ht="31" customHeight="1" s="4">
      <c r="A265" s="128" t="inlineStr">
        <is>
          <t>Group D-9</t>
        </is>
      </c>
      <c r="B265" s="71" t="n">
        <v>5</v>
      </c>
      <c r="C265" s="71" t="inlineStr">
        <is>
          <t>PV</t>
        </is>
      </c>
      <c r="D265" s="71" t="inlineStr">
        <is>
          <t>Optical</t>
        </is>
      </c>
      <c r="E265" s="129" t="inlineStr">
        <is>
          <t>Optical Test</t>
        </is>
      </c>
      <c r="F265" s="71" t="inlineStr">
        <is>
          <t>92-97</t>
        </is>
      </c>
      <c r="G265" s="71" t="inlineStr">
        <is>
          <t>6 个样品</t>
        </is>
      </c>
      <c r="H265" s="71" t="inlineStr">
        <is>
          <t>24 h</t>
        </is>
      </c>
      <c r="I265" s="71" t="inlineStr">
        <is>
          <t>按样品数量</t>
        </is>
      </c>
      <c r="J265" s="71" t="inlineStr">
        <is>
          <t>内部费用</t>
        </is>
      </c>
      <c r="K265" s="171" t="n">
        <v>1510</v>
      </c>
      <c r="L265" s="171" t="n"/>
      <c r="M265" s="171" t="n">
        <v>1510</v>
      </c>
      <c r="N265" s="132" t="inlineStr">
        <is>
          <t>1台×51点位(¥460) + 5台×19点位(¥210) = 460 + 1,050 = 1,510</t>
        </is>
      </c>
      <c r="O265" s="133" t="inlineStr">
        <is>
          <t>Optical Test: 1 台按 51 点位，其余按 19 点位计费</t>
        </is>
      </c>
    </row>
    <row r="266" ht="31.75" customHeight="1" s="4">
      <c r="A266" s="147" t="inlineStr">
        <is>
          <t>Group D-9</t>
        </is>
      </c>
      <c r="B266" s="148" t="n">
        <v>6</v>
      </c>
      <c r="C266" s="148" t="inlineStr">
        <is>
          <t>PV</t>
        </is>
      </c>
      <c r="D266" s="148" t="inlineStr">
        <is>
          <t>L6-photo&amp;xray</t>
        </is>
      </c>
      <c r="E266" s="149" t="inlineStr">
        <is>
          <t>L6-photo&amp;xray</t>
        </is>
      </c>
      <c r="F266" s="148" t="inlineStr">
        <is>
          <t>92-97</t>
        </is>
      </c>
      <c r="G266" s="148" t="inlineStr">
        <is>
          <t>6 个样品</t>
        </is>
      </c>
      <c r="H266" s="148" t="inlineStr">
        <is>
          <t>72 h</t>
        </is>
      </c>
      <c r="I266" s="148" t="inlineStr">
        <is>
          <t>按样品数量</t>
        </is>
      </c>
      <c r="J266" s="148" t="inlineStr">
        <is>
          <t>内部费用</t>
        </is>
      </c>
      <c r="K266" s="176" t="n">
        <v>2400</v>
      </c>
      <c r="L266" s="176" t="n"/>
      <c r="M266" s="176" t="n">
        <v>2400</v>
      </c>
      <c r="N266" s="151" t="inlineStr">
        <is>
          <t>6个 × 400/个 = 2,400</t>
        </is>
      </c>
      <c r="O266" s="152" t="inlineStr">
        <is>
          <t>L6-photo&amp;xray 固定单价 400/个样品；不按实验室报价中值计算</t>
        </is>
      </c>
    </row>
    <row r="267">
      <c r="A267" s="174" t="inlineStr">
        <is>
          <t>Group D-9 Total Cost</t>
        </is>
      </c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3" t="n"/>
      <c r="K267" s="171">
        <f>SUM(K261:K266)</f>
        <v/>
      </c>
      <c r="L267" s="171">
        <f>SUM(L261:L266)</f>
        <v/>
      </c>
      <c r="M267" s="171">
        <f>SUM(M261:M266)</f>
        <v/>
      </c>
      <c r="N267" s="146" t="n"/>
      <c r="O267" s="175" t="n"/>
    </row>
    <row r="268">
      <c r="A268" s="159" t="inlineStr">
        <is>
          <t>Group E-1：PV / Group F Other Tests / Restricted Substance</t>
        </is>
      </c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3" t="n"/>
    </row>
    <row r="269" ht="16" customHeight="1" s="4">
      <c r="A269" s="128" t="inlineStr">
        <is>
          <t>组别顺序</t>
        </is>
      </c>
      <c r="B269" s="71" t="inlineStr">
        <is>
          <t>组内顺序</t>
        </is>
      </c>
      <c r="C269" s="71" t="inlineStr">
        <is>
          <t>Phase</t>
        </is>
      </c>
      <c r="D269" s="71" t="inlineStr">
        <is>
          <t>测试编号</t>
        </is>
      </c>
      <c r="E269" s="129" t="inlineStr">
        <is>
          <t>测试项目</t>
        </is>
      </c>
      <c r="F269" s="71" t="inlineStr">
        <is>
          <t>样品范围</t>
        </is>
      </c>
      <c r="G269" s="71" t="inlineStr">
        <is>
          <t>计费基数</t>
        </is>
      </c>
      <c r="H269" s="71" t="inlineStr">
        <is>
          <t>测试时间</t>
        </is>
      </c>
      <c r="I269" s="71" t="inlineStr">
        <is>
          <t>计费方式</t>
        </is>
      </c>
      <c r="J269" s="71" t="inlineStr">
        <is>
          <t>费用归属</t>
        </is>
      </c>
      <c r="K269" s="171" t="inlineStr">
        <is>
          <t>内部费用</t>
        </is>
      </c>
      <c r="L269" s="171" t="inlineStr">
        <is>
          <t>委外费用</t>
        </is>
      </c>
      <c r="M269" s="171" t="inlineStr">
        <is>
          <t>费用合计</t>
        </is>
      </c>
      <c r="N269" s="132" t="inlineStr">
        <is>
          <t>费用计算公式</t>
        </is>
      </c>
      <c r="O269" s="146" t="inlineStr">
        <is>
          <t>备注</t>
        </is>
      </c>
    </row>
    <row r="270" ht="31" customHeight="1" s="4">
      <c r="A270" s="134" t="inlineStr">
        <is>
          <t>Group E-1</t>
        </is>
      </c>
      <c r="B270" s="135" t="n">
        <v>1</v>
      </c>
      <c r="C270" s="135" t="inlineStr">
        <is>
          <t>PV</t>
        </is>
      </c>
      <c r="D270" s="135" t="inlineStr">
        <is>
          <t>E-1</t>
        </is>
      </c>
      <c r="E270" s="136" t="inlineStr">
        <is>
          <t>E-1 Restricted Substance Management</t>
        </is>
      </c>
      <c r="F270" s="135" t="inlineStr">
        <is>
          <t>98</t>
        </is>
      </c>
      <c r="G270" s="135" t="inlineStr">
        <is>
          <t>1 个样品</t>
        </is>
      </c>
      <c r="H270" s="135" t="inlineStr">
        <is>
          <t>960 h</t>
        </is>
      </c>
      <c r="I270" s="135" t="inlineStr">
        <is>
          <t>固定总价</t>
        </is>
      </c>
      <c r="J270" s="135" t="inlineStr">
        <is>
          <t>委外费用</t>
        </is>
      </c>
      <c r="K270" s="173" t="n"/>
      <c r="L270" s="173" t="n">
        <v>20000</v>
      </c>
      <c r="M270" s="173" t="n">
        <v>20000</v>
      </c>
      <c r="N270" s="138" t="inlineStr">
        <is>
          <t>固定总价 20000 (含评估费 1500)</t>
        </is>
      </c>
      <c r="O270" s="139" t="inlineStr">
        <is>
          <t>禁限用物质总价 20000，其中 1500 为评估费</t>
        </is>
      </c>
    </row>
    <row r="271">
      <c r="A271" s="174" t="inlineStr">
        <is>
          <t>Group E-1 Total Cost</t>
        </is>
      </c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3" t="n"/>
      <c r="K271" s="171">
        <f>SUM(K270:K270)</f>
        <v/>
      </c>
      <c r="L271" s="171">
        <f>SUM(L270:L270)</f>
        <v/>
      </c>
      <c r="M271" s="171">
        <f>SUM(M270:M270)</f>
        <v/>
      </c>
      <c r="N271" s="146" t="n"/>
      <c r="O271" s="175" t="n"/>
    </row>
    <row r="272">
      <c r="A272" s="159" t="inlineStr">
        <is>
          <t>Group E-2：PV / Group F Other Tests / Noise test</t>
        </is>
      </c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3" t="n"/>
    </row>
    <row r="273" ht="16" customHeight="1" s="4">
      <c r="A273" s="128" t="inlineStr">
        <is>
          <t>组别顺序</t>
        </is>
      </c>
      <c r="B273" s="71" t="inlineStr">
        <is>
          <t>组内顺序</t>
        </is>
      </c>
      <c r="C273" s="71" t="inlineStr">
        <is>
          <t>Phase</t>
        </is>
      </c>
      <c r="D273" s="71" t="inlineStr">
        <is>
          <t>测试编号</t>
        </is>
      </c>
      <c r="E273" s="129" t="inlineStr">
        <is>
          <t>测试项目</t>
        </is>
      </c>
      <c r="F273" s="71" t="inlineStr">
        <is>
          <t>样品范围</t>
        </is>
      </c>
      <c r="G273" s="71" t="inlineStr">
        <is>
          <t>计费基数</t>
        </is>
      </c>
      <c r="H273" s="71" t="inlineStr">
        <is>
          <t>测试时间</t>
        </is>
      </c>
      <c r="I273" s="71" t="inlineStr">
        <is>
          <t>计费方式</t>
        </is>
      </c>
      <c r="J273" s="71" t="inlineStr">
        <is>
          <t>费用归属</t>
        </is>
      </c>
      <c r="K273" s="171" t="inlineStr">
        <is>
          <t>内部费用</t>
        </is>
      </c>
      <c r="L273" s="171" t="inlineStr">
        <is>
          <t>委外费用</t>
        </is>
      </c>
      <c r="M273" s="171" t="inlineStr">
        <is>
          <t>费用合计</t>
        </is>
      </c>
      <c r="N273" s="132" t="inlineStr">
        <is>
          <t>费用计算公式</t>
        </is>
      </c>
      <c r="O273" s="146" t="inlineStr">
        <is>
          <t>备注</t>
        </is>
      </c>
    </row>
    <row r="274" ht="16" customHeight="1" s="4">
      <c r="A274" s="134" t="inlineStr">
        <is>
          <t>Group E-2</t>
        </is>
      </c>
      <c r="B274" s="135" t="n">
        <v>1</v>
      </c>
      <c r="C274" s="135" t="inlineStr">
        <is>
          <t>PV</t>
        </is>
      </c>
      <c r="D274" s="135" t="inlineStr">
        <is>
          <t>E-2</t>
        </is>
      </c>
      <c r="E274" s="136" t="inlineStr">
        <is>
          <t>E-2 Operating Noise &amp; Transient Noise</t>
        </is>
      </c>
      <c r="F274" s="135" t="inlineStr">
        <is>
          <t>99-123</t>
        </is>
      </c>
      <c r="G274" s="135" t="inlineStr">
        <is>
          <t>25 个样品</t>
        </is>
      </c>
      <c r="H274" s="135" t="inlineStr">
        <is>
          <t>480 h</t>
        </is>
      </c>
      <c r="I274" s="135" t="inlineStr">
        <is>
          <t>按样品数量</t>
        </is>
      </c>
      <c r="J274" s="135" t="inlineStr">
        <is>
          <t>委外费用</t>
        </is>
      </c>
      <c r="K274" s="173" t="n"/>
      <c r="L274" s="173" t="n">
        <v>42500</v>
      </c>
      <c r="M274" s="173" t="n">
        <v>42500</v>
      </c>
      <c r="N274" s="138" t="inlineStr">
        <is>
          <t>25台样机 × 1700/台 = 42,500</t>
        </is>
      </c>
      <c r="O274" s="139" t="inlineStr">
        <is>
          <t>操作噪声暂按 SGS 合作价 1700/台样机计算</t>
        </is>
      </c>
    </row>
    <row r="275">
      <c r="A275" s="174" t="inlineStr">
        <is>
          <t>Group E-2 Total Cost</t>
        </is>
      </c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3" t="n"/>
      <c r="K275" s="171">
        <f>SUM(K274:K274)</f>
        <v/>
      </c>
      <c r="L275" s="171">
        <f>SUM(L274:L274)</f>
        <v/>
      </c>
      <c r="M275" s="171">
        <f>SUM(M274:M274)</f>
        <v/>
      </c>
      <c r="N275" s="146" t="n"/>
      <c r="O275" s="175" t="n"/>
    </row>
    <row r="277" ht="17.6" customHeight="1" s="4">
      <c r="A277" s="112" t="inlineStr">
        <is>
          <t>DV 附加费用</t>
        </is>
      </c>
      <c r="B277" s="113" t="inlineStr">
        <is>
          <t>Computer Fee -&gt; Report Fee</t>
        </is>
      </c>
      <c r="C277" s="167" t="inlineStr"/>
      <c r="D277" s="167" t="inlineStr"/>
      <c r="E277" s="167" t="inlineStr"/>
      <c r="F277" s="167" t="inlineStr"/>
      <c r="G277" s="167" t="inlineStr"/>
      <c r="H277" s="167" t="inlineStr"/>
      <c r="I277" s="167" t="inlineStr"/>
      <c r="J277" s="167" t="inlineStr"/>
      <c r="K277" s="167" t="inlineStr"/>
      <c r="L277" s="167" t="inlineStr"/>
      <c r="M277" s="167" t="inlineStr"/>
      <c r="N277" s="167" t="inlineStr"/>
      <c r="O277" s="168" t="inlineStr"/>
    </row>
    <row r="278" s="4">
      <c r="A278" s="104" t="inlineStr">
        <is>
          <t>Phase: DV</t>
        </is>
      </c>
      <c r="B278" s="163" t="inlineStr"/>
      <c r="C278" s="71" t="inlineStr"/>
      <c r="D278" s="164" t="inlineStr"/>
      <c r="E278" s="163" t="inlineStr"/>
      <c r="F278" t="inlineStr"/>
      <c r="G278" t="inlineStr"/>
      <c r="H278" s="108" t="inlineStr"/>
      <c r="I278" s="109" t="inlineStr"/>
      <c r="J278" s="108" t="inlineStr"/>
      <c r="K278" s="165" t="inlineStr"/>
      <c r="L278" s="166" t="inlineStr"/>
      <c r="M278" s="165" t="inlineStr"/>
      <c r="N278" t="inlineStr"/>
      <c r="O278" t="inlineStr"/>
    </row>
    <row r="279" ht="16" customHeight="1" s="4">
      <c r="A279" s="118" t="inlineStr">
        <is>
          <t>DV / 费用汇总附加费用</t>
        </is>
      </c>
      <c r="B279" s="164" t="inlineStr"/>
      <c r="C279" s="164" t="inlineStr"/>
      <c r="D279" s="164" t="inlineStr"/>
      <c r="E279" s="164" t="inlineStr"/>
      <c r="F279" s="164" t="inlineStr"/>
      <c r="G279" s="164" t="inlineStr"/>
      <c r="H279" s="164" t="inlineStr"/>
      <c r="I279" s="164" t="inlineStr"/>
      <c r="J279" s="164" t="inlineStr"/>
      <c r="K279" s="164" t="inlineStr"/>
      <c r="L279" s="164" t="inlineStr"/>
      <c r="M279" s="164" t="inlineStr"/>
      <c r="N279" s="164" t="inlineStr"/>
      <c r="O279" s="163" t="inlineStr"/>
    </row>
    <row r="280" ht="16" customHeight="1" s="4">
      <c r="A280" s="124" t="inlineStr">
        <is>
          <t>组别顺序</t>
        </is>
      </c>
      <c r="B280" s="83" t="inlineStr">
        <is>
          <t>组内顺序</t>
        </is>
      </c>
      <c r="C280" s="83" t="inlineStr">
        <is>
          <t>Phase</t>
        </is>
      </c>
      <c r="D280" s="83" t="inlineStr">
        <is>
          <t>测试编号</t>
        </is>
      </c>
      <c r="E280" s="123" t="inlineStr">
        <is>
          <t>测试项目</t>
        </is>
      </c>
      <c r="F280" s="83" t="inlineStr">
        <is>
          <t>样品范围</t>
        </is>
      </c>
      <c r="G280" s="83" t="inlineStr">
        <is>
          <t>计费基数</t>
        </is>
      </c>
      <c r="H280" s="83" t="inlineStr">
        <is>
          <t>测试时间</t>
        </is>
      </c>
      <c r="I280" s="83" t="inlineStr">
        <is>
          <t>计费方式</t>
        </is>
      </c>
      <c r="J280" s="83" t="inlineStr">
        <is>
          <t>费用归属</t>
        </is>
      </c>
      <c r="K280" s="169" t="inlineStr">
        <is>
          <t>内部费用</t>
        </is>
      </c>
      <c r="L280" s="169" t="inlineStr">
        <is>
          <t>委外费用</t>
        </is>
      </c>
      <c r="M280" s="169" t="inlineStr">
        <is>
          <t>费用合计</t>
        </is>
      </c>
      <c r="N280" s="123" t="inlineStr">
        <is>
          <t>费用计算公式</t>
        </is>
      </c>
      <c r="O280" s="126" t="inlineStr">
        <is>
          <t>备注</t>
        </is>
      </c>
    </row>
    <row r="281" ht="31" customHeight="1" s="4">
      <c r="A281" s="128" t="inlineStr">
        <is>
          <t>Additional Fee</t>
        </is>
      </c>
      <c r="B281" s="71" t="n">
        <v>1</v>
      </c>
      <c r="C281" s="71" t="inlineStr">
        <is>
          <t>DV</t>
        </is>
      </c>
      <c r="D281" s="71" t="inlineStr">
        <is>
          <t>Computer Fee</t>
        </is>
      </c>
      <c r="E281" s="129" t="inlineStr">
        <is>
          <t>Computer Fee</t>
        </is>
      </c>
      <c r="F281" s="71" t="inlineStr"/>
      <c r="G281" s="71" t="inlineStr">
        <is>
          <t>48 月/台系数</t>
        </is>
      </c>
      <c r="H281" s="71" t="inlineStr"/>
      <c r="I281" s="71" t="inlineStr">
        <is>
          <t>按系数</t>
        </is>
      </c>
      <c r="J281" s="71" t="inlineStr">
        <is>
          <t>委外费用</t>
        </is>
      </c>
      <c r="K281" s="171" t="inlineStr"/>
      <c r="L281" s="171" t="n">
        <v>12000</v>
      </c>
      <c r="M281" s="171" t="n">
        <v>12000</v>
      </c>
      <c r="N281" s="132" t="inlineStr">
        <is>
          <t>SGS 250/月/台 × 48 = 12,000</t>
        </is>
      </c>
      <c r="O281" s="133" t="inlineStr">
        <is>
          <t>Computer Fee 当前按 SGS 报价计入</t>
        </is>
      </c>
    </row>
    <row r="282" ht="31" customHeight="1" s="4">
      <c r="A282" s="128" t="inlineStr">
        <is>
          <t>Additional Fee</t>
        </is>
      </c>
      <c r="B282" s="71" t="n">
        <v>2</v>
      </c>
      <c r="C282" s="71" t="inlineStr">
        <is>
          <t>DV</t>
        </is>
      </c>
      <c r="D282" s="71" t="inlineStr">
        <is>
          <t>Report Fee</t>
        </is>
      </c>
      <c r="E282" s="129" t="inlineStr">
        <is>
          <t>Report Fee</t>
        </is>
      </c>
      <c r="F282" s="71" t="inlineStr"/>
      <c r="G282" s="71" t="inlineStr">
        <is>
          <t>13 份报告</t>
        </is>
      </c>
      <c r="H282" s="71" t="inlineStr"/>
      <c r="I282" s="71" t="inlineStr">
        <is>
          <t>按报告份数</t>
        </is>
      </c>
      <c r="J282" s="71" t="inlineStr">
        <is>
          <t>委外费用</t>
        </is>
      </c>
      <c r="K282" s="171" t="inlineStr"/>
      <c r="L282" s="171" t="n">
        <v>1950</v>
      </c>
      <c r="M282" s="171" t="n">
        <v>1950</v>
      </c>
      <c r="N282" s="132" t="inlineStr">
        <is>
          <t>苏勃 150/份 × 13 份 = 1,950</t>
        </is>
      </c>
      <c r="O282" s="133" t="inlineStr">
        <is>
          <t>Report Fee 当前按苏勃报价计入</t>
        </is>
      </c>
    </row>
    <row r="283" s="4">
      <c r="A283" s="104" t="inlineStr"/>
      <c r="B283" s="163" t="inlineStr"/>
      <c r="C283" s="71" t="inlineStr"/>
      <c r="D283" s="164" t="inlineStr"/>
      <c r="E283" s="163" t="inlineStr"/>
      <c r="F283" t="inlineStr"/>
      <c r="G283" t="inlineStr"/>
      <c r="H283" s="108" t="inlineStr"/>
      <c r="I283" s="109" t="inlineStr"/>
      <c r="J283" s="108" t="inlineStr"/>
      <c r="K283" s="165" t="inlineStr"/>
      <c r="L283" s="166" t="inlineStr"/>
      <c r="M283" s="165" t="inlineStr"/>
      <c r="N283" t="inlineStr"/>
      <c r="O283" t="inlineStr"/>
    </row>
    <row r="284" ht="17.6" customHeight="1" s="4">
      <c r="A284" s="112" t="inlineStr">
        <is>
          <t>PV 附加费用</t>
        </is>
      </c>
      <c r="B284" s="113" t="inlineStr">
        <is>
          <t>Computer Fee -&gt; Report Fee</t>
        </is>
      </c>
      <c r="C284" s="167" t="inlineStr"/>
      <c r="D284" s="167" t="inlineStr"/>
      <c r="E284" s="167" t="inlineStr"/>
      <c r="F284" s="167" t="inlineStr"/>
      <c r="G284" s="167" t="inlineStr"/>
      <c r="H284" s="167" t="inlineStr"/>
      <c r="I284" s="167" t="inlineStr"/>
      <c r="J284" s="167" t="inlineStr"/>
      <c r="K284" s="167" t="inlineStr"/>
      <c r="L284" s="167" t="inlineStr"/>
      <c r="M284" s="167" t="inlineStr"/>
      <c r="N284" s="167" t="inlineStr"/>
      <c r="O284" s="168" t="inlineStr"/>
    </row>
    <row r="285" s="4">
      <c r="A285" s="104" t="inlineStr">
        <is>
          <t>Phase: PV</t>
        </is>
      </c>
      <c r="B285" s="163" t="inlineStr"/>
      <c r="C285" s="71" t="inlineStr"/>
      <c r="D285" s="164" t="inlineStr"/>
      <c r="E285" s="163" t="inlineStr"/>
      <c r="F285" t="inlineStr"/>
      <c r="G285" t="inlineStr"/>
      <c r="H285" s="108" t="inlineStr"/>
      <c r="I285" s="109" t="inlineStr"/>
      <c r="J285" s="108" t="inlineStr"/>
      <c r="K285" s="165" t="inlineStr"/>
      <c r="L285" s="166" t="inlineStr"/>
      <c r="M285" s="165" t="inlineStr"/>
      <c r="N285" t="inlineStr"/>
      <c r="O285" t="inlineStr"/>
    </row>
    <row r="286" ht="16" customHeight="1" s="4">
      <c r="A286" s="118" t="inlineStr">
        <is>
          <t>PV / 费用汇总附加费用</t>
        </is>
      </c>
      <c r="B286" s="164" t="inlineStr"/>
      <c r="C286" s="164" t="inlineStr"/>
      <c r="D286" s="164" t="inlineStr"/>
      <c r="E286" s="164" t="inlineStr"/>
      <c r="F286" s="164" t="inlineStr"/>
      <c r="G286" s="164" t="inlineStr"/>
      <c r="H286" s="164" t="inlineStr"/>
      <c r="I286" s="164" t="inlineStr"/>
      <c r="J286" s="164" t="inlineStr"/>
      <c r="K286" s="164" t="inlineStr"/>
      <c r="L286" s="164" t="inlineStr"/>
      <c r="M286" s="164" t="inlineStr"/>
      <c r="N286" s="164" t="inlineStr"/>
      <c r="O286" s="163" t="inlineStr"/>
    </row>
    <row r="287" ht="16" customHeight="1" s="4">
      <c r="A287" s="124" t="inlineStr">
        <is>
          <t>组别顺序</t>
        </is>
      </c>
      <c r="B287" s="83" t="inlineStr">
        <is>
          <t>组内顺序</t>
        </is>
      </c>
      <c r="C287" s="83" t="inlineStr">
        <is>
          <t>Phase</t>
        </is>
      </c>
      <c r="D287" s="83" t="inlineStr">
        <is>
          <t>测试编号</t>
        </is>
      </c>
      <c r="E287" s="123" t="inlineStr">
        <is>
          <t>测试项目</t>
        </is>
      </c>
      <c r="F287" s="83" t="inlineStr">
        <is>
          <t>样品范围</t>
        </is>
      </c>
      <c r="G287" s="83" t="inlineStr">
        <is>
          <t>计费基数</t>
        </is>
      </c>
      <c r="H287" s="83" t="inlineStr">
        <is>
          <t>测试时间</t>
        </is>
      </c>
      <c r="I287" s="83" t="inlineStr">
        <is>
          <t>计费方式</t>
        </is>
      </c>
      <c r="J287" s="83" t="inlineStr">
        <is>
          <t>费用归属</t>
        </is>
      </c>
      <c r="K287" s="169" t="inlineStr">
        <is>
          <t>内部费用</t>
        </is>
      </c>
      <c r="L287" s="169" t="inlineStr">
        <is>
          <t>委外费用</t>
        </is>
      </c>
      <c r="M287" s="169" t="inlineStr">
        <is>
          <t>费用合计</t>
        </is>
      </c>
      <c r="N287" s="123" t="inlineStr">
        <is>
          <t>费用计算公式</t>
        </is>
      </c>
      <c r="O287" s="126" t="inlineStr">
        <is>
          <t>备注</t>
        </is>
      </c>
    </row>
    <row r="288" ht="31" customHeight="1" s="4">
      <c r="A288" s="128" t="inlineStr">
        <is>
          <t>Additional Fee</t>
        </is>
      </c>
      <c r="B288" s="71" t="n">
        <v>1</v>
      </c>
      <c r="C288" s="71" t="inlineStr">
        <is>
          <t>PV</t>
        </is>
      </c>
      <c r="D288" s="71" t="inlineStr">
        <is>
          <t>Computer Fee</t>
        </is>
      </c>
      <c r="E288" s="129" t="inlineStr">
        <is>
          <t>Computer Fee</t>
        </is>
      </c>
      <c r="F288" s="71" t="inlineStr"/>
      <c r="G288" s="71" t="inlineStr">
        <is>
          <t>48 月/台系数</t>
        </is>
      </c>
      <c r="H288" s="71" t="inlineStr"/>
      <c r="I288" s="71" t="inlineStr">
        <is>
          <t>按系数</t>
        </is>
      </c>
      <c r="J288" s="71" t="inlineStr">
        <is>
          <t>委外费用</t>
        </is>
      </c>
      <c r="K288" s="171" t="inlineStr"/>
      <c r="L288" s="171" t="n">
        <v>12000</v>
      </c>
      <c r="M288" s="171" t="n">
        <v>12000</v>
      </c>
      <c r="N288" s="132" t="inlineStr">
        <is>
          <t>SGS 250/月/台 × 48 = 12,000</t>
        </is>
      </c>
      <c r="O288" s="133" t="inlineStr">
        <is>
          <t>Computer Fee 当前按 SGS 报价计入</t>
        </is>
      </c>
    </row>
    <row r="289" ht="31" customHeight="1" s="4">
      <c r="A289" s="128" t="inlineStr">
        <is>
          <t>Additional Fee</t>
        </is>
      </c>
      <c r="B289" s="71" t="n">
        <v>2</v>
      </c>
      <c r="C289" s="71" t="inlineStr">
        <is>
          <t>PV</t>
        </is>
      </c>
      <c r="D289" s="71" t="inlineStr">
        <is>
          <t>Report Fee</t>
        </is>
      </c>
      <c r="E289" s="129" t="inlineStr">
        <is>
          <t>Report Fee</t>
        </is>
      </c>
      <c r="F289" s="71" t="inlineStr"/>
      <c r="G289" s="71" t="inlineStr">
        <is>
          <t>14 份报告</t>
        </is>
      </c>
      <c r="H289" s="71" t="inlineStr"/>
      <c r="I289" s="71" t="inlineStr">
        <is>
          <t>按报告份数</t>
        </is>
      </c>
      <c r="J289" s="71" t="inlineStr">
        <is>
          <t>委外费用</t>
        </is>
      </c>
      <c r="K289" s="171" t="inlineStr"/>
      <c r="L289" s="171" t="n">
        <v>2100</v>
      </c>
      <c r="M289" s="171" t="n">
        <v>2100</v>
      </c>
      <c r="N289" s="132" t="inlineStr">
        <is>
          <t>苏勃 150/份 × 14 份 = 2,100</t>
        </is>
      </c>
      <c r="O289" s="133" t="inlineStr">
        <is>
          <t>Report Fee 当前按苏勃报价计入</t>
        </is>
      </c>
    </row>
  </sheetData>
  <mergeCells count="102">
    <mergeCell ref="N76:O76"/>
    <mergeCell ref="N91:O91"/>
    <mergeCell ref="N100:O100"/>
    <mergeCell ref="A91:J91"/>
    <mergeCell ref="A118:O118"/>
    <mergeCell ref="A184:J184"/>
    <mergeCell ref="A1:E1"/>
    <mergeCell ref="A246:O246"/>
    <mergeCell ref="A7:B7"/>
    <mergeCell ref="N130:O130"/>
    <mergeCell ref="N117:O117"/>
    <mergeCell ref="A130:J130"/>
    <mergeCell ref="A34:J34"/>
    <mergeCell ref="C7:E7"/>
    <mergeCell ref="N219:O219"/>
    <mergeCell ref="A161:O161"/>
    <mergeCell ref="N202:O202"/>
    <mergeCell ref="N258:O258"/>
    <mergeCell ref="N211:O211"/>
    <mergeCell ref="N245:O245"/>
    <mergeCell ref="A9:B9"/>
    <mergeCell ref="A237:O237"/>
    <mergeCell ref="N228:O228"/>
    <mergeCell ref="A212:O212"/>
    <mergeCell ref="A219:J219"/>
    <mergeCell ref="N184:O184"/>
    <mergeCell ref="A101:O101"/>
    <mergeCell ref="N236:O236"/>
    <mergeCell ref="A170:J170"/>
    <mergeCell ref="A44:J44"/>
    <mergeCell ref="A202:J202"/>
    <mergeCell ref="A258:J258"/>
    <mergeCell ref="A58:J58"/>
    <mergeCell ref="A211:J211"/>
    <mergeCell ref="A67:J67"/>
    <mergeCell ref="A135:O135"/>
    <mergeCell ref="N170:O170"/>
    <mergeCell ref="A275:J275"/>
    <mergeCell ref="N44:O44"/>
    <mergeCell ref="N67:O67"/>
    <mergeCell ref="A228:J228"/>
    <mergeCell ref="B10:O10"/>
    <mergeCell ref="A127:O127"/>
    <mergeCell ref="A8:B8"/>
    <mergeCell ref="N84:O84"/>
    <mergeCell ref="A108:J108"/>
    <mergeCell ref="A59:O59"/>
    <mergeCell ref="A84:J84"/>
    <mergeCell ref="A236:J236"/>
    <mergeCell ref="A160:J160"/>
    <mergeCell ref="N275:O275"/>
    <mergeCell ref="A137:O137"/>
    <mergeCell ref="A268:O268"/>
    <mergeCell ref="C9:E9"/>
    <mergeCell ref="N134:O134"/>
    <mergeCell ref="A134:J134"/>
    <mergeCell ref="C2:E2"/>
    <mergeCell ref="N267:O267"/>
    <mergeCell ref="A203:O203"/>
    <mergeCell ref="A85:O85"/>
    <mergeCell ref="N58:O58"/>
    <mergeCell ref="B136:O136"/>
    <mergeCell ref="A131:O131"/>
    <mergeCell ref="A3:B3"/>
    <mergeCell ref="A259:O259"/>
    <mergeCell ref="A109:O109"/>
    <mergeCell ref="A35:O35"/>
    <mergeCell ref="A68:O68"/>
    <mergeCell ref="A5:B5"/>
    <mergeCell ref="A92:O92"/>
    <mergeCell ref="C6:E6"/>
    <mergeCell ref="A4:B4"/>
    <mergeCell ref="Q10:W10"/>
    <mergeCell ref="A11:O11"/>
    <mergeCell ref="A267:J267"/>
    <mergeCell ref="C4:E4"/>
    <mergeCell ref="A45:O45"/>
    <mergeCell ref="A76:J76"/>
    <mergeCell ref="N108:O108"/>
    <mergeCell ref="N126:O126"/>
    <mergeCell ref="N271:O271"/>
    <mergeCell ref="A126:J126"/>
    <mergeCell ref="A100:J100"/>
    <mergeCell ref="N160:O160"/>
    <mergeCell ref="N193:O193"/>
    <mergeCell ref="A6:B6"/>
    <mergeCell ref="A117:J117"/>
    <mergeCell ref="A272:O272"/>
    <mergeCell ref="A245:J245"/>
    <mergeCell ref="A185:O185"/>
    <mergeCell ref="C8:E8"/>
    <mergeCell ref="A194:O194"/>
    <mergeCell ref="A2:B2"/>
    <mergeCell ref="A171:O171"/>
    <mergeCell ref="A271:J271"/>
    <mergeCell ref="C3:E3"/>
    <mergeCell ref="A220:O220"/>
    <mergeCell ref="A229:O229"/>
    <mergeCell ref="A193:J193"/>
    <mergeCell ref="A77:O77"/>
    <mergeCell ref="C5:E5"/>
    <mergeCell ref="N34:O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7"/>
  <sheetViews>
    <sheetView showGridLines="0" tabSelected="1" topLeftCell="A46" workbookViewId="0">
      <selection activeCell="O1" sqref="O1:Q17"/>
    </sheetView>
  </sheetViews>
  <sheetFormatPr baseColWidth="8" defaultColWidth="9.642857142857141" defaultRowHeight="17.6"/>
  <cols>
    <col width="14" customWidth="1" style="60" min="1" max="1"/>
    <col width="10" customWidth="1" style="60" min="2" max="2"/>
    <col width="8" customWidth="1" style="60" min="3" max="3"/>
    <col width="25.1428571428571" customWidth="1" style="60" min="4" max="4"/>
    <col width="13" customWidth="1" style="60" min="5" max="5"/>
    <col width="42.2589285714286" customWidth="1" style="60" min="6" max="6"/>
    <col width="12" customWidth="1" style="60" min="7" max="7"/>
    <col width="14" customWidth="1" style="60" min="8" max="8"/>
    <col width="12" customWidth="1" style="60" min="9" max="10"/>
    <col width="22" customWidth="1" style="60" min="11" max="11"/>
    <col width="14" customWidth="1" style="60" min="12" max="12"/>
    <col width="52" customWidth="1" style="61" min="13" max="13"/>
    <col width="63.0982142857143" customWidth="1" style="60" min="14" max="14"/>
    <col width="12.0535714285714" customWidth="1" style="60" min="15" max="15"/>
    <col width="11.6071428571429" customWidth="1" style="60" min="16" max="16"/>
    <col width="11.4553571428571" customWidth="1" style="60" min="17" max="17"/>
    <col width="9.642857142857141" customWidth="1" style="60" min="18" max="16384"/>
  </cols>
  <sheetData>
    <row r="1" ht="23.2" customHeight="1" s="4">
      <c r="A1" s="44" t="inlineStr">
        <is>
          <t>SGS 实验室费用明细</t>
        </is>
      </c>
      <c r="O1" s="63" t="inlineStr">
        <is>
          <t>费用汇总</t>
        </is>
      </c>
    </row>
    <row r="2">
      <c r="A2" s="46" t="inlineStr">
        <is>
          <t>OEM</t>
        </is>
      </c>
      <c r="B2" s="64" t="inlineStr">
        <is>
          <t>JLR</t>
        </is>
      </c>
      <c r="C2" s="46" t="inlineStr">
        <is>
          <t>平台</t>
        </is>
      </c>
      <c r="D2" s="64" t="inlineStr">
        <is>
          <t>MLA</t>
        </is>
      </c>
      <c r="E2" s="65" t="n"/>
      <c r="F2" s="65" t="n"/>
      <c r="G2" s="65" t="n"/>
      <c r="H2" s="65" t="n"/>
      <c r="I2" s="65" t="n"/>
      <c r="J2" s="65" t="n"/>
      <c r="K2" s="65" t="n"/>
      <c r="L2" s="66" t="n"/>
      <c r="M2" s="67" t="n"/>
      <c r="N2" s="65" t="n"/>
      <c r="O2" s="83" t="inlineStr">
        <is>
          <t>组别</t>
        </is>
      </c>
      <c r="P2" s="69" t="inlineStr">
        <is>
          <t>DV</t>
        </is>
      </c>
      <c r="Q2" s="70" t="inlineStr">
        <is>
          <t>PV</t>
        </is>
      </c>
    </row>
    <row r="3">
      <c r="A3" s="46" t="inlineStr">
        <is>
          <t>项目名称/编号</t>
        </is>
      </c>
      <c r="B3" s="64" t="inlineStr">
        <is>
          <t>L463</t>
        </is>
      </c>
      <c r="C3" s="46" t="inlineStr">
        <is>
          <t>驾驶方向</t>
        </is>
      </c>
      <c r="D3" s="64" t="inlineStr">
        <is>
          <t>LHD</t>
        </is>
      </c>
      <c r="E3" s="65" t="n"/>
      <c r="F3" s="65" t="n"/>
      <c r="G3" s="65" t="n"/>
      <c r="H3" s="65" t="n"/>
      <c r="I3" s="65" t="n"/>
      <c r="J3" s="65" t="n"/>
      <c r="K3" s="65" t="n"/>
      <c r="L3" s="66" t="n"/>
      <c r="M3" s="67" t="n"/>
      <c r="N3" s="65" t="n"/>
      <c r="O3" s="71" t="inlineStr">
        <is>
          <t>Group A</t>
        </is>
      </c>
      <c r="P3" s="170" t="n"/>
      <c r="Q3" s="172" t="n"/>
    </row>
    <row r="4">
      <c r="A4" s="46" t="inlineStr">
        <is>
          <t>项目类型</t>
        </is>
      </c>
      <c r="B4" s="64" t="inlineStr">
        <is>
          <t>新增项目</t>
        </is>
      </c>
      <c r="C4" s="46" t="inlineStr">
        <is>
          <t>导出范围</t>
        </is>
      </c>
      <c r="D4" s="64" t="inlineStr">
        <is>
          <t>DV + PV</t>
        </is>
      </c>
      <c r="E4" s="65" t="n"/>
      <c r="F4" s="65" t="n"/>
      <c r="G4" s="65" t="n"/>
      <c r="H4" s="65" t="n"/>
      <c r="I4" s="65" t="n"/>
      <c r="J4" s="65" t="n"/>
      <c r="K4" s="65" t="n"/>
      <c r="L4" s="66" t="n"/>
      <c r="M4" s="67" t="n"/>
      <c r="N4" s="65" t="n"/>
      <c r="O4" s="71" t="inlineStr">
        <is>
          <t>Group B</t>
        </is>
      </c>
      <c r="P4" s="170" t="n"/>
      <c r="Q4" s="172" t="n"/>
    </row>
    <row r="5">
      <c r="A5" s="46" t="inlineStr">
        <is>
          <t>是否完全复用</t>
        </is>
      </c>
      <c r="B5" s="64" t="inlineStr">
        <is>
          <t>是</t>
        </is>
      </c>
      <c r="C5" s="46" t="inlineStr">
        <is>
          <t>环境模板</t>
        </is>
      </c>
      <c r="D5" s="64" t="inlineStr">
        <is>
          <t>完全复用</t>
        </is>
      </c>
      <c r="E5" s="65" t="n"/>
      <c r="F5" s="65" t="n"/>
      <c r="G5" s="65" t="n"/>
      <c r="H5" s="65" t="n"/>
      <c r="I5" s="65" t="n"/>
      <c r="J5" s="65" t="n"/>
      <c r="K5" s="65" t="n"/>
      <c r="L5" s="66" t="n"/>
      <c r="M5" s="67" t="n"/>
      <c r="N5" s="65" t="n"/>
      <c r="O5" s="71" t="inlineStr">
        <is>
          <t>Group C</t>
        </is>
      </c>
      <c r="P5" s="170" t="n"/>
      <c r="Q5" s="172" t="n"/>
    </row>
    <row r="6">
      <c r="A6" s="58" t="inlineStr">
        <is>
          <t>DV 组别顺序</t>
        </is>
      </c>
      <c r="B6" s="74" t="inlineStr">
        <is>
          <t>Group A -&gt; Group B -&gt; Group C -&gt; Group D-1 -&gt; Group D-2 -&gt; Group D-3 -&gt; Group D-4 -&gt; Group D-5 -&gt; Group D-6 -&gt; Group D-7 -&gt; Group D-9</t>
        </is>
      </c>
      <c r="O6" s="71" t="inlineStr">
        <is>
          <t>Group D-1</t>
        </is>
      </c>
      <c r="P6" s="170" t="n"/>
      <c r="Q6" s="172" t="n"/>
    </row>
    <row r="7">
      <c r="A7" s="76" t="inlineStr">
        <is>
          <t>Group A：DV / Group A Sequence Tests</t>
        </is>
      </c>
      <c r="B7" s="164" t="n"/>
      <c r="C7" s="164" t="n"/>
      <c r="D7" s="164" t="n"/>
      <c r="E7" s="164" t="n"/>
      <c r="F7" s="164" t="n"/>
      <c r="G7" s="164" t="n"/>
      <c r="H7" s="164" t="n"/>
      <c r="I7" s="164" t="n"/>
      <c r="J7" s="164" t="n"/>
      <c r="K7" s="164" t="n"/>
      <c r="L7" s="164" t="n"/>
      <c r="M7" s="164" t="n"/>
      <c r="N7" s="163" t="n"/>
      <c r="O7" s="71" t="inlineStr">
        <is>
          <t>Group D-2</t>
        </is>
      </c>
      <c r="P7" s="170" t="n"/>
      <c r="Q7" s="172" t="n"/>
    </row>
    <row r="8">
      <c r="A8" s="78" t="inlineStr">
        <is>
          <t>组别顺序</t>
        </is>
      </c>
      <c r="B8" s="78" t="inlineStr">
        <is>
          <t>组内顺序</t>
        </is>
      </c>
      <c r="C8" s="78" t="inlineStr">
        <is>
          <t>Phase</t>
        </is>
      </c>
      <c r="D8" s="78" t="inlineStr">
        <is>
          <t>Group</t>
        </is>
      </c>
      <c r="E8" s="78" t="inlineStr">
        <is>
          <t>测试编号</t>
        </is>
      </c>
      <c r="F8" s="78" t="inlineStr">
        <is>
          <t>测试项目</t>
        </is>
      </c>
      <c r="G8" s="78" t="inlineStr">
        <is>
          <t>样品范围</t>
        </is>
      </c>
      <c r="H8" s="78" t="inlineStr">
        <is>
          <t>计费基数</t>
        </is>
      </c>
      <c r="I8" s="78" t="inlineStr">
        <is>
          <t>测试时间</t>
        </is>
      </c>
      <c r="J8" s="78" t="inlineStr">
        <is>
          <t>计费方式</t>
        </is>
      </c>
      <c r="K8" s="78" t="inlineStr">
        <is>
          <t>单价</t>
        </is>
      </c>
      <c r="L8" s="79" t="inlineStr">
        <is>
          <t>费用</t>
        </is>
      </c>
      <c r="M8" s="78" t="inlineStr">
        <is>
          <t>费用计算公式</t>
        </is>
      </c>
      <c r="N8" s="78" t="inlineStr">
        <is>
          <t>备注</t>
        </is>
      </c>
      <c r="O8" s="71" t="inlineStr">
        <is>
          <t>Group D-3</t>
        </is>
      </c>
      <c r="P8" s="170" t="n"/>
      <c r="Q8" s="172" t="n"/>
    </row>
    <row r="9" ht="31" customHeight="1" s="4">
      <c r="A9" s="80" t="inlineStr">
        <is>
          <t>Group A</t>
        </is>
      </c>
      <c r="B9" s="80" t="n">
        <v>2</v>
      </c>
      <c r="C9" s="80" t="inlineStr">
        <is>
          <t>DV</t>
        </is>
      </c>
      <c r="D9" s="80" t="inlineStr">
        <is>
          <t>Group A Sequence Tests</t>
        </is>
      </c>
      <c r="E9" s="80" t="inlineStr">
        <is>
          <t>L1&amp;L4</t>
        </is>
      </c>
      <c r="F9" s="80" t="inlineStr">
        <is>
          <t>L1&amp;L4 Performance Evaluation &amp; Functional Evaluation</t>
        </is>
      </c>
      <c r="G9" s="80" t="inlineStr">
        <is>
          <t>1-14</t>
        </is>
      </c>
      <c r="H9" s="80" t="inlineStr">
        <is>
          <t>14 个样品</t>
        </is>
      </c>
      <c r="I9" s="80" t="inlineStr">
        <is>
          <t>72 h</t>
        </is>
      </c>
      <c r="J9" s="80" t="inlineStr">
        <is>
          <t>按样品数量</t>
        </is>
      </c>
      <c r="K9" s="80" t="inlineStr">
        <is>
          <t>400/个</t>
        </is>
      </c>
      <c r="L9" s="81" t="n">
        <v>5600</v>
      </c>
      <c r="M9" s="82" t="inlineStr">
        <is>
          <t>14个 × 400/个 = 5,600</t>
        </is>
      </c>
      <c r="N9" s="80" t="n"/>
      <c r="O9" s="71" t="inlineStr">
        <is>
          <t>Group D-4</t>
        </is>
      </c>
      <c r="P9" s="170" t="n"/>
      <c r="Q9" s="172" t="n"/>
    </row>
    <row r="10" ht="46" customHeight="1" s="4">
      <c r="A10" s="80" t="inlineStr">
        <is>
          <t>Group A</t>
        </is>
      </c>
      <c r="B10" s="80" t="n">
        <v>3</v>
      </c>
      <c r="C10" s="80" t="inlineStr">
        <is>
          <t>DV</t>
        </is>
      </c>
      <c r="D10" s="80" t="inlineStr">
        <is>
          <t>Group A Sequence Tests</t>
        </is>
      </c>
      <c r="E10" s="80" t="inlineStr">
        <is>
          <t>Particle</t>
        </is>
      </c>
      <c r="F10" s="80" t="inlineStr">
        <is>
          <t>Particle Exposure</t>
        </is>
      </c>
      <c r="G10" s="80" t="inlineStr">
        <is>
          <t>1-12</t>
        </is>
      </c>
      <c r="H10" s="80" t="n"/>
      <c r="I10" s="80" t="inlineStr">
        <is>
          <t>120 h</t>
        </is>
      </c>
      <c r="J10" s="80" t="inlineStr">
        <is>
          <t>按批次</t>
        </is>
      </c>
      <c r="K10" s="80" t="inlineStr">
        <is>
          <t>2,500/批；
粉尘费 8,000；
清洁费 0</t>
        </is>
      </c>
      <c r="L10" s="81" t="n">
        <v>13000</v>
      </c>
      <c r="M10" s="82" t="inlineStr">
        <is>
          <t>2批 × 2,500/批 + 粉尘费 8,000 + 清洁费 0 = 13,000</t>
        </is>
      </c>
      <c r="N10" s="80" t="inlineStr">
        <is>
          <t>Particle Exposure：全额报价已拆分为批次单价、粉尘费、清洁费</t>
        </is>
      </c>
      <c r="O10" s="71" t="inlineStr">
        <is>
          <t>Group D-5</t>
        </is>
      </c>
      <c r="P10" s="170" t="n"/>
      <c r="Q10" s="172" t="n"/>
    </row>
    <row r="11">
      <c r="A11" s="80" t="inlineStr">
        <is>
          <t>Group A</t>
        </is>
      </c>
      <c r="B11" s="80" t="n">
        <v>4</v>
      </c>
      <c r="C11" s="80" t="inlineStr">
        <is>
          <t>DV</t>
        </is>
      </c>
      <c r="D11" s="80" t="inlineStr">
        <is>
          <t>Group A Sequence Tests</t>
        </is>
      </c>
      <c r="E11" s="80" t="inlineStr">
        <is>
          <t>K1</t>
        </is>
      </c>
      <c r="F11" s="80" t="inlineStr">
        <is>
          <t>K1 Low Temperature Exposure</t>
        </is>
      </c>
      <c r="G11" s="80" t="inlineStr">
        <is>
          <t>1-12</t>
        </is>
      </c>
      <c r="H11" s="80" t="inlineStr">
        <is>
          <t>24 h</t>
        </is>
      </c>
      <c r="I11" s="80" t="inlineStr">
        <is>
          <t>24 h</t>
        </is>
      </c>
      <c r="J11" s="80" t="inlineStr">
        <is>
          <t>按小时</t>
        </is>
      </c>
      <c r="K11" s="80" t="inlineStr">
        <is>
          <t>30/h</t>
        </is>
      </c>
      <c r="L11" s="81" t="n">
        <v>720</v>
      </c>
      <c r="M11" s="82" t="inlineStr">
        <is>
          <t>24h × 30/h = 720（大环境箱单价）</t>
        </is>
      </c>
      <c r="N11" s="80" t="n"/>
      <c r="O11" s="71" t="inlineStr">
        <is>
          <t>Group D-6</t>
        </is>
      </c>
      <c r="P11" s="170" t="n"/>
      <c r="Q11" s="172" t="n"/>
    </row>
    <row r="12">
      <c r="A12" s="80" t="inlineStr">
        <is>
          <t>Group A</t>
        </is>
      </c>
      <c r="B12" s="80" t="n">
        <v>5</v>
      </c>
      <c r="C12" s="80" t="inlineStr">
        <is>
          <t>DV</t>
        </is>
      </c>
      <c r="D12" s="80" t="inlineStr">
        <is>
          <t>Group A Sequence Tests</t>
        </is>
      </c>
      <c r="E12" s="80" t="inlineStr">
        <is>
          <t>K2</t>
        </is>
      </c>
      <c r="F12" s="80" t="inlineStr">
        <is>
          <t>K2 High Temperature Exposure</t>
        </is>
      </c>
      <c r="G12" s="80" t="inlineStr">
        <is>
          <t>1-12</t>
        </is>
      </c>
      <c r="H12" s="80" t="inlineStr">
        <is>
          <t>24 h</t>
        </is>
      </c>
      <c r="I12" s="80" t="inlineStr">
        <is>
          <t>24 h</t>
        </is>
      </c>
      <c r="J12" s="80" t="inlineStr">
        <is>
          <t>按小时</t>
        </is>
      </c>
      <c r="K12" s="80" t="inlineStr">
        <is>
          <t>30/h</t>
        </is>
      </c>
      <c r="L12" s="81" t="n">
        <v>720</v>
      </c>
      <c r="M12" s="82" t="inlineStr">
        <is>
          <t>24h × 30/h = 720（大环境箱单价）</t>
        </is>
      </c>
      <c r="N12" s="80" t="n"/>
      <c r="O12" s="71" t="inlineStr">
        <is>
          <t>Group D-7</t>
        </is>
      </c>
      <c r="P12" s="170" t="n"/>
      <c r="Q12" s="172" t="n"/>
    </row>
    <row r="13">
      <c r="A13" s="80" t="inlineStr">
        <is>
          <t>Group A</t>
        </is>
      </c>
      <c r="B13" s="80" t="n">
        <v>6</v>
      </c>
      <c r="C13" s="80" t="inlineStr">
        <is>
          <t>DV</t>
        </is>
      </c>
      <c r="D13" s="80" t="inlineStr">
        <is>
          <t>Group A Sequence Tests</t>
        </is>
      </c>
      <c r="E13" s="80" t="inlineStr">
        <is>
          <t>K3</t>
        </is>
      </c>
      <c r="F13" s="80" t="inlineStr">
        <is>
          <t>K3 Low Temperature Operation</t>
        </is>
      </c>
      <c r="G13" s="80" t="inlineStr">
        <is>
          <t>1-12</t>
        </is>
      </c>
      <c r="H13" s="80" t="inlineStr">
        <is>
          <t>24 h</t>
        </is>
      </c>
      <c r="I13" s="80" t="inlineStr">
        <is>
          <t>24 h</t>
        </is>
      </c>
      <c r="J13" s="80" t="inlineStr">
        <is>
          <t>按小时</t>
        </is>
      </c>
      <c r="K13" s="80" t="inlineStr">
        <is>
          <t>30/h</t>
        </is>
      </c>
      <c r="L13" s="81" t="n">
        <v>720</v>
      </c>
      <c r="M13" s="82" t="inlineStr">
        <is>
          <t>24h × 30/h = 720（大环境箱单价）</t>
        </is>
      </c>
      <c r="N13" s="80" t="n"/>
      <c r="O13" s="71" t="inlineStr">
        <is>
          <t>Group D-8</t>
        </is>
      </c>
      <c r="P13" s="170" t="n"/>
      <c r="Q13" s="172" t="n"/>
    </row>
    <row r="14">
      <c r="A14" s="80" t="inlineStr">
        <is>
          <t>Group A</t>
        </is>
      </c>
      <c r="B14" s="80" t="n">
        <v>7</v>
      </c>
      <c r="C14" s="80" t="inlineStr">
        <is>
          <t>DV</t>
        </is>
      </c>
      <c r="D14" s="80" t="inlineStr">
        <is>
          <t>Group A Sequence Tests</t>
        </is>
      </c>
      <c r="E14" s="80" t="inlineStr">
        <is>
          <t>K4</t>
        </is>
      </c>
      <c r="F14" s="80" t="inlineStr">
        <is>
          <t>K4 High Temperature Operation</t>
        </is>
      </c>
      <c r="G14" s="80" t="inlineStr">
        <is>
          <t>1-12</t>
        </is>
      </c>
      <c r="H14" s="80" t="inlineStr">
        <is>
          <t>96 h</t>
        </is>
      </c>
      <c r="I14" s="80" t="inlineStr">
        <is>
          <t>96 h</t>
        </is>
      </c>
      <c r="J14" s="80" t="inlineStr">
        <is>
          <t>按小时</t>
        </is>
      </c>
      <c r="K14" s="80" t="inlineStr">
        <is>
          <t>30/h</t>
        </is>
      </c>
      <c r="L14" s="81" t="n">
        <v>2880</v>
      </c>
      <c r="M14" s="82" t="inlineStr">
        <is>
          <t>96h × 30/h = 2,880（大环境箱单价）</t>
        </is>
      </c>
      <c r="N14" s="80" t="n"/>
      <c r="O14" s="71" t="inlineStr">
        <is>
          <t>Group D-9</t>
        </is>
      </c>
      <c r="P14" s="170" t="n"/>
      <c r="Q14" s="172" t="n"/>
    </row>
    <row r="15">
      <c r="A15" s="80" t="inlineStr">
        <is>
          <t>Group A</t>
        </is>
      </c>
      <c r="B15" s="80" t="n">
        <v>8</v>
      </c>
      <c r="C15" s="80" t="inlineStr">
        <is>
          <t>DV</t>
        </is>
      </c>
      <c r="D15" s="80" t="inlineStr">
        <is>
          <t>Group A Sequence Tests</t>
        </is>
      </c>
      <c r="E15" s="80" t="inlineStr">
        <is>
          <t>K5</t>
        </is>
      </c>
      <c r="F15" s="80" t="inlineStr">
        <is>
          <t>K5 Temperature Step Test</t>
        </is>
      </c>
      <c r="G15" s="80" t="inlineStr">
        <is>
          <t>1-12</t>
        </is>
      </c>
      <c r="H15" s="80" t="inlineStr">
        <is>
          <t>1 批</t>
        </is>
      </c>
      <c r="I15" s="80" t="inlineStr">
        <is>
          <t>48 h</t>
        </is>
      </c>
      <c r="J15" s="80" t="inlineStr">
        <is>
          <t>按批次</t>
        </is>
      </c>
      <c r="K15" s="80" t="inlineStr">
        <is>
          <t>3,360/批</t>
        </is>
      </c>
      <c r="L15" s="81" t="n">
        <v>3360</v>
      </c>
      <c r="M15" s="82" t="inlineStr">
        <is>
          <t>1批 × 3,360/批 = 3,360</t>
        </is>
      </c>
      <c r="N15" s="80" t="n"/>
      <c r="O15" s="71" t="inlineStr">
        <is>
          <t>Group E-1</t>
        </is>
      </c>
      <c r="P15" s="170" t="n"/>
      <c r="Q15" s="172" t="n"/>
    </row>
    <row r="16">
      <c r="A16" s="80" t="inlineStr">
        <is>
          <t>Group A</t>
        </is>
      </c>
      <c r="B16" s="80" t="n">
        <v>9</v>
      </c>
      <c r="C16" s="80" t="inlineStr">
        <is>
          <t>DV</t>
        </is>
      </c>
      <c r="D16" s="80" t="inlineStr">
        <is>
          <t>Group A Sequence Tests</t>
        </is>
      </c>
      <c r="E16" s="80" t="inlineStr">
        <is>
          <t>K6</t>
        </is>
      </c>
      <c r="F16" s="80" t="inlineStr">
        <is>
          <t>K6 Power Thermal Cycle</t>
        </is>
      </c>
      <c r="G16" s="80" t="inlineStr">
        <is>
          <t>1-12</t>
        </is>
      </c>
      <c r="H16" s="80" t="inlineStr">
        <is>
          <t>240 h</t>
        </is>
      </c>
      <c r="I16" s="80" t="inlineStr">
        <is>
          <t>240 h</t>
        </is>
      </c>
      <c r="J16" s="80" t="inlineStr">
        <is>
          <t>按小时</t>
        </is>
      </c>
      <c r="K16" s="80" t="inlineStr">
        <is>
          <t>30/h</t>
        </is>
      </c>
      <c r="L16" s="81" t="n">
        <v>7200</v>
      </c>
      <c r="M16" s="82" t="inlineStr">
        <is>
          <t>240h × 30/h = 7,200（大环境箱单价）</t>
        </is>
      </c>
      <c r="N16" s="80" t="n"/>
      <c r="O16" s="71" t="inlineStr">
        <is>
          <t>Group E-2</t>
        </is>
      </c>
      <c r="P16" s="170" t="n"/>
      <c r="Q16" s="172" t="n"/>
    </row>
    <row r="17">
      <c r="A17" s="80" t="inlineStr">
        <is>
          <t>Group A</t>
        </is>
      </c>
      <c r="B17" s="80" t="n">
        <v>10</v>
      </c>
      <c r="C17" s="80" t="inlineStr">
        <is>
          <t>DV</t>
        </is>
      </c>
      <c r="D17" s="80" t="inlineStr">
        <is>
          <t>Group A Sequence Tests</t>
        </is>
      </c>
      <c r="E17" s="80" t="inlineStr">
        <is>
          <t>K7</t>
        </is>
      </c>
      <c r="F17" s="80" t="inlineStr">
        <is>
          <t>K7 Thermal Shock in Air</t>
        </is>
      </c>
      <c r="G17" s="80" t="inlineStr">
        <is>
          <t>1-12</t>
        </is>
      </c>
      <c r="H17" s="80" t="inlineStr">
        <is>
          <t>105 h</t>
        </is>
      </c>
      <c r="I17" s="80" t="inlineStr">
        <is>
          <t>105 h</t>
        </is>
      </c>
      <c r="J17" s="80" t="inlineStr">
        <is>
          <t>按小时</t>
        </is>
      </c>
      <c r="K17" s="80" t="inlineStr">
        <is>
          <t>100/h</t>
        </is>
      </c>
      <c r="L17" s="81" t="n">
        <v>10500</v>
      </c>
      <c r="M17" s="82" t="inlineStr">
        <is>
          <t>105h × 100/h = 10,500</t>
        </is>
      </c>
      <c r="N17" s="80" t="n"/>
      <c r="O17" s="83" t="inlineStr">
        <is>
          <t>Total cost</t>
        </is>
      </c>
      <c r="P17" s="170" t="n"/>
      <c r="Q17" s="172" t="n"/>
    </row>
    <row r="18">
      <c r="A18" s="80" t="inlineStr">
        <is>
          <t>Group A</t>
        </is>
      </c>
      <c r="B18" s="80" t="n">
        <v>11</v>
      </c>
      <c r="C18" s="80" t="inlineStr">
        <is>
          <t>DV</t>
        </is>
      </c>
      <c r="D18" s="80" t="inlineStr">
        <is>
          <t>Group A Sequence Tests</t>
        </is>
      </c>
      <c r="E18" s="80" t="inlineStr">
        <is>
          <t>K15</t>
        </is>
      </c>
      <c r="F18" s="80" t="inlineStr">
        <is>
          <t>K15 Vibration</t>
        </is>
      </c>
      <c r="G18" s="80" t="inlineStr">
        <is>
          <t>1-12</t>
        </is>
      </c>
      <c r="H18" s="80" t="inlineStr">
        <is>
          <t>48 h</t>
        </is>
      </c>
      <c r="I18" s="80" t="inlineStr">
        <is>
          <t>48 h</t>
        </is>
      </c>
      <c r="J18" s="80" t="inlineStr">
        <is>
          <t>按小时</t>
        </is>
      </c>
      <c r="K18" s="80" t="inlineStr">
        <is>
          <t>500/h</t>
        </is>
      </c>
      <c r="L18" s="81" t="n">
        <v>24000</v>
      </c>
      <c r="M18" s="82" t="inlineStr">
        <is>
          <t>48h × 500/h = 24,000</t>
        </is>
      </c>
      <c r="N18" s="80" t="n"/>
    </row>
    <row r="19">
      <c r="A19" s="80" t="inlineStr">
        <is>
          <t>Group A</t>
        </is>
      </c>
      <c r="B19" s="80" t="n">
        <v>12</v>
      </c>
      <c r="C19" s="80" t="inlineStr">
        <is>
          <t>DV</t>
        </is>
      </c>
      <c r="D19" s="80" t="inlineStr">
        <is>
          <t>Group A Sequence Tests</t>
        </is>
      </c>
      <c r="E19" s="80" t="inlineStr">
        <is>
          <t>K16.1</t>
        </is>
      </c>
      <c r="F19" s="80" t="inlineStr">
        <is>
          <t>K16.1 Mechanical Shock Package Drop</t>
        </is>
      </c>
      <c r="G19" s="80" t="inlineStr">
        <is>
          <t>1-14</t>
        </is>
      </c>
      <c r="H19" s="80" t="inlineStr">
        <is>
          <t>14 个样品</t>
        </is>
      </c>
      <c r="I19" s="80" t="inlineStr">
        <is>
          <t>48 h</t>
        </is>
      </c>
      <c r="J19" s="80" t="inlineStr">
        <is>
          <t>按样品数量</t>
        </is>
      </c>
      <c r="K19" s="80" t="inlineStr">
        <is>
          <t>300/个</t>
        </is>
      </c>
      <c r="L19" s="81" t="n">
        <v>4200</v>
      </c>
      <c r="M19" s="82" t="inlineStr">
        <is>
          <t>14个 × 300/个 = 4,200</t>
        </is>
      </c>
      <c r="N19" s="80" t="n"/>
    </row>
    <row r="20">
      <c r="A20" s="80" t="inlineStr">
        <is>
          <t>Group A</t>
        </is>
      </c>
      <c r="B20" s="80" t="n">
        <v>13</v>
      </c>
      <c r="C20" s="80" t="inlineStr">
        <is>
          <t>DV</t>
        </is>
      </c>
      <c r="D20" s="80" t="inlineStr">
        <is>
          <t>Group A Sequence Tests</t>
        </is>
      </c>
      <c r="E20" s="80" t="inlineStr">
        <is>
          <t>K16.4</t>
        </is>
      </c>
      <c r="F20" s="80" t="inlineStr">
        <is>
          <t>K16.4 Mechanical Shock Low</t>
        </is>
      </c>
      <c r="G20" s="80" t="inlineStr">
        <is>
          <t>1-12</t>
        </is>
      </c>
      <c r="H20" s="80" t="inlineStr">
        <is>
          <t>12 个样品</t>
        </is>
      </c>
      <c r="I20" s="80" t="inlineStr">
        <is>
          <t>48 h</t>
        </is>
      </c>
      <c r="J20" s="80" t="inlineStr">
        <is>
          <t>按样品数量</t>
        </is>
      </c>
      <c r="K20" s="80" t="inlineStr">
        <is>
          <t>333/个</t>
        </is>
      </c>
      <c r="L20" s="81" t="n">
        <v>3996</v>
      </c>
      <c r="M20" s="82" t="inlineStr">
        <is>
          <t>12个 × 333/个 = 3,996</t>
        </is>
      </c>
      <c r="N20" s="80" t="n"/>
    </row>
    <row r="21">
      <c r="A21" s="80" t="inlineStr">
        <is>
          <t>Group A</t>
        </is>
      </c>
      <c r="B21" s="80" t="n">
        <v>14</v>
      </c>
      <c r="C21" s="80" t="inlineStr">
        <is>
          <t>DV</t>
        </is>
      </c>
      <c r="D21" s="80" t="inlineStr">
        <is>
          <t>Group A Sequence Tests</t>
        </is>
      </c>
      <c r="E21" s="80" t="inlineStr">
        <is>
          <t>K17</t>
        </is>
      </c>
      <c r="F21" s="80" t="inlineStr">
        <is>
          <t>K17 Audible Noise</t>
        </is>
      </c>
      <c r="G21" s="80" t="inlineStr">
        <is>
          <t>1-12</t>
        </is>
      </c>
      <c r="H21" s="80" t="inlineStr">
        <is>
          <t>12 个样品</t>
        </is>
      </c>
      <c r="I21" s="80" t="inlineStr">
        <is>
          <t>240 h</t>
        </is>
      </c>
      <c r="J21" s="80" t="inlineStr">
        <is>
          <t>按样品数量</t>
        </is>
      </c>
      <c r="K21" s="80" t="inlineStr">
        <is>
          <t>12,000/个</t>
        </is>
      </c>
      <c r="L21" s="81" t="n">
        <v>144000</v>
      </c>
      <c r="M21" s="82" t="inlineStr">
        <is>
          <t>12个 × 12,000/个 = 144,000</t>
        </is>
      </c>
      <c r="N21" s="80" t="inlineStr">
        <is>
          <t>K17 Audible Noise 按 MLA 三个方向的组合单价 × 样机数计算</t>
        </is>
      </c>
    </row>
    <row r="22">
      <c r="A22" s="80" t="inlineStr">
        <is>
          <t>Group A</t>
        </is>
      </c>
      <c r="B22" s="80" t="n">
        <v>15</v>
      </c>
      <c r="C22" s="80" t="inlineStr">
        <is>
          <t>DV</t>
        </is>
      </c>
      <c r="D22" s="80" t="inlineStr">
        <is>
          <t>Group A Sequence Tests</t>
        </is>
      </c>
      <c r="E22" s="80" t="inlineStr">
        <is>
          <t>K9</t>
        </is>
      </c>
      <c r="F22" s="80" t="inlineStr">
        <is>
          <t>K9 Temperature/Humidity Cycle</t>
        </is>
      </c>
      <c r="G22" s="80" t="inlineStr">
        <is>
          <t>1-12</t>
        </is>
      </c>
      <c r="H22" s="80" t="inlineStr">
        <is>
          <t>264 h</t>
        </is>
      </c>
      <c r="I22" s="80" t="inlineStr">
        <is>
          <t>264 h</t>
        </is>
      </c>
      <c r="J22" s="80" t="inlineStr">
        <is>
          <t>按小时</t>
        </is>
      </c>
      <c r="K22" s="80" t="inlineStr">
        <is>
          <t>30/h</t>
        </is>
      </c>
      <c r="L22" s="81" t="n">
        <v>7920</v>
      </c>
      <c r="M22" s="82" t="inlineStr">
        <is>
          <t>264h × 30/h = 7,920（大环境箱单价）</t>
        </is>
      </c>
      <c r="N22" s="80" t="n"/>
    </row>
    <row r="23">
      <c r="A23" s="80" t="inlineStr">
        <is>
          <t>Group A</t>
        </is>
      </c>
      <c r="B23" s="80" t="n">
        <v>16</v>
      </c>
      <c r="C23" s="80" t="inlineStr">
        <is>
          <t>DV</t>
        </is>
      </c>
      <c r="D23" s="80" t="inlineStr">
        <is>
          <t>Group A Sequence Tests</t>
        </is>
      </c>
      <c r="E23" s="80" t="inlineStr">
        <is>
          <t>K10</t>
        </is>
      </c>
      <c r="F23" s="80" t="inlineStr">
        <is>
          <t>K10 Water/Fluid Ingress Test</t>
        </is>
      </c>
      <c r="G23" s="80" t="inlineStr">
        <is>
          <t>1-12</t>
        </is>
      </c>
      <c r="H23" s="80" t="inlineStr">
        <is>
          <t>12 个样品</t>
        </is>
      </c>
      <c r="I23" s="80" t="inlineStr">
        <is>
          <t>72 h</t>
        </is>
      </c>
      <c r="J23" s="80" t="inlineStr">
        <is>
          <t>按样品数量</t>
        </is>
      </c>
      <c r="K23" s="80" t="inlineStr">
        <is>
          <t>500/个</t>
        </is>
      </c>
      <c r="L23" s="81" t="n">
        <v>6000</v>
      </c>
      <c r="M23" s="82" t="inlineStr">
        <is>
          <t>12个 × 500/个 = 6,000</t>
        </is>
      </c>
      <c r="N23" s="80" t="n"/>
    </row>
    <row r="24">
      <c r="A24" s="80" t="inlineStr">
        <is>
          <t>Group A</t>
        </is>
      </c>
      <c r="B24" s="80" t="n">
        <v>17</v>
      </c>
      <c r="C24" s="80" t="inlineStr">
        <is>
          <t>DV</t>
        </is>
      </c>
      <c r="D24" s="80" t="inlineStr">
        <is>
          <t>Group A Sequence Tests</t>
        </is>
      </c>
      <c r="E24" s="80" t="inlineStr">
        <is>
          <t>K13</t>
        </is>
      </c>
      <c r="F24" s="80" t="inlineStr">
        <is>
          <t>K13 Dust Ingress</t>
        </is>
      </c>
      <c r="G24" s="80" t="inlineStr">
        <is>
          <t>1-12</t>
        </is>
      </c>
      <c r="H24" s="80" t="inlineStr">
        <is>
          <t>4 批</t>
        </is>
      </c>
      <c r="I24" s="80" t="inlineStr">
        <is>
          <t>120 h</t>
        </is>
      </c>
      <c r="J24" s="80" t="inlineStr">
        <is>
          <t>按批次</t>
        </is>
      </c>
      <c r="K24" s="80" t="inlineStr">
        <is>
          <t>1,500/批</t>
        </is>
      </c>
      <c r="L24" s="81" t="n">
        <v>6000</v>
      </c>
      <c r="M24" s="82" t="inlineStr">
        <is>
          <t>4批 × 1,500/批 = 6,000</t>
        </is>
      </c>
      <c r="N24" s="80" t="n"/>
    </row>
    <row r="25" ht="31" customHeight="1" s="4">
      <c r="A25" s="80" t="inlineStr">
        <is>
          <t>Group A</t>
        </is>
      </c>
      <c r="B25" s="80" t="n">
        <v>19</v>
      </c>
      <c r="C25" s="80" t="inlineStr">
        <is>
          <t>DV</t>
        </is>
      </c>
      <c r="D25" s="80" t="inlineStr">
        <is>
          <t>Group A Sequence Tests</t>
        </is>
      </c>
      <c r="E25" s="80" t="inlineStr">
        <is>
          <t>L1&amp;L4</t>
        </is>
      </c>
      <c r="F25" s="80" t="inlineStr">
        <is>
          <t>L1&amp;L4 Performance Evaluation &amp; Functional Evaluation</t>
        </is>
      </c>
      <c r="G25" s="80" t="inlineStr">
        <is>
          <t>1-14</t>
        </is>
      </c>
      <c r="H25" s="80" t="inlineStr">
        <is>
          <t>14 个样品</t>
        </is>
      </c>
      <c r="I25" s="80" t="inlineStr">
        <is>
          <t>72 h</t>
        </is>
      </c>
      <c r="J25" s="80" t="inlineStr">
        <is>
          <t>按样品数量</t>
        </is>
      </c>
      <c r="K25" s="80" t="inlineStr">
        <is>
          <t>400/个</t>
        </is>
      </c>
      <c r="L25" s="81" t="n">
        <v>5600</v>
      </c>
      <c r="M25" s="82" t="inlineStr">
        <is>
          <t>14个 × 400/个 = 5,600</t>
        </is>
      </c>
      <c r="N25" s="80" t="n"/>
    </row>
    <row r="26">
      <c r="A26" s="76" t="inlineStr">
        <is>
          <t>Group B：DV / Group B Sequence Tests</t>
        </is>
      </c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  <c r="N26" s="163" t="n"/>
    </row>
    <row r="27">
      <c r="A27" s="78" t="inlineStr">
        <is>
          <t>组别顺序</t>
        </is>
      </c>
      <c r="B27" s="78" t="inlineStr">
        <is>
          <t>组内顺序</t>
        </is>
      </c>
      <c r="C27" s="78" t="inlineStr">
        <is>
          <t>Phase</t>
        </is>
      </c>
      <c r="D27" s="78" t="inlineStr">
        <is>
          <t>Group</t>
        </is>
      </c>
      <c r="E27" s="78" t="inlineStr">
        <is>
          <t>测试编号</t>
        </is>
      </c>
      <c r="F27" s="78" t="inlineStr">
        <is>
          <t>测试项目</t>
        </is>
      </c>
      <c r="G27" s="78" t="inlineStr">
        <is>
          <t>样品范围</t>
        </is>
      </c>
      <c r="H27" s="78" t="inlineStr">
        <is>
          <t>计费基数</t>
        </is>
      </c>
      <c r="I27" s="78" t="inlineStr">
        <is>
          <t>测试时间</t>
        </is>
      </c>
      <c r="J27" s="78" t="inlineStr">
        <is>
          <t>计费方式</t>
        </is>
      </c>
      <c r="K27" s="78" t="inlineStr">
        <is>
          <t>单价</t>
        </is>
      </c>
      <c r="L27" s="84" t="inlineStr">
        <is>
          <t>委外费用</t>
        </is>
      </c>
      <c r="M27" s="78" t="inlineStr">
        <is>
          <t>费用计算公式</t>
        </is>
      </c>
      <c r="N27" s="78" t="inlineStr">
        <is>
          <t>备注</t>
        </is>
      </c>
    </row>
    <row r="28" ht="31" customHeight="1" s="4">
      <c r="A28" s="80" t="inlineStr">
        <is>
          <t>Group B</t>
        </is>
      </c>
      <c r="B28" s="80" t="n">
        <v>2</v>
      </c>
      <c r="C28" s="80" t="inlineStr">
        <is>
          <t>DV</t>
        </is>
      </c>
      <c r="D28" s="80" t="inlineStr">
        <is>
          <t>Group B Sequence Tests</t>
        </is>
      </c>
      <c r="E28" s="80" t="inlineStr">
        <is>
          <t>L1&amp;L4</t>
        </is>
      </c>
      <c r="F28" s="80" t="inlineStr">
        <is>
          <t>L1&amp;L4 Performance Evaluation &amp; Functional Evaluation</t>
        </is>
      </c>
      <c r="G28" s="80" t="inlineStr">
        <is>
          <t>15-26</t>
        </is>
      </c>
      <c r="H28" s="80" t="inlineStr">
        <is>
          <t>12 个样品</t>
        </is>
      </c>
      <c r="I28" s="80" t="inlineStr">
        <is>
          <t>72 h</t>
        </is>
      </c>
      <c r="J28" s="80" t="inlineStr">
        <is>
          <t>按样品数量</t>
        </is>
      </c>
      <c r="K28" s="80" t="inlineStr">
        <is>
          <t>400/个</t>
        </is>
      </c>
      <c r="L28" s="81" t="n">
        <v>4800</v>
      </c>
      <c r="M28" s="82" t="inlineStr">
        <is>
          <t>12个 × 400/个 = 4,800</t>
        </is>
      </c>
      <c r="N28" s="80" t="n"/>
    </row>
    <row r="29" ht="31" customHeight="1" s="4">
      <c r="A29" s="80" t="inlineStr">
        <is>
          <t>Group B</t>
        </is>
      </c>
      <c r="B29" s="80" t="n">
        <v>3</v>
      </c>
      <c r="C29" s="80" t="inlineStr">
        <is>
          <t>DV</t>
        </is>
      </c>
      <c r="D29" s="80" t="inlineStr">
        <is>
          <t>Group B Sequence Tests</t>
        </is>
      </c>
      <c r="E29" s="80" t="inlineStr">
        <is>
          <t>K22</t>
        </is>
      </c>
      <c r="F29" s="80" t="inlineStr">
        <is>
          <t>K22 Chemical Resistance</t>
        </is>
      </c>
      <c r="G29" s="80" t="inlineStr">
        <is>
          <t>15-26</t>
        </is>
      </c>
      <c r="H29" s="80" t="inlineStr">
        <is>
          <t>72 h</t>
        </is>
      </c>
      <c r="I29" s="80" t="inlineStr">
        <is>
          <t>72 h</t>
        </is>
      </c>
      <c r="J29" s="80" t="inlineStr">
        <is>
          <t>按小时</t>
        </is>
      </c>
      <c r="K29" s="80" t="inlineStr">
        <is>
          <t>650/种试剂；20/h</t>
        </is>
      </c>
      <c r="L29" s="81" t="n">
        <v>11190</v>
      </c>
      <c r="M29" s="82" t="inlineStr">
        <is>
          <t>SGS: 15 种试剂 × 650 + 72 h × 20 = 11190；</t>
        </is>
      </c>
      <c r="N29" s="80" t="inlineStr">
        <is>
          <t>K22 Chemical Resistance 按 MLA 条件 1 的 15 种试剂；试剂数量 × 各实验室试剂单价 + 测试时间 × 时间单价 计算</t>
        </is>
      </c>
    </row>
    <row r="30">
      <c r="A30" s="80" t="inlineStr">
        <is>
          <t>Group B</t>
        </is>
      </c>
      <c r="B30" s="80" t="n">
        <v>4</v>
      </c>
      <c r="C30" s="80" t="inlineStr">
        <is>
          <t>DV</t>
        </is>
      </c>
      <c r="D30" s="80" t="inlineStr">
        <is>
          <t>Group B Sequence Tests</t>
        </is>
      </c>
      <c r="E30" s="80" t="inlineStr">
        <is>
          <t>K18</t>
        </is>
      </c>
      <c r="F30" s="80" t="inlineStr">
        <is>
          <t>K18 Connector and lead/lock strength</t>
        </is>
      </c>
      <c r="G30" s="80" t="inlineStr">
        <is>
          <t>15-26</t>
        </is>
      </c>
      <c r="H30" s="80" t="inlineStr">
        <is>
          <t>12 个样品</t>
        </is>
      </c>
      <c r="I30" s="80" t="inlineStr">
        <is>
          <t>168 h</t>
        </is>
      </c>
      <c r="J30" s="80" t="inlineStr">
        <is>
          <t>按样品数量</t>
        </is>
      </c>
      <c r="K30" s="80" t="inlineStr">
        <is>
          <t>325/项；微应力 3400</t>
        </is>
      </c>
      <c r="L30" s="81" t="n">
        <v>19000</v>
      </c>
      <c r="M30" s="82" t="inlineStr">
        <is>
          <t>SGS: 四项单价 325；微应力 3400 = 19000；</t>
        </is>
      </c>
      <c r="N30" s="80" t="inlineStr">
        <is>
          <t>K18.1-K18.4 四项 × 12 台样机 × 单价 + K18.1 微应力费用</t>
        </is>
      </c>
    </row>
    <row r="31" ht="31" customHeight="1" s="4">
      <c r="A31" s="80" t="inlineStr">
        <is>
          <t>Group B</t>
        </is>
      </c>
      <c r="B31" s="80" t="n">
        <v>5</v>
      </c>
      <c r="C31" s="80" t="inlineStr">
        <is>
          <t>DV</t>
        </is>
      </c>
      <c r="D31" s="80" t="inlineStr">
        <is>
          <t>Group B Sequence Tests</t>
        </is>
      </c>
      <c r="E31" s="80" t="inlineStr">
        <is>
          <t>L1&amp;L4</t>
        </is>
      </c>
      <c r="F31" s="80" t="inlineStr">
        <is>
          <t>L1&amp;L4 Performance Evaluation &amp; Functional Evaluation</t>
        </is>
      </c>
      <c r="G31" s="80" t="inlineStr">
        <is>
          <t>15-26</t>
        </is>
      </c>
      <c r="H31" s="80" t="inlineStr">
        <is>
          <t>12 个样品</t>
        </is>
      </c>
      <c r="I31" s="80" t="inlineStr">
        <is>
          <t>72 h</t>
        </is>
      </c>
      <c r="J31" s="80" t="inlineStr">
        <is>
          <t>按样品数量</t>
        </is>
      </c>
      <c r="K31" s="80" t="inlineStr">
        <is>
          <t>400/个</t>
        </is>
      </c>
      <c r="L31" s="81" t="n">
        <v>4800</v>
      </c>
      <c r="M31" s="82" t="inlineStr">
        <is>
          <t>12个 × 400/个 = 4,800</t>
        </is>
      </c>
      <c r="N31" s="80" t="n"/>
    </row>
    <row r="32">
      <c r="A32" s="76" t="inlineStr">
        <is>
          <t>Group C：DV / Group C Sequence Tests</t>
        </is>
      </c>
      <c r="B32" s="164" t="n"/>
      <c r="C32" s="164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64" t="n"/>
      <c r="M32" s="164" t="n"/>
      <c r="N32" s="163" t="n"/>
    </row>
    <row r="33">
      <c r="A33" s="78" t="inlineStr">
        <is>
          <t>组别顺序</t>
        </is>
      </c>
      <c r="B33" s="78" t="inlineStr">
        <is>
          <t>组内顺序</t>
        </is>
      </c>
      <c r="C33" s="78" t="inlineStr">
        <is>
          <t>Phase</t>
        </is>
      </c>
      <c r="D33" s="78" t="inlineStr">
        <is>
          <t>Group</t>
        </is>
      </c>
      <c r="E33" s="78" t="inlineStr">
        <is>
          <t>测试编号</t>
        </is>
      </c>
      <c r="F33" s="78" t="inlineStr">
        <is>
          <t>测试项目</t>
        </is>
      </c>
      <c r="G33" s="78" t="inlineStr">
        <is>
          <t>样品范围</t>
        </is>
      </c>
      <c r="H33" s="78" t="inlineStr">
        <is>
          <t>计费基数</t>
        </is>
      </c>
      <c r="I33" s="78" t="inlineStr">
        <is>
          <t>测试时间</t>
        </is>
      </c>
      <c r="J33" s="78" t="inlineStr">
        <is>
          <t>计费方式</t>
        </is>
      </c>
      <c r="K33" s="78" t="inlineStr">
        <is>
          <t>单价</t>
        </is>
      </c>
      <c r="L33" s="84" t="inlineStr">
        <is>
          <t>委外费用</t>
        </is>
      </c>
      <c r="M33" s="78" t="inlineStr">
        <is>
          <t>费用计算公式</t>
        </is>
      </c>
      <c r="N33" s="78" t="inlineStr">
        <is>
          <t>备注</t>
        </is>
      </c>
    </row>
    <row r="34" ht="31" customHeight="1" s="4">
      <c r="A34" s="80" t="inlineStr">
        <is>
          <t>Group C</t>
        </is>
      </c>
      <c r="B34" s="80" t="n">
        <v>2</v>
      </c>
      <c r="C34" s="80" t="inlineStr">
        <is>
          <t>DV</t>
        </is>
      </c>
      <c r="D34" s="80" t="inlineStr">
        <is>
          <t>Group C Sequence Tests</t>
        </is>
      </c>
      <c r="E34" s="80" t="inlineStr">
        <is>
          <t>L1&amp;L4</t>
        </is>
      </c>
      <c r="F34" s="80" t="inlineStr">
        <is>
          <t>L1&amp;L4 Performance Evaluation &amp; Functional Evaluation</t>
        </is>
      </c>
      <c r="G34" s="80" t="inlineStr">
        <is>
          <t>27-32</t>
        </is>
      </c>
      <c r="H34" s="80" t="inlineStr">
        <is>
          <t>6 个样品</t>
        </is>
      </c>
      <c r="I34" s="80" t="inlineStr">
        <is>
          <t>72 h</t>
        </is>
      </c>
      <c r="J34" s="80" t="inlineStr">
        <is>
          <t>按样品数量</t>
        </is>
      </c>
      <c r="K34" s="80" t="inlineStr">
        <is>
          <t>400/个</t>
        </is>
      </c>
      <c r="L34" s="81" t="n">
        <v>2400</v>
      </c>
      <c r="M34" s="82" t="inlineStr">
        <is>
          <t>6个 × 400/个 = 2,400</t>
        </is>
      </c>
      <c r="N34" s="80" t="n"/>
    </row>
    <row r="35">
      <c r="A35" s="80" t="inlineStr">
        <is>
          <t>Group C</t>
        </is>
      </c>
      <c r="B35" s="80" t="n">
        <v>3</v>
      </c>
      <c r="C35" s="80" t="inlineStr">
        <is>
          <t>DV</t>
        </is>
      </c>
      <c r="D35" s="80" t="inlineStr">
        <is>
          <t>Group C Sequence Tests</t>
        </is>
      </c>
      <c r="E35" s="80" t="inlineStr">
        <is>
          <t>K7</t>
        </is>
      </c>
      <c r="F35" s="80" t="inlineStr">
        <is>
          <t>K7 Thermal Shock in Air</t>
        </is>
      </c>
      <c r="G35" s="80" t="inlineStr">
        <is>
          <t>27-32</t>
        </is>
      </c>
      <c r="H35" s="80" t="inlineStr">
        <is>
          <t>105 h</t>
        </is>
      </c>
      <c r="I35" s="80" t="inlineStr">
        <is>
          <t>105 h</t>
        </is>
      </c>
      <c r="J35" s="80" t="inlineStr">
        <is>
          <t>按小时</t>
        </is>
      </c>
      <c r="K35" s="80" t="inlineStr">
        <is>
          <t>100/h</t>
        </is>
      </c>
      <c r="L35" s="81" t="n">
        <v>10500</v>
      </c>
      <c r="M35" s="82" t="inlineStr">
        <is>
          <t>105h × 100/h = 10,500</t>
        </is>
      </c>
      <c r="N35" s="80" t="n"/>
    </row>
    <row r="36" ht="31" customHeight="1" s="4">
      <c r="A36" s="80" t="inlineStr">
        <is>
          <t>Group C</t>
        </is>
      </c>
      <c r="B36" s="80" t="n">
        <v>4</v>
      </c>
      <c r="C36" s="80" t="inlineStr">
        <is>
          <t>DV</t>
        </is>
      </c>
      <c r="D36" s="80" t="inlineStr">
        <is>
          <t>Group C Sequence Tests</t>
        </is>
      </c>
      <c r="E36" s="80" t="inlineStr">
        <is>
          <t>Particle</t>
        </is>
      </c>
      <c r="F36" s="80" t="inlineStr">
        <is>
          <t>Particle Exposure</t>
        </is>
      </c>
      <c r="G36" s="80" t="inlineStr">
        <is>
          <t>27-32</t>
        </is>
      </c>
      <c r="H36" s="80" t="n"/>
      <c r="I36" s="80" t="inlineStr">
        <is>
          <t>48 h</t>
        </is>
      </c>
      <c r="J36" s="80" t="inlineStr">
        <is>
          <t>按批次</t>
        </is>
      </c>
      <c r="K36" s="80" t="inlineStr">
        <is>
          <t>2,500/批</t>
        </is>
      </c>
      <c r="L36" s="81" t="n">
        <v>2500</v>
      </c>
      <c r="M36" s="82" t="inlineStr">
        <is>
          <t>A组已计入粉尘费/清洁费，当前仅计批次费：1批 × 2,500/批 = 2,500</t>
        </is>
      </c>
      <c r="N36" s="80" t="inlineStr">
        <is>
          <t>Particle Exposure：A组已覆盖粉尘/清洁，当前只计新增批次费</t>
        </is>
      </c>
    </row>
    <row r="37">
      <c r="A37" s="80" t="inlineStr">
        <is>
          <t>Group C</t>
        </is>
      </c>
      <c r="B37" s="80" t="n">
        <v>5</v>
      </c>
      <c r="C37" s="80" t="inlineStr">
        <is>
          <t>DV</t>
        </is>
      </c>
      <c r="D37" s="80" t="inlineStr">
        <is>
          <t>Group C Sequence Tests</t>
        </is>
      </c>
      <c r="E37" s="80" t="inlineStr">
        <is>
          <t>K15</t>
        </is>
      </c>
      <c r="F37" s="80" t="inlineStr">
        <is>
          <t>K15 Vibartion</t>
        </is>
      </c>
      <c r="G37" s="80" t="inlineStr">
        <is>
          <t>27-32</t>
        </is>
      </c>
      <c r="H37" s="80" t="inlineStr">
        <is>
          <t>24 h</t>
        </is>
      </c>
      <c r="I37" s="80" t="inlineStr">
        <is>
          <t>24 h</t>
        </is>
      </c>
      <c r="J37" s="80" t="inlineStr">
        <is>
          <t>按小时</t>
        </is>
      </c>
      <c r="K37" s="80" t="inlineStr">
        <is>
          <t>500/h</t>
        </is>
      </c>
      <c r="L37" s="81" t="n">
        <v>12000</v>
      </c>
      <c r="M37" s="82" t="inlineStr">
        <is>
          <t>24h × 500/h = 12,000</t>
        </is>
      </c>
      <c r="N37" s="80" t="n"/>
    </row>
    <row r="38">
      <c r="A38" s="80" t="inlineStr">
        <is>
          <t>Group C</t>
        </is>
      </c>
      <c r="B38" s="80" t="n">
        <v>6</v>
      </c>
      <c r="C38" s="80" t="inlineStr">
        <is>
          <t>DV</t>
        </is>
      </c>
      <c r="D38" s="80" t="inlineStr">
        <is>
          <t>Group C Sequence Tests</t>
        </is>
      </c>
      <c r="E38" s="80" t="inlineStr">
        <is>
          <t>K13</t>
        </is>
      </c>
      <c r="F38" s="80" t="inlineStr">
        <is>
          <t>K13 Dust Ingress</t>
        </is>
      </c>
      <c r="G38" s="80" t="inlineStr">
        <is>
          <t>27-32</t>
        </is>
      </c>
      <c r="H38" s="80" t="inlineStr">
        <is>
          <t>2 批</t>
        </is>
      </c>
      <c r="I38" s="80" t="inlineStr">
        <is>
          <t>48 h</t>
        </is>
      </c>
      <c r="J38" s="80" t="inlineStr">
        <is>
          <t>按批次</t>
        </is>
      </c>
      <c r="K38" s="80" t="inlineStr">
        <is>
          <t>1,500/批</t>
        </is>
      </c>
      <c r="L38" s="81" t="n">
        <v>3000</v>
      </c>
      <c r="M38" s="82" t="inlineStr">
        <is>
          <t>2批 × 1,500/批 = 3,000</t>
        </is>
      </c>
      <c r="N38" s="80" t="n"/>
    </row>
    <row r="39" ht="31" customHeight="1" s="4">
      <c r="A39" s="80" t="inlineStr">
        <is>
          <t>Group C</t>
        </is>
      </c>
      <c r="B39" s="80" t="n">
        <v>8</v>
      </c>
      <c r="C39" s="80" t="inlineStr">
        <is>
          <t>DV</t>
        </is>
      </c>
      <c r="D39" s="80" t="inlineStr">
        <is>
          <t>Group C Sequence Tests</t>
        </is>
      </c>
      <c r="E39" s="80" t="inlineStr">
        <is>
          <t>K26</t>
        </is>
      </c>
      <c r="F39" s="80" t="inlineStr">
        <is>
          <t>K26 Mechanical Wear-Out</t>
        </is>
      </c>
      <c r="G39" s="80" t="inlineStr">
        <is>
          <t>27-32</t>
        </is>
      </c>
      <c r="H39" s="80" t="inlineStr">
        <is>
          <t>500 h</t>
        </is>
      </c>
      <c r="I39" s="80" t="inlineStr">
        <is>
          <t>500 h</t>
        </is>
      </c>
      <c r="J39" s="80" t="inlineStr">
        <is>
          <t>按小时</t>
        </is>
      </c>
      <c r="K39" s="80" t="inlineStr">
        <is>
          <t>总价 7158</t>
        </is>
      </c>
      <c r="L39" s="81" t="n">
        <v>7158</v>
      </c>
      <c r="M39" s="82" t="inlineStr">
        <is>
          <t>SGS: 334 h × 10 + 83 h × 23 + 83 h × 23 = 7158；</t>
        </is>
      </c>
      <c r="N39" s="80" t="inlineStr">
        <is>
          <t>K26 Mechanical Wear-Out 按 334h 常温 + 83h 低温 + 83h 高温分别计费，采用当前实验室总价</t>
        </is>
      </c>
    </row>
    <row r="40" ht="31" customHeight="1" s="4">
      <c r="A40" s="80" t="inlineStr">
        <is>
          <t>Group C</t>
        </is>
      </c>
      <c r="B40" s="80" t="n">
        <v>9</v>
      </c>
      <c r="C40" s="80" t="inlineStr">
        <is>
          <t>DV</t>
        </is>
      </c>
      <c r="D40" s="80" t="inlineStr">
        <is>
          <t>Group C Sequence Tests</t>
        </is>
      </c>
      <c r="E40" s="80" t="inlineStr">
        <is>
          <t>L1&amp;L4</t>
        </is>
      </c>
      <c r="F40" s="80" t="inlineStr">
        <is>
          <t>L1&amp;L4 Performance Evaluation &amp; Functional Evaluation</t>
        </is>
      </c>
      <c r="G40" s="80" t="inlineStr">
        <is>
          <t>27-32</t>
        </is>
      </c>
      <c r="H40" s="80" t="inlineStr">
        <is>
          <t>6 个样品</t>
        </is>
      </c>
      <c r="I40" s="80" t="inlineStr">
        <is>
          <t>48 h</t>
        </is>
      </c>
      <c r="J40" s="80" t="inlineStr">
        <is>
          <t>按样品数量</t>
        </is>
      </c>
      <c r="K40" s="80" t="inlineStr">
        <is>
          <t>400/个</t>
        </is>
      </c>
      <c r="L40" s="81" t="n">
        <v>2400</v>
      </c>
      <c r="M40" s="82" t="inlineStr">
        <is>
          <t>6个 × 400/个 = 2,400</t>
        </is>
      </c>
      <c r="N40" s="80" t="n"/>
    </row>
    <row r="41">
      <c r="A41" s="76" t="inlineStr">
        <is>
          <t>Group D-1：DV / Group D Parallel Tests / D-1 Corrosive Gases</t>
        </is>
      </c>
      <c r="B41" s="164" t="n"/>
      <c r="C41" s="164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  <c r="N41" s="163" t="n"/>
    </row>
    <row r="42">
      <c r="A42" s="78" t="inlineStr">
        <is>
          <t>组别顺序</t>
        </is>
      </c>
      <c r="B42" s="78" t="inlineStr">
        <is>
          <t>组内顺序</t>
        </is>
      </c>
      <c r="C42" s="78" t="inlineStr">
        <is>
          <t>Phase</t>
        </is>
      </c>
      <c r="D42" s="78" t="inlineStr">
        <is>
          <t>Group</t>
        </is>
      </c>
      <c r="E42" s="78" t="inlineStr">
        <is>
          <t>测试编号</t>
        </is>
      </c>
      <c r="F42" s="78" t="inlineStr">
        <is>
          <t>测试项目</t>
        </is>
      </c>
      <c r="G42" s="78" t="inlineStr">
        <is>
          <t>样品范围</t>
        </is>
      </c>
      <c r="H42" s="78" t="inlineStr">
        <is>
          <t>计费基数</t>
        </is>
      </c>
      <c r="I42" s="78" t="inlineStr">
        <is>
          <t>测试时间</t>
        </is>
      </c>
      <c r="J42" s="78" t="inlineStr">
        <is>
          <t>计费方式</t>
        </is>
      </c>
      <c r="K42" s="78" t="inlineStr">
        <is>
          <t>单价</t>
        </is>
      </c>
      <c r="L42" s="84" t="inlineStr">
        <is>
          <t>委外费用</t>
        </is>
      </c>
      <c r="M42" s="85" t="inlineStr">
        <is>
          <t>费用计算公式</t>
        </is>
      </c>
      <c r="N42" s="78" t="inlineStr">
        <is>
          <t>备注</t>
        </is>
      </c>
    </row>
    <row r="43" ht="31" customHeight="1" s="4">
      <c r="A43" s="80" t="inlineStr">
        <is>
          <t>Group D-1</t>
        </is>
      </c>
      <c r="B43" s="80" t="n">
        <v>2</v>
      </c>
      <c r="C43" s="80" t="inlineStr">
        <is>
          <t>DV</t>
        </is>
      </c>
      <c r="D43" s="80" t="inlineStr">
        <is>
          <t>Group D Parallel Tests / D-1 Corrosive Gases</t>
        </is>
      </c>
      <c r="E43" s="80" t="inlineStr">
        <is>
          <t>L1&amp;L4</t>
        </is>
      </c>
      <c r="F43" s="80" t="inlineStr">
        <is>
          <t>L1&amp;L4 Performance Evaluation &amp; Functional Evaluation</t>
        </is>
      </c>
      <c r="G43" s="80" t="inlineStr">
        <is>
          <t>33-38</t>
        </is>
      </c>
      <c r="H43" s="80" t="inlineStr">
        <is>
          <t>6 个样品</t>
        </is>
      </c>
      <c r="I43" s="80" t="inlineStr">
        <is>
          <t>72 h</t>
        </is>
      </c>
      <c r="J43" s="80" t="inlineStr">
        <is>
          <t>按样品数量</t>
        </is>
      </c>
      <c r="K43" s="80" t="inlineStr">
        <is>
          <t>400/个</t>
        </is>
      </c>
      <c r="L43" s="81" t="n">
        <v>2400</v>
      </c>
      <c r="M43" s="82" t="inlineStr">
        <is>
          <t>6个 × 400/个 = 2,400</t>
        </is>
      </c>
      <c r="N43" s="80" t="n"/>
    </row>
    <row r="44" ht="31" customHeight="1" s="4">
      <c r="A44" s="86" t="inlineStr">
        <is>
          <t>Group D-1</t>
        </is>
      </c>
      <c r="B44" s="86" t="n">
        <v>3</v>
      </c>
      <c r="C44" s="86" t="inlineStr">
        <is>
          <t>DV</t>
        </is>
      </c>
      <c r="D44" s="86" t="inlineStr">
        <is>
          <t>Group D Parallel Tests / D-1 Corrosive Gases</t>
        </is>
      </c>
      <c r="E44" s="86" t="inlineStr">
        <is>
          <t>K21</t>
        </is>
      </c>
      <c r="F44" s="86" t="inlineStr">
        <is>
          <t>K21 Corrosive Gases</t>
        </is>
      </c>
      <c r="G44" s="86" t="inlineStr">
        <is>
          <t>33-38</t>
        </is>
      </c>
      <c r="H44" s="86" t="inlineStr">
        <is>
          <t>336 h</t>
        </is>
      </c>
      <c r="I44" s="86" t="inlineStr">
        <is>
          <t>336 h</t>
        </is>
      </c>
      <c r="J44" s="86" t="inlineStr">
        <is>
          <t>按小时</t>
        </is>
      </c>
      <c r="K44" s="86" t="inlineStr">
        <is>
          <t>110/h</t>
        </is>
      </c>
      <c r="L44" s="87" t="n">
        <v>36960</v>
      </c>
      <c r="M44" s="88" t="inlineStr">
        <is>
          <t>336h × 110/h = 36,960</t>
        </is>
      </c>
      <c r="N44" s="86" t="n"/>
    </row>
    <row r="45" ht="31" customHeight="1" s="4">
      <c r="A45" s="80" t="inlineStr">
        <is>
          <t>Group D-1</t>
        </is>
      </c>
      <c r="B45" s="80" t="n">
        <v>4</v>
      </c>
      <c r="C45" s="80" t="inlineStr">
        <is>
          <t>DV</t>
        </is>
      </c>
      <c r="D45" s="80" t="inlineStr">
        <is>
          <t>Group D Parallel Tests / D-1 Corrosive Gases</t>
        </is>
      </c>
      <c r="E45" s="80" t="inlineStr">
        <is>
          <t>L1&amp;L4</t>
        </is>
      </c>
      <c r="F45" s="80" t="inlineStr">
        <is>
          <t>L1&amp;L4 Performance Evaluation &amp; Functional Evaluation</t>
        </is>
      </c>
      <c r="G45" s="80" t="inlineStr">
        <is>
          <t>33-38</t>
        </is>
      </c>
      <c r="H45" s="80" t="inlineStr">
        <is>
          <t>6 个样品</t>
        </is>
      </c>
      <c r="I45" s="80" t="inlineStr">
        <is>
          <t>48 h</t>
        </is>
      </c>
      <c r="J45" s="80" t="inlineStr">
        <is>
          <t>按样品数量</t>
        </is>
      </c>
      <c r="K45" s="80" t="inlineStr">
        <is>
          <t>400/个</t>
        </is>
      </c>
      <c r="L45" s="81" t="n">
        <v>2400</v>
      </c>
      <c r="M45" s="82" t="inlineStr">
        <is>
          <t>6个 × 400/个 = 2,400</t>
        </is>
      </c>
      <c r="N45" s="80" t="n"/>
    </row>
    <row r="46">
      <c r="A46" s="76" t="inlineStr">
        <is>
          <t>Group D-2：DV / Group D Parallel Tests / D-2 Solar Radiation</t>
        </is>
      </c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64" t="n"/>
      <c r="M46" s="164" t="n"/>
      <c r="N46" s="163" t="n"/>
    </row>
    <row r="47">
      <c r="A47" s="78" t="inlineStr">
        <is>
          <t>组别顺序</t>
        </is>
      </c>
      <c r="B47" s="78" t="inlineStr">
        <is>
          <t>组内顺序</t>
        </is>
      </c>
      <c r="C47" s="78" t="inlineStr">
        <is>
          <t>Phase</t>
        </is>
      </c>
      <c r="D47" s="78" t="inlineStr">
        <is>
          <t>Group</t>
        </is>
      </c>
      <c r="E47" s="78" t="inlineStr">
        <is>
          <t>测试编号</t>
        </is>
      </c>
      <c r="F47" s="78" t="inlineStr">
        <is>
          <t>测试项目</t>
        </is>
      </c>
      <c r="G47" s="78" t="inlineStr">
        <is>
          <t>样品范围</t>
        </is>
      </c>
      <c r="H47" s="78" t="inlineStr">
        <is>
          <t>计费基数</t>
        </is>
      </c>
      <c r="I47" s="78" t="inlineStr">
        <is>
          <t>测试时间</t>
        </is>
      </c>
      <c r="J47" s="78" t="inlineStr">
        <is>
          <t>计费方式</t>
        </is>
      </c>
      <c r="K47" s="78" t="inlineStr">
        <is>
          <t>单价</t>
        </is>
      </c>
      <c r="L47" s="84" t="inlineStr">
        <is>
          <t>委外费用</t>
        </is>
      </c>
      <c r="M47" s="85" t="inlineStr">
        <is>
          <t>费用计算公式</t>
        </is>
      </c>
      <c r="N47" s="78" t="inlineStr">
        <is>
          <t>备注</t>
        </is>
      </c>
    </row>
    <row r="48" ht="31" customHeight="1" s="4">
      <c r="A48" s="80" t="inlineStr">
        <is>
          <t>Group D-2</t>
        </is>
      </c>
      <c r="B48" s="80" t="n">
        <v>2</v>
      </c>
      <c r="C48" s="80" t="inlineStr">
        <is>
          <t>DV</t>
        </is>
      </c>
      <c r="D48" s="80" t="inlineStr">
        <is>
          <t>Group D Parallel Tests / D-2 Solar Radiation</t>
        </is>
      </c>
      <c r="E48" s="80" t="inlineStr">
        <is>
          <t>L1&amp;L4</t>
        </is>
      </c>
      <c r="F48" s="80" t="inlineStr">
        <is>
          <t>L1&amp;L4 Performance Evaluation &amp; Functional Evaluation</t>
        </is>
      </c>
      <c r="G48" s="80" t="inlineStr">
        <is>
          <t>39-44</t>
        </is>
      </c>
      <c r="H48" s="80" t="inlineStr">
        <is>
          <t>6 个样品</t>
        </is>
      </c>
      <c r="I48" s="80" t="inlineStr">
        <is>
          <t>72 h</t>
        </is>
      </c>
      <c r="J48" s="80" t="inlineStr">
        <is>
          <t>按样品数量</t>
        </is>
      </c>
      <c r="K48" s="80" t="inlineStr">
        <is>
          <t>400/个</t>
        </is>
      </c>
      <c r="L48" s="81" t="n">
        <v>2400</v>
      </c>
      <c r="M48" s="82" t="inlineStr">
        <is>
          <t>6个 × 400/个 = 2,400</t>
        </is>
      </c>
      <c r="N48" s="80" t="n"/>
    </row>
    <row r="49" ht="31" customHeight="1" s="4">
      <c r="A49" s="80" t="inlineStr">
        <is>
          <t>Group D-2</t>
        </is>
      </c>
      <c r="B49" s="80" t="n">
        <v>3</v>
      </c>
      <c r="C49" s="80" t="inlineStr">
        <is>
          <t>DV</t>
        </is>
      </c>
      <c r="D49" s="80" t="inlineStr">
        <is>
          <t>Group D Parallel Tests / D-2 Solar Radiation</t>
        </is>
      </c>
      <c r="E49" s="80" t="inlineStr">
        <is>
          <t>K20</t>
        </is>
      </c>
      <c r="F49" s="80" t="inlineStr">
        <is>
          <t>K20 Solar Radiation</t>
        </is>
      </c>
      <c r="G49" s="80" t="inlineStr">
        <is>
          <t>39-44</t>
        </is>
      </c>
      <c r="H49" s="80" t="inlineStr">
        <is>
          <t>720 h</t>
        </is>
      </c>
      <c r="I49" s="80" t="inlineStr">
        <is>
          <t>720 h</t>
        </is>
      </c>
      <c r="J49" s="80" t="inlineStr">
        <is>
          <t>按小时</t>
        </is>
      </c>
      <c r="K49" s="80" t="inlineStr">
        <is>
          <t>145/h</t>
        </is>
      </c>
      <c r="L49" s="81" t="n">
        <v>104400</v>
      </c>
      <c r="M49" s="82" t="inlineStr">
        <is>
          <t>720h × 145/h = 104,400</t>
        </is>
      </c>
      <c r="N49" s="80" t="n"/>
    </row>
    <row r="50" ht="31" customHeight="1" s="4">
      <c r="A50" s="80" t="inlineStr">
        <is>
          <t>Group D-2</t>
        </is>
      </c>
      <c r="B50" s="80" t="n">
        <v>4</v>
      </c>
      <c r="C50" s="80" t="inlineStr">
        <is>
          <t>DV</t>
        </is>
      </c>
      <c r="D50" s="80" t="inlineStr">
        <is>
          <t>Group D Parallel Tests / D-2 Solar Radiation</t>
        </is>
      </c>
      <c r="E50" s="80" t="inlineStr">
        <is>
          <t>L1&amp;L4</t>
        </is>
      </c>
      <c r="F50" s="80" t="inlineStr">
        <is>
          <t>L1&amp;L4 Performance Evaluation &amp; Functional Evaluation</t>
        </is>
      </c>
      <c r="G50" s="80" t="inlineStr">
        <is>
          <t>39-44</t>
        </is>
      </c>
      <c r="H50" s="80" t="inlineStr">
        <is>
          <t>6 个样品</t>
        </is>
      </c>
      <c r="I50" s="80" t="inlineStr">
        <is>
          <t>48 h</t>
        </is>
      </c>
      <c r="J50" s="80" t="inlineStr">
        <is>
          <t>按样品数量</t>
        </is>
      </c>
      <c r="K50" s="80" t="inlineStr">
        <is>
          <t>400/个</t>
        </is>
      </c>
      <c r="L50" s="81" t="n">
        <v>2400</v>
      </c>
      <c r="M50" s="82" t="inlineStr">
        <is>
          <t>6个 × 400/个 = 2,400</t>
        </is>
      </c>
      <c r="N50" s="80" t="n"/>
    </row>
    <row r="51">
      <c r="A51" s="76" t="inlineStr">
        <is>
          <t>Group D-3：DV / Group D Parallel Tests / D-3 PCBA</t>
        </is>
      </c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  <c r="N51" s="163" t="n"/>
    </row>
    <row r="52">
      <c r="A52" s="78" t="inlineStr">
        <is>
          <t>组别顺序</t>
        </is>
      </c>
      <c r="B52" s="78" t="inlineStr">
        <is>
          <t>组内顺序</t>
        </is>
      </c>
      <c r="C52" s="78" t="inlineStr">
        <is>
          <t>Phase</t>
        </is>
      </c>
      <c r="D52" s="78" t="inlineStr">
        <is>
          <t>Group</t>
        </is>
      </c>
      <c r="E52" s="78" t="inlineStr">
        <is>
          <t>测试编号</t>
        </is>
      </c>
      <c r="F52" s="78" t="inlineStr">
        <is>
          <t>测试项目</t>
        </is>
      </c>
      <c r="G52" s="78" t="inlineStr">
        <is>
          <t>样品范围</t>
        </is>
      </c>
      <c r="H52" s="78" t="inlineStr">
        <is>
          <t>计费基数</t>
        </is>
      </c>
      <c r="I52" s="78" t="inlineStr">
        <is>
          <t>测试时间</t>
        </is>
      </c>
      <c r="J52" s="78" t="inlineStr">
        <is>
          <t>计费方式</t>
        </is>
      </c>
      <c r="K52" s="78" t="inlineStr">
        <is>
          <t>单价</t>
        </is>
      </c>
      <c r="L52" s="84" t="inlineStr">
        <is>
          <t>委外费用</t>
        </is>
      </c>
      <c r="M52" s="85" t="inlineStr">
        <is>
          <t>费用计算公式</t>
        </is>
      </c>
      <c r="N52" s="78" t="inlineStr">
        <is>
          <t>备注</t>
        </is>
      </c>
    </row>
    <row r="53" ht="31" customHeight="1" s="4">
      <c r="A53" s="80" t="inlineStr">
        <is>
          <t>Group D-3</t>
        </is>
      </c>
      <c r="B53" s="80" t="n">
        <v>2</v>
      </c>
      <c r="C53" s="80" t="inlineStr">
        <is>
          <t>DV</t>
        </is>
      </c>
      <c r="D53" s="80" t="inlineStr">
        <is>
          <t>Group D Parallel Tests / D-3 PCBA</t>
        </is>
      </c>
      <c r="E53" s="80" t="inlineStr">
        <is>
          <t>L1&amp;L4</t>
        </is>
      </c>
      <c r="F53" s="80" t="inlineStr">
        <is>
          <t>L1&amp;L4 Performance Evaluation &amp; Functional Evaluation</t>
        </is>
      </c>
      <c r="G53" s="80" t="inlineStr">
        <is>
          <t>45-52</t>
        </is>
      </c>
      <c r="H53" s="80" t="inlineStr">
        <is>
          <t>6 个样品</t>
        </is>
      </c>
      <c r="I53" s="80" t="inlineStr">
        <is>
          <t>72 h</t>
        </is>
      </c>
      <c r="J53" s="80" t="inlineStr">
        <is>
          <t>按样品数量</t>
        </is>
      </c>
      <c r="K53" s="80" t="inlineStr">
        <is>
          <t>400/个</t>
        </is>
      </c>
      <c r="L53" s="81" t="n">
        <v>2400</v>
      </c>
      <c r="M53" s="82" t="inlineStr">
        <is>
          <t>6个 × 400/个 = 2,400</t>
        </is>
      </c>
      <c r="N53" s="80" t="n"/>
    </row>
    <row r="54" ht="31" customHeight="1" s="4">
      <c r="A54" s="80" t="inlineStr">
        <is>
          <t>Group D-3</t>
        </is>
      </c>
      <c r="B54" s="80" t="n">
        <v>3</v>
      </c>
      <c r="C54" s="80" t="inlineStr">
        <is>
          <t>DV</t>
        </is>
      </c>
      <c r="D54" s="80" t="inlineStr">
        <is>
          <t>Group D Parallel Tests / D-3 PCBA</t>
        </is>
      </c>
      <c r="E54" s="80" t="inlineStr">
        <is>
          <t>K23</t>
        </is>
      </c>
      <c r="F54" s="80" t="inlineStr">
        <is>
          <t>K23 Thermal Shock Endurance</t>
        </is>
      </c>
      <c r="G54" s="80" t="inlineStr">
        <is>
          <t>45-52</t>
        </is>
      </c>
      <c r="H54" s="80" t="inlineStr">
        <is>
          <t>1017 h</t>
        </is>
      </c>
      <c r="I54" s="80" t="inlineStr">
        <is>
          <t>1017 h</t>
        </is>
      </c>
      <c r="J54" s="80" t="inlineStr">
        <is>
          <t>按小时</t>
        </is>
      </c>
      <c r="K54" s="80" t="inlineStr">
        <is>
          <t>40/h</t>
        </is>
      </c>
      <c r="L54" s="81" t="n">
        <v>40680</v>
      </c>
      <c r="M54" s="82" t="inlineStr">
        <is>
          <t>1,017h × 40/h = 40,680</t>
        </is>
      </c>
      <c r="N54" s="80" t="n"/>
    </row>
    <row r="55" ht="31" customHeight="1" s="4">
      <c r="A55" s="80" t="inlineStr">
        <is>
          <t>Group D-3</t>
        </is>
      </c>
      <c r="B55" s="80" t="n">
        <v>4</v>
      </c>
      <c r="C55" s="80" t="inlineStr">
        <is>
          <t>DV</t>
        </is>
      </c>
      <c r="D55" s="80" t="inlineStr">
        <is>
          <t>Group D Parallel Tests / D-3 PCBA</t>
        </is>
      </c>
      <c r="E55" s="80" t="inlineStr">
        <is>
          <t>L1&amp;L4</t>
        </is>
      </c>
      <c r="F55" s="80" t="inlineStr">
        <is>
          <t>L1&amp;L4 Performance Evaluation &amp; Functional Evaluation</t>
        </is>
      </c>
      <c r="G55" s="80" t="inlineStr">
        <is>
          <t>45-52</t>
        </is>
      </c>
      <c r="H55" s="80" t="inlineStr">
        <is>
          <t>6 个样品</t>
        </is>
      </c>
      <c r="I55" s="80" t="inlineStr">
        <is>
          <t>48 h</t>
        </is>
      </c>
      <c r="J55" s="80" t="inlineStr">
        <is>
          <t>按样品数量</t>
        </is>
      </c>
      <c r="K55" s="80" t="inlineStr">
        <is>
          <t>400/个</t>
        </is>
      </c>
      <c r="L55" s="81" t="n">
        <v>2400</v>
      </c>
      <c r="M55" s="82" t="inlineStr">
        <is>
          <t>6个 × 400/个 = 2,400</t>
        </is>
      </c>
      <c r="N55" s="80" t="n"/>
    </row>
    <row r="56" ht="46" customHeight="1" s="4">
      <c r="A56" s="80" t="inlineStr">
        <is>
          <t>Group D-3</t>
        </is>
      </c>
      <c r="B56" s="80" t="n">
        <v>6</v>
      </c>
      <c r="C56" s="80" t="inlineStr">
        <is>
          <t>DV</t>
        </is>
      </c>
      <c r="D56" s="80" t="inlineStr">
        <is>
          <t>Group D Parallel Tests / D-3 PCBA</t>
        </is>
      </c>
      <c r="E56" s="80" t="inlineStr">
        <is>
          <t>L6-SEM&amp;SECTION</t>
        </is>
      </c>
      <c r="F56" s="80" t="inlineStr">
        <is>
          <t>L6-SEM&amp;SECTION</t>
        </is>
      </c>
      <c r="G56" s="80" t="inlineStr">
        <is>
          <t>45-52</t>
        </is>
      </c>
      <c r="H56" s="80" t="inlineStr">
        <is>
          <t>33 个点位</t>
        </is>
      </c>
      <c r="I56" s="80" t="inlineStr">
        <is>
          <t>480 h</t>
        </is>
      </c>
      <c r="J56" s="80" t="inlineStr">
        <is>
          <t>按样品数量</t>
        </is>
      </c>
      <c r="K56" s="80" t="inlineStr">
        <is>
          <t>650/个</t>
        </is>
      </c>
      <c r="L56" s="81" t="n">
        <v>21450</v>
      </c>
      <c r="M56" s="82" t="inlineStr">
        <is>
          <t>33个 × 650/个 = 21,450</t>
        </is>
      </c>
      <c r="N56" s="80" t="inlineStr">
        <is>
          <t>L6-SEM&amp;SECTION 委外组合报价：SEM &amp; Sectioning 按 33 个测试点位采用当前实验室总价</t>
        </is>
      </c>
    </row>
    <row r="57">
      <c r="A57" s="76" t="inlineStr">
        <is>
          <t>Group D-4：DV / Group D Parallel Tests / D-4 Dewing Test PCBA</t>
        </is>
      </c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  <c r="N57" s="163" t="n"/>
    </row>
    <row r="58">
      <c r="A58" s="78" t="inlineStr">
        <is>
          <t>组别顺序</t>
        </is>
      </c>
      <c r="B58" s="78" t="inlineStr">
        <is>
          <t>组内顺序</t>
        </is>
      </c>
      <c r="C58" s="78" t="inlineStr">
        <is>
          <t>Phase</t>
        </is>
      </c>
      <c r="D58" s="78" t="inlineStr">
        <is>
          <t>Group</t>
        </is>
      </c>
      <c r="E58" s="78" t="inlineStr">
        <is>
          <t>测试编号</t>
        </is>
      </c>
      <c r="F58" s="78" t="inlineStr">
        <is>
          <t>测试项目</t>
        </is>
      </c>
      <c r="G58" s="78" t="inlineStr">
        <is>
          <t>样品范围</t>
        </is>
      </c>
      <c r="H58" s="78" t="inlineStr">
        <is>
          <t>计费基数</t>
        </is>
      </c>
      <c r="I58" s="78" t="inlineStr">
        <is>
          <t>测试时间</t>
        </is>
      </c>
      <c r="J58" s="78" t="inlineStr">
        <is>
          <t>计费方式</t>
        </is>
      </c>
      <c r="K58" s="78" t="inlineStr">
        <is>
          <t>单价</t>
        </is>
      </c>
      <c r="L58" s="84" t="inlineStr">
        <is>
          <t>委外费用</t>
        </is>
      </c>
      <c r="M58" s="85" t="inlineStr">
        <is>
          <t>费用计算公式</t>
        </is>
      </c>
      <c r="N58" s="78" t="inlineStr">
        <is>
          <t>备注</t>
        </is>
      </c>
    </row>
    <row r="59" ht="31" customHeight="1" s="4">
      <c r="A59" s="80" t="inlineStr">
        <is>
          <t>Group D-4</t>
        </is>
      </c>
      <c r="B59" s="80" t="n">
        <v>2</v>
      </c>
      <c r="C59" s="80" t="inlineStr">
        <is>
          <t>DV</t>
        </is>
      </c>
      <c r="D59" s="80" t="inlineStr">
        <is>
          <t>Group D Parallel Tests / D-4 Dewing Test</t>
        </is>
      </c>
      <c r="E59" s="80" t="inlineStr">
        <is>
          <t>L1&amp;L4</t>
        </is>
      </c>
      <c r="F59" s="80" t="inlineStr">
        <is>
          <t>L1&amp;L4 Performance Evaluation &amp; Functional Evaluation</t>
        </is>
      </c>
      <c r="G59" s="80" t="inlineStr">
        <is>
          <t>53-58</t>
        </is>
      </c>
      <c r="H59" s="80" t="inlineStr">
        <is>
          <t>6 个样品</t>
        </is>
      </c>
      <c r="I59" s="80" t="inlineStr">
        <is>
          <t>72 h</t>
        </is>
      </c>
      <c r="J59" s="80" t="inlineStr">
        <is>
          <t>按样品数量</t>
        </is>
      </c>
      <c r="K59" s="80" t="inlineStr">
        <is>
          <t>400/个</t>
        </is>
      </c>
      <c r="L59" s="81" t="n">
        <v>2400</v>
      </c>
      <c r="M59" s="82" t="inlineStr">
        <is>
          <t>6个 × 400/个 = 2,400</t>
        </is>
      </c>
      <c r="N59" s="80" t="n"/>
    </row>
    <row r="60" ht="31" customHeight="1" s="4">
      <c r="A60" s="80" t="inlineStr">
        <is>
          <t>Group D-4</t>
        </is>
      </c>
      <c r="B60" s="80" t="n">
        <v>3</v>
      </c>
      <c r="C60" s="80" t="inlineStr">
        <is>
          <t>DV</t>
        </is>
      </c>
      <c r="D60" s="80" t="inlineStr">
        <is>
          <t>Group D Parallel Tests / D-4 Dewing Test</t>
        </is>
      </c>
      <c r="E60" s="80" t="inlineStr">
        <is>
          <t>K8</t>
        </is>
      </c>
      <c r="F60" s="80" t="inlineStr">
        <is>
          <t>K8 Dewing Test</t>
        </is>
      </c>
      <c r="G60" s="80" t="inlineStr">
        <is>
          <t>53-58</t>
        </is>
      </c>
      <c r="H60" s="80" t="inlineStr">
        <is>
          <t>1 批</t>
        </is>
      </c>
      <c r="I60" s="80" t="inlineStr">
        <is>
          <t>48 h</t>
        </is>
      </c>
      <c r="J60" s="80" t="inlineStr">
        <is>
          <t>按批次</t>
        </is>
      </c>
      <c r="K60" s="80" t="inlineStr">
        <is>
          <t>4,100/批</t>
        </is>
      </c>
      <c r="L60" s="81" t="n">
        <v>4100</v>
      </c>
      <c r="M60" s="82" t="inlineStr">
        <is>
          <t>1批 × 4,100/批 = 4,100</t>
        </is>
      </c>
      <c r="N60" s="80" t="n"/>
    </row>
    <row r="61" ht="31" customHeight="1" s="4">
      <c r="A61" s="80" t="inlineStr">
        <is>
          <t>Group D-4</t>
        </is>
      </c>
      <c r="B61" s="80" t="n">
        <v>4</v>
      </c>
      <c r="C61" s="80" t="inlineStr">
        <is>
          <t>DV</t>
        </is>
      </c>
      <c r="D61" s="80" t="inlineStr">
        <is>
          <t>Group D Parallel Tests / D-4 Dewing Test</t>
        </is>
      </c>
      <c r="E61" s="80" t="inlineStr">
        <is>
          <t>L1&amp;L4</t>
        </is>
      </c>
      <c r="F61" s="80" t="inlineStr">
        <is>
          <t>L1&amp;L4 Performance Evaluation &amp; Functional Evaluation</t>
        </is>
      </c>
      <c r="G61" s="80" t="inlineStr">
        <is>
          <t>53-58</t>
        </is>
      </c>
      <c r="H61" s="80" t="inlineStr">
        <is>
          <t>6 个样品</t>
        </is>
      </c>
      <c r="I61" s="80" t="inlineStr">
        <is>
          <t>48 h</t>
        </is>
      </c>
      <c r="J61" s="80" t="inlineStr">
        <is>
          <t>按样品数量</t>
        </is>
      </c>
      <c r="K61" s="80" t="inlineStr">
        <is>
          <t>400/个</t>
        </is>
      </c>
      <c r="L61" s="81" t="n">
        <v>2400</v>
      </c>
      <c r="M61" s="82" t="inlineStr">
        <is>
          <t>6个 × 400/个 = 2,400</t>
        </is>
      </c>
      <c r="N61" s="80" t="n"/>
    </row>
    <row r="62">
      <c r="A62" s="76" t="inlineStr">
        <is>
          <t>Group D-5：DV / Group D Parallel Tests / D-5 Life Test-1</t>
        </is>
      </c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  <c r="K62" s="164" t="n"/>
      <c r="L62" s="164" t="n"/>
      <c r="M62" s="164" t="n"/>
      <c r="N62" s="163" t="n"/>
    </row>
    <row r="63">
      <c r="A63" s="78" t="inlineStr">
        <is>
          <t>组别顺序</t>
        </is>
      </c>
      <c r="B63" s="78" t="inlineStr">
        <is>
          <t>组内顺序</t>
        </is>
      </c>
      <c r="C63" s="78" t="inlineStr">
        <is>
          <t>Phase</t>
        </is>
      </c>
      <c r="D63" s="78" t="inlineStr">
        <is>
          <t>Group</t>
        </is>
      </c>
      <c r="E63" s="78" t="inlineStr">
        <is>
          <t>测试编号</t>
        </is>
      </c>
      <c r="F63" s="78" t="inlineStr">
        <is>
          <t>测试项目</t>
        </is>
      </c>
      <c r="G63" s="78" t="inlineStr">
        <is>
          <t>样品范围</t>
        </is>
      </c>
      <c r="H63" s="78" t="inlineStr">
        <is>
          <t>计费基数</t>
        </is>
      </c>
      <c r="I63" s="78" t="inlineStr">
        <is>
          <t>测试时间</t>
        </is>
      </c>
      <c r="J63" s="78" t="inlineStr">
        <is>
          <t>计费方式</t>
        </is>
      </c>
      <c r="K63" s="78" t="inlineStr">
        <is>
          <t>单价</t>
        </is>
      </c>
      <c r="L63" s="84" t="inlineStr">
        <is>
          <t>委外费用</t>
        </is>
      </c>
      <c r="M63" s="85" t="inlineStr">
        <is>
          <t>费用计算公式</t>
        </is>
      </c>
      <c r="N63" s="78" t="inlineStr">
        <is>
          <t>备注</t>
        </is>
      </c>
    </row>
    <row r="64" ht="31" customHeight="1" s="4">
      <c r="A64" s="80" t="inlineStr">
        <is>
          <t>Group D-5</t>
        </is>
      </c>
      <c r="B64" s="80" t="n">
        <v>2</v>
      </c>
      <c r="C64" s="80" t="inlineStr">
        <is>
          <t>DV</t>
        </is>
      </c>
      <c r="D64" s="80" t="inlineStr">
        <is>
          <t>Group D Parallel Tests / D-5 Life Test-1</t>
        </is>
      </c>
      <c r="E64" s="80" t="inlineStr">
        <is>
          <t>L1&amp;L4</t>
        </is>
      </c>
      <c r="F64" s="80" t="inlineStr">
        <is>
          <t>L1&amp;L4 Performance Evaluation &amp; Functional Evaluation</t>
        </is>
      </c>
      <c r="G64" s="80" t="inlineStr">
        <is>
          <t>59-64</t>
        </is>
      </c>
      <c r="H64" s="80" t="inlineStr">
        <is>
          <t>6 个样品</t>
        </is>
      </c>
      <c r="I64" s="80" t="inlineStr">
        <is>
          <t>72 h</t>
        </is>
      </c>
      <c r="J64" s="80" t="inlineStr">
        <is>
          <t>按样品数量</t>
        </is>
      </c>
      <c r="K64" s="80" t="inlineStr">
        <is>
          <t>400/个</t>
        </is>
      </c>
      <c r="L64" s="81" t="n">
        <v>2400</v>
      </c>
      <c r="M64" s="82" t="inlineStr">
        <is>
          <t>6个 × 400/个 = 2,400</t>
        </is>
      </c>
      <c r="N64" s="80" t="n"/>
    </row>
    <row r="65" ht="31" customHeight="1" s="4">
      <c r="A65" s="80" t="inlineStr">
        <is>
          <t>Group D-5</t>
        </is>
      </c>
      <c r="B65" s="80" t="n">
        <v>3</v>
      </c>
      <c r="C65" s="80" t="inlineStr">
        <is>
          <t>DV</t>
        </is>
      </c>
      <c r="D65" s="80" t="inlineStr">
        <is>
          <t>Group D Parallel Tests / D-5 Life Test-1</t>
        </is>
      </c>
      <c r="E65" s="80" t="inlineStr">
        <is>
          <t>K24</t>
        </is>
      </c>
      <c r="F65" s="80" t="inlineStr">
        <is>
          <t>K24 High Temperature Endurance</t>
        </is>
      </c>
      <c r="G65" s="80" t="inlineStr">
        <is>
          <t>59-64</t>
        </is>
      </c>
      <c r="H65" s="80" t="inlineStr">
        <is>
          <t>1000 h</t>
        </is>
      </c>
      <c r="I65" s="80" t="inlineStr">
        <is>
          <t>1000 h</t>
        </is>
      </c>
      <c r="J65" s="80" t="inlineStr">
        <is>
          <t>按小时</t>
        </is>
      </c>
      <c r="K65" s="80" t="inlineStr">
        <is>
          <t>23/h</t>
        </is>
      </c>
      <c r="L65" s="81" t="n">
        <v>23000</v>
      </c>
      <c r="M65" s="82" t="inlineStr">
        <is>
          <t>1,000h × 23/h = 23,000</t>
        </is>
      </c>
      <c r="N65" s="80" t="n"/>
    </row>
    <row r="66" ht="31" customHeight="1" s="4">
      <c r="A66" s="80" t="inlineStr">
        <is>
          <t>Group D-5</t>
        </is>
      </c>
      <c r="B66" s="80" t="n">
        <v>4</v>
      </c>
      <c r="C66" s="80" t="inlineStr">
        <is>
          <t>DV</t>
        </is>
      </c>
      <c r="D66" s="80" t="inlineStr">
        <is>
          <t>Group D Parallel Tests / D-5 Life Test-1</t>
        </is>
      </c>
      <c r="E66" s="80" t="inlineStr">
        <is>
          <t>L1&amp;L4</t>
        </is>
      </c>
      <c r="F66" s="80" t="inlineStr">
        <is>
          <t>L1&amp;L4 Performance Evaluation &amp; Functional Evaluation</t>
        </is>
      </c>
      <c r="G66" s="80" t="inlineStr">
        <is>
          <t>59-64</t>
        </is>
      </c>
      <c r="H66" s="80" t="inlineStr">
        <is>
          <t>6 个样品</t>
        </is>
      </c>
      <c r="I66" s="80" t="inlineStr">
        <is>
          <t>48 h</t>
        </is>
      </c>
      <c r="J66" s="80" t="inlineStr">
        <is>
          <t>按样品数量</t>
        </is>
      </c>
      <c r="K66" s="80" t="inlineStr">
        <is>
          <t>400/个</t>
        </is>
      </c>
      <c r="L66" s="81" t="n">
        <v>2400</v>
      </c>
      <c r="M66" s="82" t="inlineStr">
        <is>
          <t>6个 × 400/个 = 2,400</t>
        </is>
      </c>
      <c r="N66" s="80" t="n"/>
    </row>
    <row r="67">
      <c r="A67" s="76" t="inlineStr">
        <is>
          <t>Group D-6：DV / Group D Parallel Tests / D-6 Life Test-2-1</t>
        </is>
      </c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  <c r="K67" s="164" t="n"/>
      <c r="L67" s="164" t="n"/>
      <c r="M67" s="164" t="n"/>
      <c r="N67" s="163" t="n"/>
    </row>
    <row r="68">
      <c r="A68" s="78" t="inlineStr">
        <is>
          <t>组别顺序</t>
        </is>
      </c>
      <c r="B68" s="78" t="inlineStr">
        <is>
          <t>组内顺序</t>
        </is>
      </c>
      <c r="C68" s="78" t="inlineStr">
        <is>
          <t>Phase</t>
        </is>
      </c>
      <c r="D68" s="78" t="inlineStr">
        <is>
          <t>Group</t>
        </is>
      </c>
      <c r="E68" s="78" t="inlineStr">
        <is>
          <t>测试编号</t>
        </is>
      </c>
      <c r="F68" s="78" t="inlineStr">
        <is>
          <t>测试项目</t>
        </is>
      </c>
      <c r="G68" s="78" t="inlineStr">
        <is>
          <t>样品范围</t>
        </is>
      </c>
      <c r="H68" s="78" t="inlineStr">
        <is>
          <t>计费基数</t>
        </is>
      </c>
      <c r="I68" s="78" t="inlineStr">
        <is>
          <t>测试时间</t>
        </is>
      </c>
      <c r="J68" s="78" t="inlineStr">
        <is>
          <t>计费方式</t>
        </is>
      </c>
      <c r="K68" s="78" t="inlineStr">
        <is>
          <t>单价</t>
        </is>
      </c>
      <c r="L68" s="84" t="inlineStr">
        <is>
          <t>委外费用</t>
        </is>
      </c>
      <c r="M68" s="85" t="inlineStr">
        <is>
          <t>费用计算公式</t>
        </is>
      </c>
      <c r="N68" s="78" t="inlineStr">
        <is>
          <t>备注</t>
        </is>
      </c>
    </row>
    <row r="69" ht="31" customHeight="1" s="4">
      <c r="A69" s="80" t="inlineStr">
        <is>
          <t>Group D-6</t>
        </is>
      </c>
      <c r="B69" s="80" t="n">
        <v>2</v>
      </c>
      <c r="C69" s="80" t="inlineStr">
        <is>
          <t>DV</t>
        </is>
      </c>
      <c r="D69" s="80" t="inlineStr">
        <is>
          <t>Group D Parallel Tests / D-6 Life Test-2-1</t>
        </is>
      </c>
      <c r="E69" s="80" t="inlineStr">
        <is>
          <t>L1&amp;L4</t>
        </is>
      </c>
      <c r="F69" s="80" t="inlineStr">
        <is>
          <t>L1&amp;L4 Performance Evaluation &amp; Functional Evaluation</t>
        </is>
      </c>
      <c r="G69" s="80" t="inlineStr">
        <is>
          <t>65-70</t>
        </is>
      </c>
      <c r="H69" s="80" t="inlineStr">
        <is>
          <t>6 个样品</t>
        </is>
      </c>
      <c r="I69" s="80" t="inlineStr">
        <is>
          <t>72 h</t>
        </is>
      </c>
      <c r="J69" s="80" t="inlineStr">
        <is>
          <t>按样品数量</t>
        </is>
      </c>
      <c r="K69" s="80" t="inlineStr">
        <is>
          <t>400/个</t>
        </is>
      </c>
      <c r="L69" s="81" t="n">
        <v>2400</v>
      </c>
      <c r="M69" s="82" t="inlineStr">
        <is>
          <t>6个 × 400/个 = 2,400</t>
        </is>
      </c>
      <c r="N69" s="80" t="n"/>
    </row>
    <row r="70" ht="31" customHeight="1" s="4">
      <c r="A70" s="80" t="inlineStr">
        <is>
          <t>Group D-6</t>
        </is>
      </c>
      <c r="B70" s="80" t="n">
        <v>3</v>
      </c>
      <c r="C70" s="80" t="inlineStr">
        <is>
          <t>DV</t>
        </is>
      </c>
      <c r="D70" s="80" t="inlineStr">
        <is>
          <t>Group D Parallel Tests / D-6 Life Test-2-1</t>
        </is>
      </c>
      <c r="E70" s="80" t="inlineStr">
        <is>
          <t>K27</t>
        </is>
      </c>
      <c r="F70" s="80" t="inlineStr">
        <is>
          <t>K27 85/85 High Temperature -High Humidity Endurance</t>
        </is>
      </c>
      <c r="G70" s="80" t="inlineStr">
        <is>
          <t>65-70</t>
        </is>
      </c>
      <c r="H70" s="80" t="inlineStr">
        <is>
          <t>1000 h</t>
        </is>
      </c>
      <c r="I70" s="80" t="inlineStr">
        <is>
          <t>1000 h</t>
        </is>
      </c>
      <c r="J70" s="80" t="inlineStr">
        <is>
          <t>按小时</t>
        </is>
      </c>
      <c r="K70" s="80" t="inlineStr">
        <is>
          <t>23/h</t>
        </is>
      </c>
      <c r="L70" s="81" t="n">
        <v>23000</v>
      </c>
      <c r="M70" s="82" t="inlineStr">
        <is>
          <t>1,000h × 23/h = 23,000</t>
        </is>
      </c>
      <c r="N70" s="80" t="n"/>
    </row>
    <row r="71" ht="31" customHeight="1" s="4">
      <c r="A71" s="80" t="inlineStr">
        <is>
          <t>Group D-6</t>
        </is>
      </c>
      <c r="B71" s="80" t="n">
        <v>4</v>
      </c>
      <c r="C71" s="80" t="inlineStr">
        <is>
          <t>DV</t>
        </is>
      </c>
      <c r="D71" s="80" t="inlineStr">
        <is>
          <t>Group D Parallel Tests / D-6 Life Test-2-1</t>
        </is>
      </c>
      <c r="E71" s="80" t="inlineStr">
        <is>
          <t>L1&amp;L4</t>
        </is>
      </c>
      <c r="F71" s="80" t="inlineStr">
        <is>
          <t>L1&amp;L4 Performance Evaluation &amp; Functional Evaluation</t>
        </is>
      </c>
      <c r="G71" s="80" t="inlineStr">
        <is>
          <t>65-70</t>
        </is>
      </c>
      <c r="H71" s="80" t="inlineStr">
        <is>
          <t>6 个样品</t>
        </is>
      </c>
      <c r="I71" s="80" t="inlineStr">
        <is>
          <t>48 h</t>
        </is>
      </c>
      <c r="J71" s="80" t="inlineStr">
        <is>
          <t>按样品数量</t>
        </is>
      </c>
      <c r="K71" s="80" t="inlineStr">
        <is>
          <t>400/个</t>
        </is>
      </c>
      <c r="L71" s="81" t="n">
        <v>2400</v>
      </c>
      <c r="M71" s="82" t="inlineStr">
        <is>
          <t>6个 × 400/个 = 2,400</t>
        </is>
      </c>
      <c r="N71" s="80" t="n"/>
    </row>
    <row r="72">
      <c r="A72" s="76" t="inlineStr">
        <is>
          <t>Group D-7：DV / Group D Parallel Tests / D-7 Life Test-2-2</t>
        </is>
      </c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  <c r="K72" s="164" t="n"/>
      <c r="L72" s="164" t="n"/>
      <c r="M72" s="164" t="n"/>
      <c r="N72" s="163" t="n"/>
    </row>
    <row r="73">
      <c r="A73" s="78" t="inlineStr">
        <is>
          <t>组别顺序</t>
        </is>
      </c>
      <c r="B73" s="78" t="inlineStr">
        <is>
          <t>组内顺序</t>
        </is>
      </c>
      <c r="C73" s="78" t="inlineStr">
        <is>
          <t>Phase</t>
        </is>
      </c>
      <c r="D73" s="78" t="inlineStr">
        <is>
          <t>Group</t>
        </is>
      </c>
      <c r="E73" s="78" t="inlineStr">
        <is>
          <t>测试编号</t>
        </is>
      </c>
      <c r="F73" s="78" t="inlineStr">
        <is>
          <t>测试项目</t>
        </is>
      </c>
      <c r="G73" s="78" t="inlineStr">
        <is>
          <t>样品范围</t>
        </is>
      </c>
      <c r="H73" s="78" t="inlineStr">
        <is>
          <t>计费基数</t>
        </is>
      </c>
      <c r="I73" s="78" t="inlineStr">
        <is>
          <t>测试时间</t>
        </is>
      </c>
      <c r="J73" s="78" t="inlineStr">
        <is>
          <t>计费方式</t>
        </is>
      </c>
      <c r="K73" s="78" t="inlineStr">
        <is>
          <t>单价</t>
        </is>
      </c>
      <c r="L73" s="84" t="inlineStr">
        <is>
          <t>委外费用</t>
        </is>
      </c>
      <c r="M73" s="85" t="inlineStr">
        <is>
          <t>费用计算公式</t>
        </is>
      </c>
      <c r="N73" s="78" t="inlineStr">
        <is>
          <t>备注</t>
        </is>
      </c>
    </row>
    <row r="74" ht="31" customHeight="1" s="4">
      <c r="A74" s="80" t="inlineStr">
        <is>
          <t>Group D-7</t>
        </is>
      </c>
      <c r="B74" s="80" t="n">
        <v>2</v>
      </c>
      <c r="C74" s="80" t="inlineStr">
        <is>
          <t>DV</t>
        </is>
      </c>
      <c r="D74" s="80" t="inlineStr">
        <is>
          <t>Group D Parallel Tests / D-7 Life Test-2-2</t>
        </is>
      </c>
      <c r="E74" s="80" t="inlineStr">
        <is>
          <t>L1&amp;L4</t>
        </is>
      </c>
      <c r="F74" s="80" t="inlineStr">
        <is>
          <t>L1&amp;L4 Performance Evaluation &amp; Functional Evaluation</t>
        </is>
      </c>
      <c r="G74" s="80" t="inlineStr">
        <is>
          <t>71-76</t>
        </is>
      </c>
      <c r="H74" s="80" t="inlineStr">
        <is>
          <t>6 个样品</t>
        </is>
      </c>
      <c r="I74" s="80" t="inlineStr">
        <is>
          <t>72 h</t>
        </is>
      </c>
      <c r="J74" s="80" t="inlineStr">
        <is>
          <t>按样品数量</t>
        </is>
      </c>
      <c r="K74" s="80" t="inlineStr">
        <is>
          <t>400/个</t>
        </is>
      </c>
      <c r="L74" s="81" t="n">
        <v>2400</v>
      </c>
      <c r="M74" s="82" t="inlineStr">
        <is>
          <t>6个 × 400/个 = 2,400</t>
        </is>
      </c>
      <c r="N74" s="80" t="n"/>
    </row>
    <row r="75" ht="31" customHeight="1" s="4">
      <c r="A75" s="80" t="inlineStr">
        <is>
          <t>Group D-7</t>
        </is>
      </c>
      <c r="B75" s="80" t="n">
        <v>3</v>
      </c>
      <c r="C75" s="80" t="inlineStr">
        <is>
          <t>DV</t>
        </is>
      </c>
      <c r="D75" s="80" t="inlineStr">
        <is>
          <t>Group D Parallel Tests / D-7 Life Test-2-2</t>
        </is>
      </c>
      <c r="E75" s="80" t="inlineStr">
        <is>
          <t>K27</t>
        </is>
      </c>
      <c r="F75" s="80" t="inlineStr">
        <is>
          <t>K27 60/95 High Temperature -High Humidity Endurance</t>
        </is>
      </c>
      <c r="G75" s="80" t="inlineStr">
        <is>
          <t>71-76</t>
        </is>
      </c>
      <c r="H75" s="80" t="inlineStr">
        <is>
          <t>1100 h</t>
        </is>
      </c>
      <c r="I75" s="80" t="inlineStr">
        <is>
          <t>1100 h</t>
        </is>
      </c>
      <c r="J75" s="80" t="inlineStr">
        <is>
          <t>按小时</t>
        </is>
      </c>
      <c r="K75" s="80" t="inlineStr">
        <is>
          <t>23/h</t>
        </is>
      </c>
      <c r="L75" s="81" t="n">
        <v>25300</v>
      </c>
      <c r="M75" s="82" t="inlineStr">
        <is>
          <t>1,100h × 23/h = 25,300</t>
        </is>
      </c>
      <c r="N75" s="80" t="n"/>
    </row>
    <row r="76" ht="31" customHeight="1" s="4">
      <c r="A76" s="80" t="inlineStr">
        <is>
          <t>Group D-7</t>
        </is>
      </c>
      <c r="B76" s="80" t="n">
        <v>4</v>
      </c>
      <c r="C76" s="80" t="inlineStr">
        <is>
          <t>DV</t>
        </is>
      </c>
      <c r="D76" s="80" t="inlineStr">
        <is>
          <t>Group D Parallel Tests / D-7 Life Test-2-2</t>
        </is>
      </c>
      <c r="E76" s="80" t="inlineStr">
        <is>
          <t>L1&amp;L4</t>
        </is>
      </c>
      <c r="F76" s="80" t="inlineStr">
        <is>
          <t>L1&amp;L4 Performance Evaluation &amp; Functional Evaluation</t>
        </is>
      </c>
      <c r="G76" s="80" t="inlineStr">
        <is>
          <t>71-76</t>
        </is>
      </c>
      <c r="H76" s="80" t="inlineStr">
        <is>
          <t>6 个样品</t>
        </is>
      </c>
      <c r="I76" s="80" t="inlineStr">
        <is>
          <t>48 h</t>
        </is>
      </c>
      <c r="J76" s="80" t="inlineStr">
        <is>
          <t>按样品数量</t>
        </is>
      </c>
      <c r="K76" s="80" t="inlineStr">
        <is>
          <t>400/个</t>
        </is>
      </c>
      <c r="L76" s="81" t="n">
        <v>2400</v>
      </c>
      <c r="M76" s="82" t="inlineStr">
        <is>
          <t>6个 × 400/个 = 2,400</t>
        </is>
      </c>
      <c r="N76" s="80" t="n"/>
    </row>
    <row r="77">
      <c r="A77" s="76" t="inlineStr">
        <is>
          <t>Group D-9：DV / Group D Parallel Tests / D-9</t>
        </is>
      </c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3" t="n"/>
    </row>
    <row r="78">
      <c r="A78" s="78" t="inlineStr">
        <is>
          <t>组别顺序</t>
        </is>
      </c>
      <c r="B78" s="78" t="inlineStr">
        <is>
          <t>组内顺序</t>
        </is>
      </c>
      <c r="C78" s="78" t="inlineStr">
        <is>
          <t>Phase</t>
        </is>
      </c>
      <c r="D78" s="78" t="inlineStr">
        <is>
          <t>Group</t>
        </is>
      </c>
      <c r="E78" s="78" t="inlineStr">
        <is>
          <t>测试编号</t>
        </is>
      </c>
      <c r="F78" s="78" t="inlineStr">
        <is>
          <t>测试项目</t>
        </is>
      </c>
      <c r="G78" s="78" t="inlineStr">
        <is>
          <t>样品范围</t>
        </is>
      </c>
      <c r="H78" s="78" t="inlineStr">
        <is>
          <t>计费基数</t>
        </is>
      </c>
      <c r="I78" s="78" t="inlineStr">
        <is>
          <t>测试时间</t>
        </is>
      </c>
      <c r="J78" s="78" t="inlineStr">
        <is>
          <t>计费方式</t>
        </is>
      </c>
      <c r="K78" s="78" t="inlineStr">
        <is>
          <t>单价</t>
        </is>
      </c>
      <c r="L78" s="84" t="inlineStr">
        <is>
          <t>委外费用</t>
        </is>
      </c>
      <c r="M78" s="85" t="inlineStr">
        <is>
          <t>费用计算公式</t>
        </is>
      </c>
      <c r="N78" s="78" t="inlineStr">
        <is>
          <t>备注</t>
        </is>
      </c>
    </row>
    <row r="79" ht="31" customHeight="1" s="4">
      <c r="A79" s="80" t="inlineStr">
        <is>
          <t>Group D-9</t>
        </is>
      </c>
      <c r="B79" s="80" t="n">
        <v>2</v>
      </c>
      <c r="C79" s="80" t="inlineStr">
        <is>
          <t>DV</t>
        </is>
      </c>
      <c r="D79" s="80" t="inlineStr">
        <is>
          <t>Group D Parallel Tests / D-9</t>
        </is>
      </c>
      <c r="E79" s="80" t="inlineStr">
        <is>
          <t>L1&amp;L4</t>
        </is>
      </c>
      <c r="F79" s="80" t="inlineStr">
        <is>
          <t>L1&amp;L4 Performance Evaluation &amp; Functional Evaluation</t>
        </is>
      </c>
      <c r="G79" s="80" t="inlineStr">
        <is>
          <t>77-82</t>
        </is>
      </c>
      <c r="H79" s="80" t="inlineStr">
        <is>
          <t>6 个样品</t>
        </is>
      </c>
      <c r="I79" s="80" t="inlineStr">
        <is>
          <t>72 h</t>
        </is>
      </c>
      <c r="J79" s="80" t="inlineStr">
        <is>
          <t>按样品数量</t>
        </is>
      </c>
      <c r="K79" s="80" t="inlineStr">
        <is>
          <t>400/个</t>
        </is>
      </c>
      <c r="L79" s="81" t="n">
        <v>2400</v>
      </c>
      <c r="M79" s="82" t="inlineStr">
        <is>
          <t>6个 × 400/个 = 2,400</t>
        </is>
      </c>
      <c r="N79" s="80" t="n"/>
    </row>
    <row r="80">
      <c r="A80" s="80" t="inlineStr">
        <is>
          <t>Group D-9</t>
        </is>
      </c>
      <c r="B80" s="80" t="n">
        <v>3</v>
      </c>
      <c r="C80" s="80" t="inlineStr">
        <is>
          <t>DV</t>
        </is>
      </c>
      <c r="D80" s="80" t="inlineStr">
        <is>
          <t>Group D Parallel Tests / D-9</t>
        </is>
      </c>
      <c r="E80" s="80" t="inlineStr">
        <is>
          <t>K52.351</t>
        </is>
      </c>
      <c r="F80" s="80" t="inlineStr">
        <is>
          <t>K52.351 Condensing humidity</t>
        </is>
      </c>
      <c r="G80" s="80" t="inlineStr">
        <is>
          <t>77-82</t>
        </is>
      </c>
      <c r="H80" s="80" t="inlineStr">
        <is>
          <t>120 h</t>
        </is>
      </c>
      <c r="I80" s="80" t="inlineStr">
        <is>
          <t>120 h</t>
        </is>
      </c>
      <c r="J80" s="80" t="inlineStr">
        <is>
          <t>按小时</t>
        </is>
      </c>
      <c r="K80" s="80" t="inlineStr">
        <is>
          <t>55/h</t>
        </is>
      </c>
      <c r="L80" s="81" t="n">
        <v>6600</v>
      </c>
      <c r="M80" s="82" t="inlineStr">
        <is>
          <t>120h × 55/h = 6,600</t>
        </is>
      </c>
      <c r="N80" s="80" t="n"/>
    </row>
    <row r="81" ht="31" customHeight="1" s="4">
      <c r="A81" s="80" t="inlineStr">
        <is>
          <t>Group D-9</t>
        </is>
      </c>
      <c r="B81" s="80" t="n">
        <v>4</v>
      </c>
      <c r="C81" s="80" t="inlineStr">
        <is>
          <t>DV</t>
        </is>
      </c>
      <c r="D81" s="80" t="inlineStr">
        <is>
          <t>Group D Parallel Tests / D-9</t>
        </is>
      </c>
      <c r="E81" s="80" t="inlineStr">
        <is>
          <t>L1&amp;L4</t>
        </is>
      </c>
      <c r="F81" s="80" t="inlineStr">
        <is>
          <t>L1&amp;L4 Performance Evaluation &amp; Functional Evaluation</t>
        </is>
      </c>
      <c r="G81" s="80" t="inlineStr">
        <is>
          <t>77-82</t>
        </is>
      </c>
      <c r="H81" s="80" t="inlineStr">
        <is>
          <t>6 个样品</t>
        </is>
      </c>
      <c r="I81" s="80" t="inlineStr">
        <is>
          <t>48 h</t>
        </is>
      </c>
      <c r="J81" s="80" t="inlineStr">
        <is>
          <t>按样品数量</t>
        </is>
      </c>
      <c r="K81" s="80" t="inlineStr">
        <is>
          <t>400/个</t>
        </is>
      </c>
      <c r="L81" s="81" t="n">
        <v>2400</v>
      </c>
      <c r="M81" s="82" t="inlineStr">
        <is>
          <t>6个 × 400/个 = 2,400</t>
        </is>
      </c>
      <c r="N81" s="80" t="n"/>
    </row>
    <row r="82">
      <c r="A82" s="89" t="n"/>
      <c r="B82" s="89" t="n"/>
      <c r="C82" s="89" t="n"/>
      <c r="D82" s="89" t="n"/>
      <c r="E82" s="89" t="n"/>
      <c r="F82" s="89" t="n"/>
      <c r="G82" s="89" t="n"/>
      <c r="H82" s="89" t="n"/>
      <c r="I82" s="89" t="n"/>
      <c r="J82" s="89" t="n"/>
      <c r="K82" s="89" t="n"/>
      <c r="L82" s="90" t="n"/>
      <c r="M82" s="91" t="n"/>
      <c r="N82" s="89" t="n"/>
    </row>
    <row r="83" ht="23" customHeight="1" s="4">
      <c r="A83" s="92" t="inlineStr">
        <is>
          <t>PV 组别顺序</t>
        </is>
      </c>
      <c r="B83" s="93" t="inlineStr">
        <is>
          <t>Group A -&gt; Group B -&gt; Group C -&gt; Group D-1 -&gt; Group D-2 -&gt; Group D-3 -&gt; Group D-4 -&gt; Group D-5 -&gt; Group D-6 -&gt; Group D-7 -&gt; Group D-8 -&gt; Group D-9</t>
        </is>
      </c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  <c r="N83" s="163" t="n"/>
    </row>
    <row r="84">
      <c r="A84" s="76" t="inlineStr">
        <is>
          <t>Group A：PV / Group A Sequence Tests</t>
        </is>
      </c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  <c r="N84" s="163" t="n"/>
    </row>
    <row r="85">
      <c r="A85" s="78" t="inlineStr">
        <is>
          <t>组别顺序</t>
        </is>
      </c>
      <c r="B85" s="78" t="inlineStr">
        <is>
          <t>组内顺序</t>
        </is>
      </c>
      <c r="C85" s="78" t="inlineStr">
        <is>
          <t>Phase</t>
        </is>
      </c>
      <c r="D85" s="78" t="inlineStr">
        <is>
          <t>Group</t>
        </is>
      </c>
      <c r="E85" s="78" t="inlineStr">
        <is>
          <t>测试编号</t>
        </is>
      </c>
      <c r="F85" s="78" t="inlineStr">
        <is>
          <t>测试项目</t>
        </is>
      </c>
      <c r="G85" s="78" t="inlineStr">
        <is>
          <t>样品范围</t>
        </is>
      </c>
      <c r="H85" s="78" t="inlineStr">
        <is>
          <t>计费基数</t>
        </is>
      </c>
      <c r="I85" s="78" t="inlineStr">
        <is>
          <t>测试时间</t>
        </is>
      </c>
      <c r="J85" s="78" t="inlineStr">
        <is>
          <t>计费方式</t>
        </is>
      </c>
      <c r="K85" s="78" t="inlineStr">
        <is>
          <t>单价</t>
        </is>
      </c>
      <c r="L85" s="84" t="inlineStr">
        <is>
          <t>委外费用</t>
        </is>
      </c>
      <c r="M85" s="85" t="inlineStr">
        <is>
          <t>费用计算公式</t>
        </is>
      </c>
      <c r="N85" s="78" t="inlineStr">
        <is>
          <t>备注</t>
        </is>
      </c>
    </row>
    <row r="86" ht="31" customHeight="1" s="4">
      <c r="A86" s="80" t="inlineStr">
        <is>
          <t>Group A</t>
        </is>
      </c>
      <c r="B86" s="80" t="n">
        <v>2</v>
      </c>
      <c r="C86" s="80" t="inlineStr">
        <is>
          <t>PV</t>
        </is>
      </c>
      <c r="D86" s="80" t="inlineStr">
        <is>
          <t>Group A Sequence Tests</t>
        </is>
      </c>
      <c r="E86" s="80" t="inlineStr">
        <is>
          <t>L1&amp;L4</t>
        </is>
      </c>
      <c r="F86" s="80" t="inlineStr">
        <is>
          <t>L1&amp;L4 Performance Evaluation &amp; Functional Evaluation</t>
        </is>
      </c>
      <c r="G86" s="80" t="inlineStr">
        <is>
          <t>1-14</t>
        </is>
      </c>
      <c r="H86" s="80" t="inlineStr">
        <is>
          <t>14 个样品</t>
        </is>
      </c>
      <c r="I86" s="80" t="inlineStr">
        <is>
          <t>72 h</t>
        </is>
      </c>
      <c r="J86" s="80" t="inlineStr">
        <is>
          <t>按样品数量</t>
        </is>
      </c>
      <c r="K86" s="80" t="inlineStr">
        <is>
          <t>400/个</t>
        </is>
      </c>
      <c r="L86" s="81" t="n">
        <v>5600</v>
      </c>
      <c r="M86" s="82" t="inlineStr">
        <is>
          <t>14个 × 400/个 = 5,600</t>
        </is>
      </c>
      <c r="N86" s="80" t="n"/>
    </row>
    <row r="87" ht="31" customHeight="1" s="4">
      <c r="A87" s="80" t="inlineStr">
        <is>
          <t>Group A</t>
        </is>
      </c>
      <c r="B87" s="80" t="n">
        <v>3</v>
      </c>
      <c r="C87" s="80" t="inlineStr">
        <is>
          <t>PV</t>
        </is>
      </c>
      <c r="D87" s="80" t="inlineStr">
        <is>
          <t>Group A Sequence Tests</t>
        </is>
      </c>
      <c r="E87" s="80" t="inlineStr">
        <is>
          <t>Particle</t>
        </is>
      </c>
      <c r="F87" s="80" t="inlineStr">
        <is>
          <t>Particle Exposure</t>
        </is>
      </c>
      <c r="G87" s="80" t="inlineStr">
        <is>
          <t>1-12</t>
        </is>
      </c>
      <c r="H87" s="80" t="n"/>
      <c r="I87" s="80" t="inlineStr">
        <is>
          <t>120 h</t>
        </is>
      </c>
      <c r="J87" s="80" t="inlineStr">
        <is>
          <t>按批次</t>
        </is>
      </c>
      <c r="K87" s="80" t="inlineStr">
        <is>
          <t>2,500/批；粉尘费 8,000；清洁费 0</t>
        </is>
      </c>
      <c r="L87" s="81" t="n">
        <v>13000</v>
      </c>
      <c r="M87" s="82" t="inlineStr">
        <is>
          <t>2批 × 2,500/批 + 粉尘费 8,000 + 清洁费 0 = 13,000</t>
        </is>
      </c>
      <c r="N87" s="80" t="inlineStr">
        <is>
          <t>Particle Exposure：全额报价已拆分为批次单价、粉尘费、清洁费</t>
        </is>
      </c>
    </row>
    <row r="88">
      <c r="A88" s="80" t="inlineStr">
        <is>
          <t>Group A</t>
        </is>
      </c>
      <c r="B88" s="80" t="n">
        <v>4</v>
      </c>
      <c r="C88" s="80" t="inlineStr">
        <is>
          <t>PV</t>
        </is>
      </c>
      <c r="D88" s="80" t="inlineStr">
        <is>
          <t>Group A Sequence Tests</t>
        </is>
      </c>
      <c r="E88" s="80" t="inlineStr">
        <is>
          <t>K1</t>
        </is>
      </c>
      <c r="F88" s="80" t="inlineStr">
        <is>
          <t>K1 Low Temperature Exposure</t>
        </is>
      </c>
      <c r="G88" s="80" t="inlineStr">
        <is>
          <t>1-12</t>
        </is>
      </c>
      <c r="H88" s="80" t="inlineStr">
        <is>
          <t>24 h</t>
        </is>
      </c>
      <c r="I88" s="80" t="inlineStr">
        <is>
          <t>24 h</t>
        </is>
      </c>
      <c r="J88" s="80" t="inlineStr">
        <is>
          <t>按小时</t>
        </is>
      </c>
      <c r="K88" s="80" t="inlineStr">
        <is>
          <t>30/h</t>
        </is>
      </c>
      <c r="L88" s="81" t="n">
        <v>720</v>
      </c>
      <c r="M88" s="82" t="inlineStr">
        <is>
          <t>24h × 30/h = 720（大环境箱单价）</t>
        </is>
      </c>
      <c r="N88" s="80" t="n"/>
    </row>
    <row r="89">
      <c r="A89" s="80" t="inlineStr">
        <is>
          <t>Group A</t>
        </is>
      </c>
      <c r="B89" s="80" t="n">
        <v>5</v>
      </c>
      <c r="C89" s="80" t="inlineStr">
        <is>
          <t>PV</t>
        </is>
      </c>
      <c r="D89" s="80" t="inlineStr">
        <is>
          <t>Group A Sequence Tests</t>
        </is>
      </c>
      <c r="E89" s="80" t="inlineStr">
        <is>
          <t>K2</t>
        </is>
      </c>
      <c r="F89" s="80" t="inlineStr">
        <is>
          <t>K2 High Temperature Exposure</t>
        </is>
      </c>
      <c r="G89" s="80" t="inlineStr">
        <is>
          <t>1-12</t>
        </is>
      </c>
      <c r="H89" s="80" t="inlineStr">
        <is>
          <t>24 h</t>
        </is>
      </c>
      <c r="I89" s="80" t="inlineStr">
        <is>
          <t>24 h</t>
        </is>
      </c>
      <c r="J89" s="80" t="inlineStr">
        <is>
          <t>按小时</t>
        </is>
      </c>
      <c r="K89" s="80" t="inlineStr">
        <is>
          <t>30/h</t>
        </is>
      </c>
      <c r="L89" s="81" t="n">
        <v>720</v>
      </c>
      <c r="M89" s="82" t="inlineStr">
        <is>
          <t>24h × 30/h = 720（大环境箱单价）</t>
        </is>
      </c>
      <c r="N89" s="80" t="n"/>
    </row>
    <row r="90">
      <c r="A90" s="80" t="inlineStr">
        <is>
          <t>Group A</t>
        </is>
      </c>
      <c r="B90" s="80" t="n">
        <v>6</v>
      </c>
      <c r="C90" s="80" t="inlineStr">
        <is>
          <t>PV</t>
        </is>
      </c>
      <c r="D90" s="80" t="inlineStr">
        <is>
          <t>Group A Sequence Tests</t>
        </is>
      </c>
      <c r="E90" s="80" t="inlineStr">
        <is>
          <t>K3</t>
        </is>
      </c>
      <c r="F90" s="80" t="inlineStr">
        <is>
          <t>K3 Low Temperature Operation</t>
        </is>
      </c>
      <c r="G90" s="80" t="inlineStr">
        <is>
          <t>1-12</t>
        </is>
      </c>
      <c r="H90" s="80" t="inlineStr">
        <is>
          <t>24 h</t>
        </is>
      </c>
      <c r="I90" s="80" t="inlineStr">
        <is>
          <t>24 h</t>
        </is>
      </c>
      <c r="J90" s="80" t="inlineStr">
        <is>
          <t>按小时</t>
        </is>
      </c>
      <c r="K90" s="80" t="inlineStr">
        <is>
          <t>30/h</t>
        </is>
      </c>
      <c r="L90" s="81" t="n">
        <v>720</v>
      </c>
      <c r="M90" s="82" t="inlineStr">
        <is>
          <t>24h × 30/h = 720（大环境箱单价）</t>
        </is>
      </c>
      <c r="N90" s="80" t="n"/>
    </row>
    <row r="91">
      <c r="A91" s="80" t="inlineStr">
        <is>
          <t>Group A</t>
        </is>
      </c>
      <c r="B91" s="80" t="n">
        <v>7</v>
      </c>
      <c r="C91" s="80" t="inlineStr">
        <is>
          <t>PV</t>
        </is>
      </c>
      <c r="D91" s="80" t="inlineStr">
        <is>
          <t>Group A Sequence Tests</t>
        </is>
      </c>
      <c r="E91" s="80" t="inlineStr">
        <is>
          <t>K4</t>
        </is>
      </c>
      <c r="F91" s="80" t="inlineStr">
        <is>
          <t>K4 High Temperature Operation</t>
        </is>
      </c>
      <c r="G91" s="80" t="inlineStr">
        <is>
          <t>1-12</t>
        </is>
      </c>
      <c r="H91" s="80" t="inlineStr">
        <is>
          <t>96 h</t>
        </is>
      </c>
      <c r="I91" s="80" t="inlineStr">
        <is>
          <t>96 h</t>
        </is>
      </c>
      <c r="J91" s="80" t="inlineStr">
        <is>
          <t>按小时</t>
        </is>
      </c>
      <c r="K91" s="80" t="inlineStr">
        <is>
          <t>30/h</t>
        </is>
      </c>
      <c r="L91" s="81" t="n">
        <v>2880</v>
      </c>
      <c r="M91" s="82" t="inlineStr">
        <is>
          <t>96h × 30/h = 2,880（大环境箱单价）</t>
        </is>
      </c>
      <c r="N91" s="80" t="n"/>
    </row>
    <row r="92">
      <c r="A92" s="80" t="inlineStr">
        <is>
          <t>Group A</t>
        </is>
      </c>
      <c r="B92" s="80" t="n">
        <v>8</v>
      </c>
      <c r="C92" s="80" t="inlineStr">
        <is>
          <t>PV</t>
        </is>
      </c>
      <c r="D92" s="80" t="inlineStr">
        <is>
          <t>Group A Sequence Tests</t>
        </is>
      </c>
      <c r="E92" s="80" t="inlineStr">
        <is>
          <t>K5</t>
        </is>
      </c>
      <c r="F92" s="80" t="inlineStr">
        <is>
          <t>K5 Temperature Step Test</t>
        </is>
      </c>
      <c r="G92" s="80" t="inlineStr">
        <is>
          <t>1-12</t>
        </is>
      </c>
      <c r="H92" s="80" t="inlineStr">
        <is>
          <t>1 批</t>
        </is>
      </c>
      <c r="I92" s="80" t="inlineStr">
        <is>
          <t>48 h</t>
        </is>
      </c>
      <c r="J92" s="80" t="inlineStr">
        <is>
          <t>按批次</t>
        </is>
      </c>
      <c r="K92" s="80" t="inlineStr">
        <is>
          <t>3,360/批</t>
        </is>
      </c>
      <c r="L92" s="81" t="n">
        <v>3360</v>
      </c>
      <c r="M92" s="82" t="inlineStr">
        <is>
          <t>1批 × 3,360/批 = 3,360</t>
        </is>
      </c>
      <c r="N92" s="80" t="n"/>
    </row>
    <row r="93">
      <c r="A93" s="80" t="inlineStr">
        <is>
          <t>Group A</t>
        </is>
      </c>
      <c r="B93" s="80" t="n">
        <v>9</v>
      </c>
      <c r="C93" s="80" t="inlineStr">
        <is>
          <t>PV</t>
        </is>
      </c>
      <c r="D93" s="80" t="inlineStr">
        <is>
          <t>Group A Sequence Tests</t>
        </is>
      </c>
      <c r="E93" s="80" t="inlineStr">
        <is>
          <t>K6</t>
        </is>
      </c>
      <c r="F93" s="80" t="inlineStr">
        <is>
          <t>K6 Power Thermal Cycle</t>
        </is>
      </c>
      <c r="G93" s="80" t="inlineStr">
        <is>
          <t>1-12</t>
        </is>
      </c>
      <c r="H93" s="80" t="inlineStr">
        <is>
          <t>240 h</t>
        </is>
      </c>
      <c r="I93" s="80" t="inlineStr">
        <is>
          <t>240 h</t>
        </is>
      </c>
      <c r="J93" s="80" t="inlineStr">
        <is>
          <t>按小时</t>
        </is>
      </c>
      <c r="K93" s="80" t="inlineStr">
        <is>
          <t>30/h</t>
        </is>
      </c>
      <c r="L93" s="81" t="n">
        <v>7200</v>
      </c>
      <c r="M93" s="82" t="inlineStr">
        <is>
          <t>240h × 30/h = 7,200（大环境箱单价）</t>
        </is>
      </c>
      <c r="N93" s="80" t="n"/>
    </row>
    <row r="94">
      <c r="A94" s="80" t="inlineStr">
        <is>
          <t>Group A</t>
        </is>
      </c>
      <c r="B94" s="80" t="n">
        <v>10</v>
      </c>
      <c r="C94" s="80" t="inlineStr">
        <is>
          <t>PV</t>
        </is>
      </c>
      <c r="D94" s="80" t="inlineStr">
        <is>
          <t>Group A Sequence Tests</t>
        </is>
      </c>
      <c r="E94" s="80" t="inlineStr">
        <is>
          <t>K7</t>
        </is>
      </c>
      <c r="F94" s="80" t="inlineStr">
        <is>
          <t>K7 Thermal Shock in Air</t>
        </is>
      </c>
      <c r="G94" s="80" t="inlineStr">
        <is>
          <t>1-12</t>
        </is>
      </c>
      <c r="H94" s="80" t="inlineStr">
        <is>
          <t>105 h</t>
        </is>
      </c>
      <c r="I94" s="80" t="inlineStr">
        <is>
          <t>105 h</t>
        </is>
      </c>
      <c r="J94" s="80" t="inlineStr">
        <is>
          <t>按小时</t>
        </is>
      </c>
      <c r="K94" s="80" t="inlineStr">
        <is>
          <t>100/h</t>
        </is>
      </c>
      <c r="L94" s="81" t="n">
        <v>10500</v>
      </c>
      <c r="M94" s="82" t="inlineStr">
        <is>
          <t>105h × 100/h = 10,500</t>
        </is>
      </c>
      <c r="N94" s="80" t="n"/>
    </row>
    <row r="95">
      <c r="A95" s="80" t="inlineStr">
        <is>
          <t>Group A</t>
        </is>
      </c>
      <c r="B95" s="80" t="n">
        <v>11</v>
      </c>
      <c r="C95" s="80" t="inlineStr">
        <is>
          <t>PV</t>
        </is>
      </c>
      <c r="D95" s="80" t="inlineStr">
        <is>
          <t>Group A Sequence Tests</t>
        </is>
      </c>
      <c r="E95" s="80" t="inlineStr">
        <is>
          <t>K15</t>
        </is>
      </c>
      <c r="F95" s="80" t="inlineStr">
        <is>
          <t>K15 Vibration</t>
        </is>
      </c>
      <c r="G95" s="80" t="inlineStr">
        <is>
          <t>1-12</t>
        </is>
      </c>
      <c r="H95" s="80" t="inlineStr">
        <is>
          <t>48 h</t>
        </is>
      </c>
      <c r="I95" s="80" t="inlineStr">
        <is>
          <t>48 h</t>
        </is>
      </c>
      <c r="J95" s="80" t="inlineStr">
        <is>
          <t>按小时</t>
        </is>
      </c>
      <c r="K95" s="80" t="inlineStr">
        <is>
          <t>500/h</t>
        </is>
      </c>
      <c r="L95" s="81" t="n">
        <v>24000</v>
      </c>
      <c r="M95" s="82" t="inlineStr">
        <is>
          <t>48h × 500/h = 24,000</t>
        </is>
      </c>
      <c r="N95" s="80" t="n"/>
    </row>
    <row r="96">
      <c r="A96" s="80" t="inlineStr">
        <is>
          <t>Group A</t>
        </is>
      </c>
      <c r="B96" s="80" t="n">
        <v>12</v>
      </c>
      <c r="C96" s="80" t="inlineStr">
        <is>
          <t>PV</t>
        </is>
      </c>
      <c r="D96" s="80" t="inlineStr">
        <is>
          <t>Group A Sequence Tests</t>
        </is>
      </c>
      <c r="E96" s="80" t="inlineStr">
        <is>
          <t>K16.1</t>
        </is>
      </c>
      <c r="F96" s="80" t="inlineStr">
        <is>
          <t>K16.1 Mechanical Shock Package Drop</t>
        </is>
      </c>
      <c r="G96" s="80" t="inlineStr">
        <is>
          <t>1-14</t>
        </is>
      </c>
      <c r="H96" s="80" t="inlineStr">
        <is>
          <t>14 个样品</t>
        </is>
      </c>
      <c r="I96" s="80" t="inlineStr">
        <is>
          <t>48 h</t>
        </is>
      </c>
      <c r="J96" s="80" t="inlineStr">
        <is>
          <t>按样品数量</t>
        </is>
      </c>
      <c r="K96" s="80" t="inlineStr">
        <is>
          <t>300/个</t>
        </is>
      </c>
      <c r="L96" s="81" t="n">
        <v>4200</v>
      </c>
      <c r="M96" s="82" t="inlineStr">
        <is>
          <t>14个 × 300/个 = 4,200</t>
        </is>
      </c>
      <c r="N96" s="80" t="n"/>
    </row>
    <row r="97">
      <c r="A97" s="80" t="inlineStr">
        <is>
          <t>Group A</t>
        </is>
      </c>
      <c r="B97" s="80" t="n">
        <v>13</v>
      </c>
      <c r="C97" s="80" t="inlineStr">
        <is>
          <t>PV</t>
        </is>
      </c>
      <c r="D97" s="80" t="inlineStr">
        <is>
          <t>Group A Sequence Tests</t>
        </is>
      </c>
      <c r="E97" s="80" t="inlineStr">
        <is>
          <t>K16.4</t>
        </is>
      </c>
      <c r="F97" s="80" t="inlineStr">
        <is>
          <t>K16.4 Mechanical Shock Low</t>
        </is>
      </c>
      <c r="G97" s="80" t="inlineStr">
        <is>
          <t>1-12</t>
        </is>
      </c>
      <c r="H97" s="80" t="inlineStr">
        <is>
          <t>12 个样品</t>
        </is>
      </c>
      <c r="I97" s="80" t="inlineStr">
        <is>
          <t>48 h</t>
        </is>
      </c>
      <c r="J97" s="80" t="inlineStr">
        <is>
          <t>按样品数量</t>
        </is>
      </c>
      <c r="K97" s="80" t="inlineStr">
        <is>
          <t>333/个</t>
        </is>
      </c>
      <c r="L97" s="81" t="n">
        <v>3996</v>
      </c>
      <c r="M97" s="82" t="inlineStr">
        <is>
          <t>12个 × 333/个 = 3,996</t>
        </is>
      </c>
      <c r="N97" s="80" t="n"/>
    </row>
    <row r="98">
      <c r="A98" s="80" t="inlineStr">
        <is>
          <t>Group A</t>
        </is>
      </c>
      <c r="B98" s="80" t="n">
        <v>14</v>
      </c>
      <c r="C98" s="80" t="inlineStr">
        <is>
          <t>PV</t>
        </is>
      </c>
      <c r="D98" s="80" t="inlineStr">
        <is>
          <t>Group A Sequence Tests</t>
        </is>
      </c>
      <c r="E98" s="80" t="inlineStr">
        <is>
          <t>K17</t>
        </is>
      </c>
      <c r="F98" s="80" t="inlineStr">
        <is>
          <t>K17 Audible Noise</t>
        </is>
      </c>
      <c r="G98" s="80" t="inlineStr">
        <is>
          <t>1-12</t>
        </is>
      </c>
      <c r="H98" s="80" t="inlineStr">
        <is>
          <t>12 个样品</t>
        </is>
      </c>
      <c r="I98" s="80" t="inlineStr">
        <is>
          <t>240 h</t>
        </is>
      </c>
      <c r="J98" s="80" t="inlineStr">
        <is>
          <t>按样品数量</t>
        </is>
      </c>
      <c r="K98" s="80" t="inlineStr">
        <is>
          <t>12,000/个</t>
        </is>
      </c>
      <c r="L98" s="81" t="n">
        <v>144000</v>
      </c>
      <c r="M98" s="82" t="inlineStr">
        <is>
          <t>12个 × 12,000/个 = 144,000</t>
        </is>
      </c>
      <c r="N98" s="80" t="inlineStr">
        <is>
          <t>K17 Audible Noise 按 MLA 三个方向的组合单价 × 样机数计算</t>
        </is>
      </c>
    </row>
    <row r="99">
      <c r="A99" s="80" t="inlineStr">
        <is>
          <t>Group A</t>
        </is>
      </c>
      <c r="B99" s="80" t="n">
        <v>15</v>
      </c>
      <c r="C99" s="80" t="inlineStr">
        <is>
          <t>PV</t>
        </is>
      </c>
      <c r="D99" s="80" t="inlineStr">
        <is>
          <t>Group A Sequence Tests</t>
        </is>
      </c>
      <c r="E99" s="80" t="inlineStr">
        <is>
          <t>K9</t>
        </is>
      </c>
      <c r="F99" s="80" t="inlineStr">
        <is>
          <t>K9 Temperature/Humidity Cycle</t>
        </is>
      </c>
      <c r="G99" s="80" t="inlineStr">
        <is>
          <t>1-12</t>
        </is>
      </c>
      <c r="H99" s="80" t="inlineStr">
        <is>
          <t>264 h</t>
        </is>
      </c>
      <c r="I99" s="80" t="inlineStr">
        <is>
          <t>264 h</t>
        </is>
      </c>
      <c r="J99" s="80" t="inlineStr">
        <is>
          <t>按小时</t>
        </is>
      </c>
      <c r="K99" s="80" t="inlineStr">
        <is>
          <t>30/h</t>
        </is>
      </c>
      <c r="L99" s="81" t="n">
        <v>7920</v>
      </c>
      <c r="M99" s="82" t="inlineStr">
        <is>
          <t>264h × 30/h = 7,920（大环境箱单价）</t>
        </is>
      </c>
      <c r="N99" s="80" t="n"/>
    </row>
    <row r="100">
      <c r="A100" s="80" t="inlineStr">
        <is>
          <t>Group A</t>
        </is>
      </c>
      <c r="B100" s="80" t="n">
        <v>16</v>
      </c>
      <c r="C100" s="80" t="inlineStr">
        <is>
          <t>PV</t>
        </is>
      </c>
      <c r="D100" s="80" t="inlineStr">
        <is>
          <t>Group A Sequence Tests</t>
        </is>
      </c>
      <c r="E100" s="80" t="inlineStr">
        <is>
          <t>K10</t>
        </is>
      </c>
      <c r="F100" s="80" t="inlineStr">
        <is>
          <t>K10 Water/Fluid Ingress Test</t>
        </is>
      </c>
      <c r="G100" s="80" t="inlineStr">
        <is>
          <t>1-12</t>
        </is>
      </c>
      <c r="H100" s="80" t="inlineStr">
        <is>
          <t>12 个样品</t>
        </is>
      </c>
      <c r="I100" s="80" t="inlineStr">
        <is>
          <t>72 h</t>
        </is>
      </c>
      <c r="J100" s="80" t="inlineStr">
        <is>
          <t>按样品数量</t>
        </is>
      </c>
      <c r="K100" s="80" t="inlineStr">
        <is>
          <t>500/个</t>
        </is>
      </c>
      <c r="L100" s="81" t="n">
        <v>6000</v>
      </c>
      <c r="M100" s="82" t="inlineStr">
        <is>
          <t>12个 × 500/个 = 6,000</t>
        </is>
      </c>
      <c r="N100" s="80" t="n"/>
    </row>
    <row r="101">
      <c r="A101" s="80" t="inlineStr">
        <is>
          <t>Group A</t>
        </is>
      </c>
      <c r="B101" s="80" t="n">
        <v>17</v>
      </c>
      <c r="C101" s="80" t="inlineStr">
        <is>
          <t>PV</t>
        </is>
      </c>
      <c r="D101" s="80" t="inlineStr">
        <is>
          <t>Group A Sequence Tests</t>
        </is>
      </c>
      <c r="E101" s="80" t="inlineStr">
        <is>
          <t>K13</t>
        </is>
      </c>
      <c r="F101" s="80" t="inlineStr">
        <is>
          <t>K13 Dust Ingress</t>
        </is>
      </c>
      <c r="G101" s="80" t="inlineStr">
        <is>
          <t>1-12</t>
        </is>
      </c>
      <c r="H101" s="80" t="inlineStr">
        <is>
          <t>4 批</t>
        </is>
      </c>
      <c r="I101" s="80" t="inlineStr">
        <is>
          <t>120 h</t>
        </is>
      </c>
      <c r="J101" s="80" t="inlineStr">
        <is>
          <t>按批次</t>
        </is>
      </c>
      <c r="K101" s="80" t="inlineStr">
        <is>
          <t>1,500/批</t>
        </is>
      </c>
      <c r="L101" s="81" t="n">
        <v>6000</v>
      </c>
      <c r="M101" s="82" t="inlineStr">
        <is>
          <t>4批 × 1,500/批 = 6,000</t>
        </is>
      </c>
      <c r="N101" s="80" t="n"/>
    </row>
    <row r="102" ht="31" customHeight="1" s="4">
      <c r="A102" s="80" t="inlineStr">
        <is>
          <t>Group A</t>
        </is>
      </c>
      <c r="B102" s="80" t="n">
        <v>19</v>
      </c>
      <c r="C102" s="80" t="inlineStr">
        <is>
          <t>PV</t>
        </is>
      </c>
      <c r="D102" s="80" t="inlineStr">
        <is>
          <t>Group A Sequence Tests</t>
        </is>
      </c>
      <c r="E102" s="80" t="inlineStr">
        <is>
          <t>L1&amp;L4</t>
        </is>
      </c>
      <c r="F102" s="80" t="inlineStr">
        <is>
          <t>L1&amp;L4 Performance Evaluation &amp; Functional Evaluation</t>
        </is>
      </c>
      <c r="G102" s="80" t="inlineStr">
        <is>
          <t>1-14</t>
        </is>
      </c>
      <c r="H102" s="80" t="inlineStr">
        <is>
          <t>14 个样品</t>
        </is>
      </c>
      <c r="I102" s="80" t="inlineStr">
        <is>
          <t>72 h</t>
        </is>
      </c>
      <c r="J102" s="80" t="inlineStr">
        <is>
          <t>按样品数量</t>
        </is>
      </c>
      <c r="K102" s="80" t="inlineStr">
        <is>
          <t>400/个</t>
        </is>
      </c>
      <c r="L102" s="81" t="n">
        <v>5600</v>
      </c>
      <c r="M102" s="82" t="inlineStr">
        <is>
          <t>14个 × 400/个 = 5,600</t>
        </is>
      </c>
      <c r="N102" s="80" t="n"/>
    </row>
    <row r="103">
      <c r="A103" s="76" t="inlineStr">
        <is>
          <t>Group B：PV / Group B Sequence Tests</t>
        </is>
      </c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3" t="n"/>
    </row>
    <row r="104">
      <c r="A104" s="78" t="inlineStr">
        <is>
          <t>组别顺序</t>
        </is>
      </c>
      <c r="B104" s="78" t="inlineStr">
        <is>
          <t>组内顺序</t>
        </is>
      </c>
      <c r="C104" s="78" t="inlineStr">
        <is>
          <t>Phase</t>
        </is>
      </c>
      <c r="D104" s="78" t="inlineStr">
        <is>
          <t>Group</t>
        </is>
      </c>
      <c r="E104" s="78" t="inlineStr">
        <is>
          <t>测试编号</t>
        </is>
      </c>
      <c r="F104" s="78" t="inlineStr">
        <is>
          <t>测试项目</t>
        </is>
      </c>
      <c r="G104" s="78" t="inlineStr">
        <is>
          <t>样品范围</t>
        </is>
      </c>
      <c r="H104" s="78" t="inlineStr">
        <is>
          <t>计费基数</t>
        </is>
      </c>
      <c r="I104" s="78" t="inlineStr">
        <is>
          <t>测试时间</t>
        </is>
      </c>
      <c r="J104" s="78" t="inlineStr">
        <is>
          <t>计费方式</t>
        </is>
      </c>
      <c r="K104" s="78" t="inlineStr">
        <is>
          <t>单价</t>
        </is>
      </c>
      <c r="L104" s="84" t="inlineStr">
        <is>
          <t>委外费用</t>
        </is>
      </c>
      <c r="M104" s="85" t="inlineStr">
        <is>
          <t>费用计算公式</t>
        </is>
      </c>
      <c r="N104" s="78" t="inlineStr">
        <is>
          <t>备注</t>
        </is>
      </c>
    </row>
    <row r="105" ht="31" customHeight="1" s="4">
      <c r="A105" s="80" t="inlineStr">
        <is>
          <t>Group B</t>
        </is>
      </c>
      <c r="B105" s="80" t="n">
        <v>2</v>
      </c>
      <c r="C105" s="80" t="inlineStr">
        <is>
          <t>PV</t>
        </is>
      </c>
      <c r="D105" s="80" t="inlineStr">
        <is>
          <t>Group B Sequence Tests</t>
        </is>
      </c>
      <c r="E105" s="80" t="inlineStr">
        <is>
          <t>L1&amp;L4</t>
        </is>
      </c>
      <c r="F105" s="80" t="inlineStr">
        <is>
          <t>L1&amp;L4 Performance Evaluation &amp; Functional Evaluation</t>
        </is>
      </c>
      <c r="G105" s="80" t="inlineStr">
        <is>
          <t>15-26</t>
        </is>
      </c>
      <c r="H105" s="80" t="inlineStr">
        <is>
          <t>12 个样品</t>
        </is>
      </c>
      <c r="I105" s="80" t="inlineStr">
        <is>
          <t>72 h</t>
        </is>
      </c>
      <c r="J105" s="80" t="inlineStr">
        <is>
          <t>按样品数量</t>
        </is>
      </c>
      <c r="K105" s="80" t="inlineStr">
        <is>
          <t>400/个</t>
        </is>
      </c>
      <c r="L105" s="81" t="n">
        <v>4800</v>
      </c>
      <c r="M105" s="82" t="inlineStr">
        <is>
          <t>12个 × 400/个 = 4,800</t>
        </is>
      </c>
      <c r="N105" s="80" t="n"/>
    </row>
    <row r="106" ht="31" customHeight="1" s="4">
      <c r="A106" s="80" t="inlineStr">
        <is>
          <t>Group B</t>
        </is>
      </c>
      <c r="B106" s="80" t="n">
        <v>3</v>
      </c>
      <c r="C106" s="80" t="inlineStr">
        <is>
          <t>PV</t>
        </is>
      </c>
      <c r="D106" s="80" t="inlineStr">
        <is>
          <t>Group B Sequence Tests</t>
        </is>
      </c>
      <c r="E106" s="80" t="inlineStr">
        <is>
          <t>K22</t>
        </is>
      </c>
      <c r="F106" s="80" t="inlineStr">
        <is>
          <t>K22 Chemical Resistance</t>
        </is>
      </c>
      <c r="G106" s="80" t="inlineStr">
        <is>
          <t>15-26</t>
        </is>
      </c>
      <c r="H106" s="80" t="inlineStr">
        <is>
          <t>72 h</t>
        </is>
      </c>
      <c r="I106" s="80" t="inlineStr">
        <is>
          <t>72 h</t>
        </is>
      </c>
      <c r="J106" s="80" t="inlineStr">
        <is>
          <t>按小时</t>
        </is>
      </c>
      <c r="K106" s="80" t="inlineStr">
        <is>
          <t>650/种试剂；20/h</t>
        </is>
      </c>
      <c r="L106" s="81" t="n">
        <v>11190</v>
      </c>
      <c r="M106" s="82" t="inlineStr">
        <is>
          <t>SGS: 15 种试剂 × 650 + 72 h × 20 = 11190；</t>
        </is>
      </c>
      <c r="N106" s="80" t="inlineStr">
        <is>
          <t>K22 Chemical Resistance 按 MLA 条件 1 的 15 种试剂；试剂数量 × 各实验室试剂单价 + 测试时间 × 时间单价 计算</t>
        </is>
      </c>
    </row>
    <row r="107">
      <c r="A107" s="80" t="inlineStr">
        <is>
          <t>Group B</t>
        </is>
      </c>
      <c r="B107" s="80" t="n">
        <v>4</v>
      </c>
      <c r="C107" s="80" t="inlineStr">
        <is>
          <t>PV</t>
        </is>
      </c>
      <c r="D107" s="80" t="inlineStr">
        <is>
          <t>Group B Sequence Tests</t>
        </is>
      </c>
      <c r="E107" s="80" t="inlineStr">
        <is>
          <t>K18</t>
        </is>
      </c>
      <c r="F107" s="80" t="inlineStr">
        <is>
          <t>K18 Connector and lead/lock strength</t>
        </is>
      </c>
      <c r="G107" s="80" t="inlineStr">
        <is>
          <t>15-26</t>
        </is>
      </c>
      <c r="H107" s="80" t="inlineStr">
        <is>
          <t>12 个样品</t>
        </is>
      </c>
      <c r="I107" s="80" t="inlineStr">
        <is>
          <t>168 h</t>
        </is>
      </c>
      <c r="J107" s="80" t="inlineStr">
        <is>
          <t>按样品数量</t>
        </is>
      </c>
      <c r="K107" s="80" t="inlineStr">
        <is>
          <t>325/项；微应力 3400</t>
        </is>
      </c>
      <c r="L107" s="81" t="n">
        <v>19000</v>
      </c>
      <c r="M107" s="82" t="inlineStr">
        <is>
          <t>SGS: 四项单价 325；微应力 3400 = 19000；</t>
        </is>
      </c>
      <c r="N107" s="80" t="inlineStr">
        <is>
          <t>K18.1-K18.4 四项 × 12 台样机 × 单价 + K18.1 微应力费用</t>
        </is>
      </c>
    </row>
    <row r="108" ht="31" customHeight="1" s="4">
      <c r="A108" s="80" t="inlineStr">
        <is>
          <t>Group B</t>
        </is>
      </c>
      <c r="B108" s="80" t="n">
        <v>5</v>
      </c>
      <c r="C108" s="80" t="inlineStr">
        <is>
          <t>PV</t>
        </is>
      </c>
      <c r="D108" s="80" t="inlineStr">
        <is>
          <t>Group B Sequence Tests</t>
        </is>
      </c>
      <c r="E108" s="80" t="inlineStr">
        <is>
          <t>L1&amp;L4</t>
        </is>
      </c>
      <c r="F108" s="80" t="inlineStr">
        <is>
          <t>L1&amp;L4 Performance Evaluation &amp; Functional Evaluation</t>
        </is>
      </c>
      <c r="G108" s="80" t="inlineStr">
        <is>
          <t>15-26</t>
        </is>
      </c>
      <c r="H108" s="80" t="inlineStr">
        <is>
          <t>12 个样品</t>
        </is>
      </c>
      <c r="I108" s="80" t="inlineStr">
        <is>
          <t>72 h</t>
        </is>
      </c>
      <c r="J108" s="80" t="inlineStr">
        <is>
          <t>按样品数量</t>
        </is>
      </c>
      <c r="K108" s="80" t="inlineStr">
        <is>
          <t>400/个</t>
        </is>
      </c>
      <c r="L108" s="81" t="n">
        <v>4800</v>
      </c>
      <c r="M108" s="82" t="inlineStr">
        <is>
          <t>12个 × 400/个 = 4,800</t>
        </is>
      </c>
      <c r="N108" s="80" t="n"/>
    </row>
    <row r="109">
      <c r="A109" s="76" t="inlineStr">
        <is>
          <t>Group C：PV / Group C Sequence Tests</t>
        </is>
      </c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3" t="n"/>
    </row>
    <row r="110">
      <c r="A110" s="78" t="inlineStr">
        <is>
          <t>组别顺序</t>
        </is>
      </c>
      <c r="B110" s="78" t="inlineStr">
        <is>
          <t>组内顺序</t>
        </is>
      </c>
      <c r="C110" s="78" t="inlineStr">
        <is>
          <t>Phase</t>
        </is>
      </c>
      <c r="D110" s="78" t="inlineStr">
        <is>
          <t>Group</t>
        </is>
      </c>
      <c r="E110" s="78" t="inlineStr">
        <is>
          <t>测试编号</t>
        </is>
      </c>
      <c r="F110" s="78" t="inlineStr">
        <is>
          <t>测试项目</t>
        </is>
      </c>
      <c r="G110" s="78" t="inlineStr">
        <is>
          <t>样品范围</t>
        </is>
      </c>
      <c r="H110" s="78" t="inlineStr">
        <is>
          <t>计费基数</t>
        </is>
      </c>
      <c r="I110" s="78" t="inlineStr">
        <is>
          <t>测试时间</t>
        </is>
      </c>
      <c r="J110" s="78" t="inlineStr">
        <is>
          <t>计费方式</t>
        </is>
      </c>
      <c r="K110" s="78" t="inlineStr">
        <is>
          <t>单价</t>
        </is>
      </c>
      <c r="L110" s="84" t="inlineStr">
        <is>
          <t>委外费用</t>
        </is>
      </c>
      <c r="M110" s="85" t="inlineStr">
        <is>
          <t>费用计算公式</t>
        </is>
      </c>
      <c r="N110" s="78" t="inlineStr">
        <is>
          <t>备注</t>
        </is>
      </c>
    </row>
    <row r="111" ht="31" customHeight="1" s="4">
      <c r="A111" s="80" t="inlineStr">
        <is>
          <t>Group C</t>
        </is>
      </c>
      <c r="B111" s="80" t="n">
        <v>2</v>
      </c>
      <c r="C111" s="80" t="inlineStr">
        <is>
          <t>PV</t>
        </is>
      </c>
      <c r="D111" s="80" t="inlineStr">
        <is>
          <t>Group C Sequence Tests</t>
        </is>
      </c>
      <c r="E111" s="80" t="inlineStr">
        <is>
          <t>L1&amp;L4</t>
        </is>
      </c>
      <c r="F111" s="80" t="inlineStr">
        <is>
          <t>L1&amp;L4 Performance Evaluation &amp; Functional Evaluation</t>
        </is>
      </c>
      <c r="G111" s="80" t="inlineStr">
        <is>
          <t>27-32</t>
        </is>
      </c>
      <c r="H111" s="80" t="inlineStr">
        <is>
          <t>6 个样品</t>
        </is>
      </c>
      <c r="I111" s="80" t="inlineStr">
        <is>
          <t>72 h</t>
        </is>
      </c>
      <c r="J111" s="80" t="inlineStr">
        <is>
          <t>按样品数量</t>
        </is>
      </c>
      <c r="K111" s="80" t="inlineStr">
        <is>
          <t>400/个</t>
        </is>
      </c>
      <c r="L111" s="81" t="n">
        <v>2400</v>
      </c>
      <c r="M111" s="82" t="inlineStr">
        <is>
          <t>6个 × 400/个 = 2,400</t>
        </is>
      </c>
      <c r="N111" s="80" t="n"/>
    </row>
    <row r="112">
      <c r="A112" s="80" t="inlineStr">
        <is>
          <t>Group C</t>
        </is>
      </c>
      <c r="B112" s="80" t="n">
        <v>3</v>
      </c>
      <c r="C112" s="80" t="inlineStr">
        <is>
          <t>PV</t>
        </is>
      </c>
      <c r="D112" s="80" t="inlineStr">
        <is>
          <t>Group C Sequence Tests</t>
        </is>
      </c>
      <c r="E112" s="80" t="inlineStr">
        <is>
          <t>K7</t>
        </is>
      </c>
      <c r="F112" s="80" t="inlineStr">
        <is>
          <t>K7 Thermal Shock in Air</t>
        </is>
      </c>
      <c r="G112" s="80" t="inlineStr">
        <is>
          <t>27-32</t>
        </is>
      </c>
      <c r="H112" s="80" t="inlineStr">
        <is>
          <t>105 h</t>
        </is>
      </c>
      <c r="I112" s="80" t="inlineStr">
        <is>
          <t>105 h</t>
        </is>
      </c>
      <c r="J112" s="80" t="inlineStr">
        <is>
          <t>按小时</t>
        </is>
      </c>
      <c r="K112" s="80" t="inlineStr">
        <is>
          <t>100/h</t>
        </is>
      </c>
      <c r="L112" s="81" t="n">
        <v>10500</v>
      </c>
      <c r="M112" s="82" t="inlineStr">
        <is>
          <t>105h × 100/h = 10,500</t>
        </is>
      </c>
      <c r="N112" s="80" t="n"/>
    </row>
    <row r="113" ht="31" customHeight="1" s="4">
      <c r="A113" s="80" t="inlineStr">
        <is>
          <t>Group C</t>
        </is>
      </c>
      <c r="B113" s="80" t="n">
        <v>4</v>
      </c>
      <c r="C113" s="80" t="inlineStr">
        <is>
          <t>PV</t>
        </is>
      </c>
      <c r="D113" s="80" t="inlineStr">
        <is>
          <t>Group C Sequence Tests</t>
        </is>
      </c>
      <c r="E113" s="80" t="inlineStr">
        <is>
          <t>Particle</t>
        </is>
      </c>
      <c r="F113" s="80" t="inlineStr">
        <is>
          <t>Particle Exposure</t>
        </is>
      </c>
      <c r="G113" s="80" t="inlineStr">
        <is>
          <t>27-32</t>
        </is>
      </c>
      <c r="H113" s="80" t="n"/>
      <c r="I113" s="80" t="inlineStr">
        <is>
          <t>48 h</t>
        </is>
      </c>
      <c r="J113" s="80" t="inlineStr">
        <is>
          <t>按批次</t>
        </is>
      </c>
      <c r="K113" s="80" t="inlineStr">
        <is>
          <t>2,500/批</t>
        </is>
      </c>
      <c r="L113" s="81" t="n">
        <v>2500</v>
      </c>
      <c r="M113" s="82" t="inlineStr">
        <is>
          <t>A组已计入粉尘费/清洁费，当前仅计批次费：1批 × 2,500/批 = 2,500</t>
        </is>
      </c>
      <c r="N113" s="80" t="inlineStr">
        <is>
          <t>Particle Exposure：A组已覆盖粉尘/清洁，当前只计新增批次费</t>
        </is>
      </c>
    </row>
    <row r="114">
      <c r="A114" s="80" t="inlineStr">
        <is>
          <t>Group C</t>
        </is>
      </c>
      <c r="B114" s="80" t="n">
        <v>5</v>
      </c>
      <c r="C114" s="80" t="inlineStr">
        <is>
          <t>PV</t>
        </is>
      </c>
      <c r="D114" s="80" t="inlineStr">
        <is>
          <t>Group C Sequence Tests</t>
        </is>
      </c>
      <c r="E114" s="80" t="inlineStr">
        <is>
          <t>K15</t>
        </is>
      </c>
      <c r="F114" s="80" t="inlineStr">
        <is>
          <t>K15 Vibartion</t>
        </is>
      </c>
      <c r="G114" s="80" t="inlineStr">
        <is>
          <t>27-32</t>
        </is>
      </c>
      <c r="H114" s="80" t="inlineStr">
        <is>
          <t>24 h</t>
        </is>
      </c>
      <c r="I114" s="80" t="inlineStr">
        <is>
          <t>24 h</t>
        </is>
      </c>
      <c r="J114" s="80" t="inlineStr">
        <is>
          <t>按小时</t>
        </is>
      </c>
      <c r="K114" s="80" t="inlineStr">
        <is>
          <t>500/h</t>
        </is>
      </c>
      <c r="L114" s="81" t="n">
        <v>12000</v>
      </c>
      <c r="M114" s="82" t="inlineStr">
        <is>
          <t>24h × 500/h = 12,000</t>
        </is>
      </c>
      <c r="N114" s="80" t="n"/>
    </row>
    <row r="115">
      <c r="A115" s="80" t="inlineStr">
        <is>
          <t>Group C</t>
        </is>
      </c>
      <c r="B115" s="80" t="n">
        <v>6</v>
      </c>
      <c r="C115" s="80" t="inlineStr">
        <is>
          <t>PV</t>
        </is>
      </c>
      <c r="D115" s="80" t="inlineStr">
        <is>
          <t>Group C Sequence Tests</t>
        </is>
      </c>
      <c r="E115" s="80" t="inlineStr">
        <is>
          <t>K13</t>
        </is>
      </c>
      <c r="F115" s="80" t="inlineStr">
        <is>
          <t>K13 Dust Ingress</t>
        </is>
      </c>
      <c r="G115" s="80" t="inlineStr">
        <is>
          <t>27-32</t>
        </is>
      </c>
      <c r="H115" s="80" t="inlineStr">
        <is>
          <t>2 批</t>
        </is>
      </c>
      <c r="I115" s="80" t="inlineStr">
        <is>
          <t>48 h</t>
        </is>
      </c>
      <c r="J115" s="80" t="inlineStr">
        <is>
          <t>按批次</t>
        </is>
      </c>
      <c r="K115" s="80" t="inlineStr">
        <is>
          <t>1,500/批</t>
        </is>
      </c>
      <c r="L115" s="81" t="n">
        <v>3000</v>
      </c>
      <c r="M115" s="82" t="inlineStr">
        <is>
          <t>2批 × 1,500/批 = 3,000</t>
        </is>
      </c>
      <c r="N115" s="80" t="n"/>
    </row>
    <row r="116" ht="31" customHeight="1" s="4">
      <c r="A116" s="80" t="inlineStr">
        <is>
          <t>Group C</t>
        </is>
      </c>
      <c r="B116" s="80" t="n">
        <v>8</v>
      </c>
      <c r="C116" s="80" t="inlineStr">
        <is>
          <t>PV</t>
        </is>
      </c>
      <c r="D116" s="80" t="inlineStr">
        <is>
          <t>Group C Sequence Tests</t>
        </is>
      </c>
      <c r="E116" s="80" t="inlineStr">
        <is>
          <t>K26</t>
        </is>
      </c>
      <c r="F116" s="80" t="inlineStr">
        <is>
          <t>K26 Mechanical Wear-Out</t>
        </is>
      </c>
      <c r="G116" s="80" t="inlineStr">
        <is>
          <t>27-32</t>
        </is>
      </c>
      <c r="H116" s="80" t="inlineStr">
        <is>
          <t>500 h</t>
        </is>
      </c>
      <c r="I116" s="80" t="inlineStr">
        <is>
          <t>500 h</t>
        </is>
      </c>
      <c r="J116" s="80" t="inlineStr">
        <is>
          <t>按小时</t>
        </is>
      </c>
      <c r="K116" s="80" t="inlineStr">
        <is>
          <t>总价 7158</t>
        </is>
      </c>
      <c r="L116" s="81" t="n">
        <v>7158</v>
      </c>
      <c r="M116" s="82" t="inlineStr">
        <is>
          <t>SGS: 334 h × 10 + 83 h × 23 + 83 h × 23 = 7158；</t>
        </is>
      </c>
      <c r="N116" s="80" t="inlineStr">
        <is>
          <t>K26 Mechanical Wear-Out 按 334h 常温 + 83h 低温 + 83h 高温分别计费，采用当前实验室总价</t>
        </is>
      </c>
    </row>
    <row r="117" ht="31" customHeight="1" s="4">
      <c r="A117" s="80" t="inlineStr">
        <is>
          <t>Group C</t>
        </is>
      </c>
      <c r="B117" s="80" t="n">
        <v>9</v>
      </c>
      <c r="C117" s="80" t="inlineStr">
        <is>
          <t>PV</t>
        </is>
      </c>
      <c r="D117" s="80" t="inlineStr">
        <is>
          <t>Group C Sequence Tests</t>
        </is>
      </c>
      <c r="E117" s="80" t="inlineStr">
        <is>
          <t>L1&amp;L4</t>
        </is>
      </c>
      <c r="F117" s="80" t="inlineStr">
        <is>
          <t>L1&amp;L4 Performance Evaluation &amp; Functional Evaluation</t>
        </is>
      </c>
      <c r="G117" s="80" t="inlineStr">
        <is>
          <t>27-32</t>
        </is>
      </c>
      <c r="H117" s="80" t="inlineStr">
        <is>
          <t>6 个样品</t>
        </is>
      </c>
      <c r="I117" s="80" t="inlineStr">
        <is>
          <t>48 h</t>
        </is>
      </c>
      <c r="J117" s="80" t="inlineStr">
        <is>
          <t>按样品数量</t>
        </is>
      </c>
      <c r="K117" s="80" t="inlineStr">
        <is>
          <t>400/个</t>
        </is>
      </c>
      <c r="L117" s="81" t="n">
        <v>2400</v>
      </c>
      <c r="M117" s="82" t="inlineStr">
        <is>
          <t>6个 × 400/个 = 2,400</t>
        </is>
      </c>
      <c r="N117" s="80" t="n"/>
    </row>
    <row r="118">
      <c r="A118" s="76" t="inlineStr">
        <is>
          <t>Group D-1：PV / Group D Parallel Tests / D-1 Corrosive Gases</t>
        </is>
      </c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3" t="n"/>
    </row>
    <row r="119">
      <c r="A119" s="78" t="inlineStr">
        <is>
          <t>组别顺序</t>
        </is>
      </c>
      <c r="B119" s="78" t="inlineStr">
        <is>
          <t>组内顺序</t>
        </is>
      </c>
      <c r="C119" s="78" t="inlineStr">
        <is>
          <t>Phase</t>
        </is>
      </c>
      <c r="D119" s="78" t="inlineStr">
        <is>
          <t>Group</t>
        </is>
      </c>
      <c r="E119" s="78" t="inlineStr">
        <is>
          <t>测试编号</t>
        </is>
      </c>
      <c r="F119" s="78" t="inlineStr">
        <is>
          <t>测试项目</t>
        </is>
      </c>
      <c r="G119" s="78" t="inlineStr">
        <is>
          <t>样品范围</t>
        </is>
      </c>
      <c r="H119" s="78" t="inlineStr">
        <is>
          <t>计费基数</t>
        </is>
      </c>
      <c r="I119" s="78" t="inlineStr">
        <is>
          <t>测试时间</t>
        </is>
      </c>
      <c r="J119" s="78" t="inlineStr">
        <is>
          <t>计费方式</t>
        </is>
      </c>
      <c r="K119" s="78" t="inlineStr">
        <is>
          <t>单价</t>
        </is>
      </c>
      <c r="L119" s="84" t="inlineStr">
        <is>
          <t>委外费用</t>
        </is>
      </c>
      <c r="M119" s="85" t="inlineStr">
        <is>
          <t>费用计算公式</t>
        </is>
      </c>
      <c r="N119" s="78" t="inlineStr">
        <is>
          <t>备注</t>
        </is>
      </c>
    </row>
    <row r="120" ht="31" customHeight="1" s="4">
      <c r="A120" s="80" t="inlineStr">
        <is>
          <t>Group D-1</t>
        </is>
      </c>
      <c r="B120" s="80" t="n">
        <v>2</v>
      </c>
      <c r="C120" s="80" t="inlineStr">
        <is>
          <t>PV</t>
        </is>
      </c>
      <c r="D120" s="80" t="inlineStr">
        <is>
          <t>Group D Parallel Tests / D-1 Corrosive Gases</t>
        </is>
      </c>
      <c r="E120" s="80" t="inlineStr">
        <is>
          <t>L1&amp;L4</t>
        </is>
      </c>
      <c r="F120" s="80" t="inlineStr">
        <is>
          <t>L1&amp;L4 Performance Evaluation &amp; Functional Evaluation</t>
        </is>
      </c>
      <c r="G120" s="80" t="inlineStr">
        <is>
          <t>33-38</t>
        </is>
      </c>
      <c r="H120" s="80" t="inlineStr">
        <is>
          <t>6 个样品</t>
        </is>
      </c>
      <c r="I120" s="80" t="inlineStr">
        <is>
          <t>72 h</t>
        </is>
      </c>
      <c r="J120" s="80" t="inlineStr">
        <is>
          <t>按样品数量</t>
        </is>
      </c>
      <c r="K120" s="80" t="inlineStr">
        <is>
          <t>400/个</t>
        </is>
      </c>
      <c r="L120" s="81" t="n">
        <v>2400</v>
      </c>
      <c r="M120" s="82" t="inlineStr">
        <is>
          <t>6个 × 400/个 = 2,400</t>
        </is>
      </c>
      <c r="N120" s="80" t="n"/>
    </row>
    <row r="121" ht="31" customHeight="1" s="4">
      <c r="A121" s="86" t="inlineStr">
        <is>
          <t>Group D-1</t>
        </is>
      </c>
      <c r="B121" s="86" t="n">
        <v>3</v>
      </c>
      <c r="C121" s="86" t="inlineStr">
        <is>
          <t>PV</t>
        </is>
      </c>
      <c r="D121" s="86" t="inlineStr">
        <is>
          <t>Group D Parallel Tests / D-1 Corrosive Gases</t>
        </is>
      </c>
      <c r="E121" s="86" t="inlineStr">
        <is>
          <t>K21</t>
        </is>
      </c>
      <c r="F121" s="86" t="inlineStr">
        <is>
          <t>K21 Corrosive Gases</t>
        </is>
      </c>
      <c r="G121" s="86" t="inlineStr">
        <is>
          <t>33-38</t>
        </is>
      </c>
      <c r="H121" s="86" t="inlineStr">
        <is>
          <t>336 h</t>
        </is>
      </c>
      <c r="I121" s="86" t="inlineStr">
        <is>
          <t>336 h</t>
        </is>
      </c>
      <c r="J121" s="86" t="inlineStr">
        <is>
          <t>按小时</t>
        </is>
      </c>
      <c r="K121" s="86" t="inlineStr">
        <is>
          <t>110/h</t>
        </is>
      </c>
      <c r="L121" s="87" t="n">
        <v>36960</v>
      </c>
      <c r="M121" s="88" t="inlineStr">
        <is>
          <t>336h × 110/h = 36,960</t>
        </is>
      </c>
      <c r="N121" s="86" t="n"/>
      <c r="O121" s="94" t="n"/>
    </row>
    <row r="122" ht="31" customHeight="1" s="4">
      <c r="A122" s="80" t="inlineStr">
        <is>
          <t>Group D-1</t>
        </is>
      </c>
      <c r="B122" s="80" t="n">
        <v>4</v>
      </c>
      <c r="C122" s="80" t="inlineStr">
        <is>
          <t>PV</t>
        </is>
      </c>
      <c r="D122" s="80" t="inlineStr">
        <is>
          <t>Group D Parallel Tests / D-1 Corrosive Gases</t>
        </is>
      </c>
      <c r="E122" s="80" t="inlineStr">
        <is>
          <t>L1&amp;L4</t>
        </is>
      </c>
      <c r="F122" s="80" t="inlineStr">
        <is>
          <t>L1&amp;L4 Performance Evaluation &amp; Functional Evaluation</t>
        </is>
      </c>
      <c r="G122" s="80" t="inlineStr">
        <is>
          <t>33-38</t>
        </is>
      </c>
      <c r="H122" s="80" t="inlineStr">
        <is>
          <t>6 个样品</t>
        </is>
      </c>
      <c r="I122" s="80" t="inlineStr">
        <is>
          <t>48 h</t>
        </is>
      </c>
      <c r="J122" s="80" t="inlineStr">
        <is>
          <t>按样品数量</t>
        </is>
      </c>
      <c r="K122" s="80" t="inlineStr">
        <is>
          <t>400/个</t>
        </is>
      </c>
      <c r="L122" s="81" t="n">
        <v>2400</v>
      </c>
      <c r="M122" s="82" t="inlineStr">
        <is>
          <t>6个 × 400/个 = 2,400</t>
        </is>
      </c>
      <c r="N122" s="80" t="n"/>
    </row>
    <row r="123">
      <c r="A123" s="76" t="inlineStr">
        <is>
          <t>Group D-2：PV / Group D Parallel Tests / D-2 Solar Radiation</t>
        </is>
      </c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3" t="n"/>
    </row>
    <row r="124">
      <c r="A124" s="78" t="inlineStr">
        <is>
          <t>组别顺序</t>
        </is>
      </c>
      <c r="B124" s="78" t="inlineStr">
        <is>
          <t>组内顺序</t>
        </is>
      </c>
      <c r="C124" s="78" t="inlineStr">
        <is>
          <t>Phase</t>
        </is>
      </c>
      <c r="D124" s="78" t="inlineStr">
        <is>
          <t>Group</t>
        </is>
      </c>
      <c r="E124" s="78" t="inlineStr">
        <is>
          <t>测试编号</t>
        </is>
      </c>
      <c r="F124" s="78" t="inlineStr">
        <is>
          <t>测试项目</t>
        </is>
      </c>
      <c r="G124" s="78" t="inlineStr">
        <is>
          <t>样品范围</t>
        </is>
      </c>
      <c r="H124" s="78" t="inlineStr">
        <is>
          <t>计费基数</t>
        </is>
      </c>
      <c r="I124" s="78" t="inlineStr">
        <is>
          <t>测试时间</t>
        </is>
      </c>
      <c r="J124" s="78" t="inlineStr">
        <is>
          <t>计费方式</t>
        </is>
      </c>
      <c r="K124" s="78" t="inlineStr">
        <is>
          <t>单价</t>
        </is>
      </c>
      <c r="L124" s="84" t="inlineStr">
        <is>
          <t>委外费用</t>
        </is>
      </c>
      <c r="M124" s="85" t="inlineStr">
        <is>
          <t>费用计算公式</t>
        </is>
      </c>
      <c r="N124" s="78" t="inlineStr">
        <is>
          <t>备注</t>
        </is>
      </c>
    </row>
    <row r="125" ht="31" customHeight="1" s="4">
      <c r="A125" s="80" t="inlineStr">
        <is>
          <t>Group D-2</t>
        </is>
      </c>
      <c r="B125" s="80" t="n">
        <v>2</v>
      </c>
      <c r="C125" s="80" t="inlineStr">
        <is>
          <t>PV</t>
        </is>
      </c>
      <c r="D125" s="80" t="inlineStr">
        <is>
          <t>Group D Parallel Tests / D-2 Solar Radiation</t>
        </is>
      </c>
      <c r="E125" s="80" t="inlineStr">
        <is>
          <t>L1&amp;L4</t>
        </is>
      </c>
      <c r="F125" s="80" t="inlineStr">
        <is>
          <t>L1&amp;L4 Performance Evaluation &amp; Functional Evaluation</t>
        </is>
      </c>
      <c r="G125" s="80" t="inlineStr">
        <is>
          <t>39-44</t>
        </is>
      </c>
      <c r="H125" s="80" t="inlineStr">
        <is>
          <t>6 个样品</t>
        </is>
      </c>
      <c r="I125" s="80" t="inlineStr">
        <is>
          <t>72 h</t>
        </is>
      </c>
      <c r="J125" s="80" t="inlineStr">
        <is>
          <t>按样品数量</t>
        </is>
      </c>
      <c r="K125" s="80" t="inlineStr">
        <is>
          <t>400/个</t>
        </is>
      </c>
      <c r="L125" s="81" t="n">
        <v>2400</v>
      </c>
      <c r="M125" s="82" t="inlineStr">
        <is>
          <t>6个 × 400/个 = 2,400</t>
        </is>
      </c>
      <c r="N125" s="80" t="n"/>
    </row>
    <row r="126" ht="31" customHeight="1" s="4">
      <c r="A126" s="80" t="inlineStr">
        <is>
          <t>Group D-2</t>
        </is>
      </c>
      <c r="B126" s="80" t="n">
        <v>3</v>
      </c>
      <c r="C126" s="80" t="inlineStr">
        <is>
          <t>PV</t>
        </is>
      </c>
      <c r="D126" s="80" t="inlineStr">
        <is>
          <t>Group D Parallel Tests / D-2 Solar Radiation</t>
        </is>
      </c>
      <c r="E126" s="80" t="inlineStr">
        <is>
          <t>K20</t>
        </is>
      </c>
      <c r="F126" s="80" t="inlineStr">
        <is>
          <t>K20 Solar Radiation</t>
        </is>
      </c>
      <c r="G126" s="80" t="inlineStr">
        <is>
          <t>39-44</t>
        </is>
      </c>
      <c r="H126" s="80" t="inlineStr">
        <is>
          <t>720 h</t>
        </is>
      </c>
      <c r="I126" s="80" t="inlineStr">
        <is>
          <t>720 h</t>
        </is>
      </c>
      <c r="J126" s="80" t="inlineStr">
        <is>
          <t>按小时</t>
        </is>
      </c>
      <c r="K126" s="80" t="inlineStr">
        <is>
          <t>145/h</t>
        </is>
      </c>
      <c r="L126" s="81" t="n">
        <v>104400</v>
      </c>
      <c r="M126" s="82" t="inlineStr">
        <is>
          <t>720h × 145/h = 104,400</t>
        </is>
      </c>
      <c r="N126" s="80" t="n"/>
    </row>
    <row r="127" ht="31" customHeight="1" s="4">
      <c r="A127" s="80" t="inlineStr">
        <is>
          <t>Group D-2</t>
        </is>
      </c>
      <c r="B127" s="80" t="n">
        <v>4</v>
      </c>
      <c r="C127" s="80" t="inlineStr">
        <is>
          <t>PV</t>
        </is>
      </c>
      <c r="D127" s="80" t="inlineStr">
        <is>
          <t>Group D Parallel Tests / D-2 Solar Radiation</t>
        </is>
      </c>
      <c r="E127" s="80" t="inlineStr">
        <is>
          <t>L1&amp;L4</t>
        </is>
      </c>
      <c r="F127" s="80" t="inlineStr">
        <is>
          <t>L1&amp;L4 Performance Evaluation &amp; Functional Evaluation</t>
        </is>
      </c>
      <c r="G127" s="80" t="inlineStr">
        <is>
          <t>39-44</t>
        </is>
      </c>
      <c r="H127" s="80" t="inlineStr">
        <is>
          <t>6 个样品</t>
        </is>
      </c>
      <c r="I127" s="80" t="inlineStr">
        <is>
          <t>48 h</t>
        </is>
      </c>
      <c r="J127" s="80" t="inlineStr">
        <is>
          <t>按样品数量</t>
        </is>
      </c>
      <c r="K127" s="80" t="inlineStr">
        <is>
          <t>400/个</t>
        </is>
      </c>
      <c r="L127" s="81" t="n">
        <v>2400</v>
      </c>
      <c r="M127" s="82" t="inlineStr">
        <is>
          <t>6个 × 400/个 = 2,400</t>
        </is>
      </c>
      <c r="N127" s="80" t="n"/>
    </row>
    <row r="128">
      <c r="A128" s="76" t="inlineStr">
        <is>
          <t>Group D-3：PV / Group D Parallel Tests / D-3 PCBA</t>
        </is>
      </c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3" t="n"/>
    </row>
    <row r="129">
      <c r="A129" s="78" t="inlineStr">
        <is>
          <t>组别顺序</t>
        </is>
      </c>
      <c r="B129" s="78" t="inlineStr">
        <is>
          <t>组内顺序</t>
        </is>
      </c>
      <c r="C129" s="78" t="inlineStr">
        <is>
          <t>Phase</t>
        </is>
      </c>
      <c r="D129" s="78" t="inlineStr">
        <is>
          <t>Group</t>
        </is>
      </c>
      <c r="E129" s="78" t="inlineStr">
        <is>
          <t>测试编号</t>
        </is>
      </c>
      <c r="F129" s="78" t="inlineStr">
        <is>
          <t>测试项目</t>
        </is>
      </c>
      <c r="G129" s="78" t="inlineStr">
        <is>
          <t>样品范围</t>
        </is>
      </c>
      <c r="H129" s="78" t="inlineStr">
        <is>
          <t>计费基数</t>
        </is>
      </c>
      <c r="I129" s="78" t="inlineStr">
        <is>
          <t>测试时间</t>
        </is>
      </c>
      <c r="J129" s="78" t="inlineStr">
        <is>
          <t>计费方式</t>
        </is>
      </c>
      <c r="K129" s="78" t="inlineStr">
        <is>
          <t>单价</t>
        </is>
      </c>
      <c r="L129" s="84" t="inlineStr">
        <is>
          <t>委外费用</t>
        </is>
      </c>
      <c r="M129" s="85" t="inlineStr">
        <is>
          <t>费用计算公式</t>
        </is>
      </c>
      <c r="N129" s="78" t="inlineStr">
        <is>
          <t>备注</t>
        </is>
      </c>
    </row>
    <row r="130" ht="31" customHeight="1" s="4">
      <c r="A130" s="80" t="inlineStr">
        <is>
          <t>Group D-3</t>
        </is>
      </c>
      <c r="B130" s="80" t="n">
        <v>2</v>
      </c>
      <c r="C130" s="80" t="inlineStr">
        <is>
          <t>PV</t>
        </is>
      </c>
      <c r="D130" s="80" t="inlineStr">
        <is>
          <t>Group D Parallel Tests / D-3 PCBA</t>
        </is>
      </c>
      <c r="E130" s="80" t="inlineStr">
        <is>
          <t>L1&amp;L4</t>
        </is>
      </c>
      <c r="F130" s="80" t="inlineStr">
        <is>
          <t>L1&amp;L4 Performance Evaluation &amp; Functional Evaluation</t>
        </is>
      </c>
      <c r="G130" s="80" t="inlineStr">
        <is>
          <t>45-52</t>
        </is>
      </c>
      <c r="H130" s="80" t="inlineStr">
        <is>
          <t>6 个样品</t>
        </is>
      </c>
      <c r="I130" s="80" t="inlineStr">
        <is>
          <t>72 h</t>
        </is>
      </c>
      <c r="J130" s="80" t="inlineStr">
        <is>
          <t>按样品数量</t>
        </is>
      </c>
      <c r="K130" s="80" t="inlineStr">
        <is>
          <t>400/个</t>
        </is>
      </c>
      <c r="L130" s="81" t="n">
        <v>2400</v>
      </c>
      <c r="M130" s="82" t="inlineStr">
        <is>
          <t>6个 × 400/个 = 2,400</t>
        </is>
      </c>
      <c r="N130" s="80" t="n"/>
    </row>
    <row r="131" ht="31" customHeight="1" s="4">
      <c r="A131" s="80" t="inlineStr">
        <is>
          <t>Group D-3</t>
        </is>
      </c>
      <c r="B131" s="80" t="n">
        <v>3</v>
      </c>
      <c r="C131" s="80" t="inlineStr">
        <is>
          <t>PV</t>
        </is>
      </c>
      <c r="D131" s="80" t="inlineStr">
        <is>
          <t>Group D Parallel Tests / D-3 PCBA</t>
        </is>
      </c>
      <c r="E131" s="80" t="inlineStr">
        <is>
          <t>K23</t>
        </is>
      </c>
      <c r="F131" s="80" t="inlineStr">
        <is>
          <t>K23 Thermal Shock Endurance</t>
        </is>
      </c>
      <c r="G131" s="80" t="inlineStr">
        <is>
          <t>45-52</t>
        </is>
      </c>
      <c r="H131" s="80" t="inlineStr">
        <is>
          <t>1017 h</t>
        </is>
      </c>
      <c r="I131" s="80" t="inlineStr">
        <is>
          <t>1017 h</t>
        </is>
      </c>
      <c r="J131" s="80" t="inlineStr">
        <is>
          <t>按小时</t>
        </is>
      </c>
      <c r="K131" s="80" t="inlineStr">
        <is>
          <t>40/h</t>
        </is>
      </c>
      <c r="L131" s="81" t="n">
        <v>40680</v>
      </c>
      <c r="M131" s="82" t="inlineStr">
        <is>
          <t>1,017h × 40/h = 40,680</t>
        </is>
      </c>
      <c r="N131" s="80" t="n"/>
    </row>
    <row r="132" ht="31" customHeight="1" s="4">
      <c r="A132" s="80" t="inlineStr">
        <is>
          <t>Group D-3</t>
        </is>
      </c>
      <c r="B132" s="80" t="n">
        <v>4</v>
      </c>
      <c r="C132" s="80" t="inlineStr">
        <is>
          <t>PV</t>
        </is>
      </c>
      <c r="D132" s="80" t="inlineStr">
        <is>
          <t>Group D Parallel Tests / D-3 PCBA</t>
        </is>
      </c>
      <c r="E132" s="80" t="inlineStr">
        <is>
          <t>L1&amp;L4</t>
        </is>
      </c>
      <c r="F132" s="80" t="inlineStr">
        <is>
          <t>L1&amp;L4 Performance Evaluation &amp; Functional Evaluation</t>
        </is>
      </c>
      <c r="G132" s="80" t="inlineStr">
        <is>
          <t>45-52</t>
        </is>
      </c>
      <c r="H132" s="80" t="inlineStr">
        <is>
          <t>6 个样品</t>
        </is>
      </c>
      <c r="I132" s="80" t="inlineStr">
        <is>
          <t>48 h</t>
        </is>
      </c>
      <c r="J132" s="80" t="inlineStr">
        <is>
          <t>按样品数量</t>
        </is>
      </c>
      <c r="K132" s="80" t="inlineStr">
        <is>
          <t>400/个</t>
        </is>
      </c>
      <c r="L132" s="81" t="n">
        <v>2400</v>
      </c>
      <c r="M132" s="82" t="inlineStr">
        <is>
          <t>6个 × 400/个 = 2,400</t>
        </is>
      </c>
      <c r="N132" s="80" t="n"/>
    </row>
    <row r="133" ht="46" customHeight="1" s="4">
      <c r="A133" s="80" t="inlineStr">
        <is>
          <t>Group D-3</t>
        </is>
      </c>
      <c r="B133" s="80" t="n">
        <v>6</v>
      </c>
      <c r="C133" s="80" t="inlineStr">
        <is>
          <t>PV</t>
        </is>
      </c>
      <c r="D133" s="80" t="inlineStr">
        <is>
          <t>Group D Parallel Tests / D-3 PCBA</t>
        </is>
      </c>
      <c r="E133" s="80" t="inlineStr">
        <is>
          <t>L6-SEM&amp;SECTION</t>
        </is>
      </c>
      <c r="F133" s="80" t="inlineStr">
        <is>
          <t>L6-SEM&amp;SECTION</t>
        </is>
      </c>
      <c r="G133" s="80" t="inlineStr">
        <is>
          <t>45-52</t>
        </is>
      </c>
      <c r="H133" s="80" t="inlineStr">
        <is>
          <t>33 个点位</t>
        </is>
      </c>
      <c r="I133" s="80" t="inlineStr">
        <is>
          <t>480 h</t>
        </is>
      </c>
      <c r="J133" s="80" t="inlineStr">
        <is>
          <t>按样品数量</t>
        </is>
      </c>
      <c r="K133" s="80" t="inlineStr">
        <is>
          <t>650/个</t>
        </is>
      </c>
      <c r="L133" s="81" t="n">
        <v>21450</v>
      </c>
      <c r="M133" s="82" t="inlineStr">
        <is>
          <t>33个 × 650/个 = 21,450</t>
        </is>
      </c>
      <c r="N133" s="80" t="inlineStr">
        <is>
          <t>L6-SEM&amp;SECTION 委外组合报价：SEM &amp; Sectioning 按 33 个测试点位采用当前实验室总价</t>
        </is>
      </c>
    </row>
    <row r="134">
      <c r="A134" s="76" t="inlineStr">
        <is>
          <t>Group D-4：PV / Group D Parallel Tests / D-4 Dewing Test PCBA</t>
        </is>
      </c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3" t="n"/>
    </row>
    <row r="135">
      <c r="A135" s="78" t="inlineStr">
        <is>
          <t>组别顺序</t>
        </is>
      </c>
      <c r="B135" s="78" t="inlineStr">
        <is>
          <t>组内顺序</t>
        </is>
      </c>
      <c r="C135" s="78" t="inlineStr">
        <is>
          <t>Phase</t>
        </is>
      </c>
      <c r="D135" s="78" t="inlineStr">
        <is>
          <t>Group</t>
        </is>
      </c>
      <c r="E135" s="78" t="inlineStr">
        <is>
          <t>测试编号</t>
        </is>
      </c>
      <c r="F135" s="78" t="inlineStr">
        <is>
          <t>测试项目</t>
        </is>
      </c>
      <c r="G135" s="78" t="inlineStr">
        <is>
          <t>样品范围</t>
        </is>
      </c>
      <c r="H135" s="78" t="inlineStr">
        <is>
          <t>计费基数</t>
        </is>
      </c>
      <c r="I135" s="78" t="inlineStr">
        <is>
          <t>测试时间</t>
        </is>
      </c>
      <c r="J135" s="78" t="inlineStr">
        <is>
          <t>计费方式</t>
        </is>
      </c>
      <c r="K135" s="78" t="inlineStr">
        <is>
          <t>单价</t>
        </is>
      </c>
      <c r="L135" s="84" t="inlineStr">
        <is>
          <t>委外费用</t>
        </is>
      </c>
      <c r="M135" s="85" t="inlineStr">
        <is>
          <t>费用计算公式</t>
        </is>
      </c>
      <c r="N135" s="78" t="inlineStr">
        <is>
          <t>备注</t>
        </is>
      </c>
    </row>
    <row r="136" ht="31" customHeight="1" s="4">
      <c r="A136" s="80" t="inlineStr">
        <is>
          <t>Group D-4</t>
        </is>
      </c>
      <c r="B136" s="80" t="n">
        <v>2</v>
      </c>
      <c r="C136" s="80" t="inlineStr">
        <is>
          <t>PV</t>
        </is>
      </c>
      <c r="D136" s="80" t="inlineStr">
        <is>
          <t>Group D Parallel Tests / D-4 Dewing Test</t>
        </is>
      </c>
      <c r="E136" s="80" t="inlineStr">
        <is>
          <t>L1&amp;L4</t>
        </is>
      </c>
      <c r="F136" s="80" t="inlineStr">
        <is>
          <t>L1&amp;L4 Performance Evaluation &amp; Functional Evaluation</t>
        </is>
      </c>
      <c r="G136" s="80" t="inlineStr">
        <is>
          <t>53-58</t>
        </is>
      </c>
      <c r="H136" s="80" t="inlineStr">
        <is>
          <t>6 个样品</t>
        </is>
      </c>
      <c r="I136" s="80" t="inlineStr">
        <is>
          <t>72 h</t>
        </is>
      </c>
      <c r="J136" s="80" t="inlineStr">
        <is>
          <t>按样品数量</t>
        </is>
      </c>
      <c r="K136" s="80" t="inlineStr">
        <is>
          <t>400/个</t>
        </is>
      </c>
      <c r="L136" s="81" t="n">
        <v>2400</v>
      </c>
      <c r="M136" s="82" t="inlineStr">
        <is>
          <t>6个 × 400/个 = 2,400</t>
        </is>
      </c>
      <c r="N136" s="80" t="n"/>
    </row>
    <row r="137" ht="31" customHeight="1" s="4">
      <c r="A137" s="80" t="inlineStr">
        <is>
          <t>Group D-4</t>
        </is>
      </c>
      <c r="B137" s="80" t="n">
        <v>3</v>
      </c>
      <c r="C137" s="80" t="inlineStr">
        <is>
          <t>PV</t>
        </is>
      </c>
      <c r="D137" s="80" t="inlineStr">
        <is>
          <t>Group D Parallel Tests / D-4 Dewing Test</t>
        </is>
      </c>
      <c r="E137" s="80" t="inlineStr">
        <is>
          <t>K8</t>
        </is>
      </c>
      <c r="F137" s="80" t="inlineStr">
        <is>
          <t>K8 Dewing Test</t>
        </is>
      </c>
      <c r="G137" s="80" t="inlineStr">
        <is>
          <t>53-58</t>
        </is>
      </c>
      <c r="H137" s="80" t="inlineStr">
        <is>
          <t>1 批</t>
        </is>
      </c>
      <c r="I137" s="80" t="inlineStr">
        <is>
          <t>48 h</t>
        </is>
      </c>
      <c r="J137" s="80" t="inlineStr">
        <is>
          <t>按批次</t>
        </is>
      </c>
      <c r="K137" s="80" t="inlineStr">
        <is>
          <t>4,100/批</t>
        </is>
      </c>
      <c r="L137" s="81" t="n">
        <v>4100</v>
      </c>
      <c r="M137" s="82" t="inlineStr">
        <is>
          <t>1批 × 4,100/批 = 4,100</t>
        </is>
      </c>
      <c r="N137" s="80" t="n"/>
    </row>
    <row r="138" ht="31" customHeight="1" s="4">
      <c r="A138" s="80" t="inlineStr">
        <is>
          <t>Group D-4</t>
        </is>
      </c>
      <c r="B138" s="80" t="n">
        <v>4</v>
      </c>
      <c r="C138" s="80" t="inlineStr">
        <is>
          <t>PV</t>
        </is>
      </c>
      <c r="D138" s="80" t="inlineStr">
        <is>
          <t>Group D Parallel Tests / D-4 Dewing Test</t>
        </is>
      </c>
      <c r="E138" s="80" t="inlineStr">
        <is>
          <t>L1&amp;L4</t>
        </is>
      </c>
      <c r="F138" s="80" t="inlineStr">
        <is>
          <t>L1&amp;L4 Performance Evaluation &amp; Functional Evaluation</t>
        </is>
      </c>
      <c r="G138" s="80" t="inlineStr">
        <is>
          <t>53-58</t>
        </is>
      </c>
      <c r="H138" s="80" t="inlineStr">
        <is>
          <t>6 个样品</t>
        </is>
      </c>
      <c r="I138" s="80" t="inlineStr">
        <is>
          <t>48 h</t>
        </is>
      </c>
      <c r="J138" s="80" t="inlineStr">
        <is>
          <t>按样品数量</t>
        </is>
      </c>
      <c r="K138" s="80" t="inlineStr">
        <is>
          <t>400/个</t>
        </is>
      </c>
      <c r="L138" s="81" t="n">
        <v>2400</v>
      </c>
      <c r="M138" s="82" t="inlineStr">
        <is>
          <t>6个 × 400/个 = 2,400</t>
        </is>
      </c>
      <c r="N138" s="80" t="n"/>
    </row>
    <row r="139">
      <c r="A139" s="76" t="inlineStr">
        <is>
          <t>Group D-5：PV / Group D Parallel Tests / D-5 Life Test-1</t>
        </is>
      </c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3" t="n"/>
    </row>
    <row r="140">
      <c r="A140" s="78" t="inlineStr">
        <is>
          <t>组别顺序</t>
        </is>
      </c>
      <c r="B140" s="78" t="inlineStr">
        <is>
          <t>组内顺序</t>
        </is>
      </c>
      <c r="C140" s="78" t="inlineStr">
        <is>
          <t>Phase</t>
        </is>
      </c>
      <c r="D140" s="78" t="inlineStr">
        <is>
          <t>Group</t>
        </is>
      </c>
      <c r="E140" s="78" t="inlineStr">
        <is>
          <t>测试编号</t>
        </is>
      </c>
      <c r="F140" s="78" t="inlineStr">
        <is>
          <t>测试项目</t>
        </is>
      </c>
      <c r="G140" s="78" t="inlineStr">
        <is>
          <t>样品范围</t>
        </is>
      </c>
      <c r="H140" s="78" t="inlineStr">
        <is>
          <t>计费基数</t>
        </is>
      </c>
      <c r="I140" s="78" t="inlineStr">
        <is>
          <t>测试时间</t>
        </is>
      </c>
      <c r="J140" s="78" t="inlineStr">
        <is>
          <t>计费方式</t>
        </is>
      </c>
      <c r="K140" s="78" t="inlineStr">
        <is>
          <t>单价</t>
        </is>
      </c>
      <c r="L140" s="84" t="inlineStr">
        <is>
          <t>委外费用</t>
        </is>
      </c>
      <c r="M140" s="85" t="inlineStr">
        <is>
          <t>费用计算公式</t>
        </is>
      </c>
      <c r="N140" s="78" t="inlineStr">
        <is>
          <t>备注</t>
        </is>
      </c>
    </row>
    <row r="141" ht="31" customHeight="1" s="4">
      <c r="A141" s="80" t="inlineStr">
        <is>
          <t>Group D-5</t>
        </is>
      </c>
      <c r="B141" s="80" t="n">
        <v>2</v>
      </c>
      <c r="C141" s="80" t="inlineStr">
        <is>
          <t>PV</t>
        </is>
      </c>
      <c r="D141" s="80" t="inlineStr">
        <is>
          <t>Group D Parallel Tests / D-5 Life Test-1</t>
        </is>
      </c>
      <c r="E141" s="80" t="inlineStr">
        <is>
          <t>L1&amp;L4</t>
        </is>
      </c>
      <c r="F141" s="80" t="inlineStr">
        <is>
          <t>L1&amp;L4 Performance Evaluation &amp; Functional Evaluation</t>
        </is>
      </c>
      <c r="G141" s="80" t="inlineStr">
        <is>
          <t>59-64</t>
        </is>
      </c>
      <c r="H141" s="80" t="inlineStr">
        <is>
          <t>6 个样品</t>
        </is>
      </c>
      <c r="I141" s="80" t="inlineStr">
        <is>
          <t>72 h</t>
        </is>
      </c>
      <c r="J141" s="80" t="inlineStr">
        <is>
          <t>按样品数量</t>
        </is>
      </c>
      <c r="K141" s="80" t="inlineStr">
        <is>
          <t>400/个</t>
        </is>
      </c>
      <c r="L141" s="81" t="n">
        <v>2400</v>
      </c>
      <c r="M141" s="82" t="inlineStr">
        <is>
          <t>6个 × 400/个 = 2,400</t>
        </is>
      </c>
      <c r="N141" s="80" t="n"/>
    </row>
    <row r="142" ht="31" customHeight="1" s="4">
      <c r="A142" s="80" t="inlineStr">
        <is>
          <t>Group D-5</t>
        </is>
      </c>
      <c r="B142" s="80" t="n">
        <v>3</v>
      </c>
      <c r="C142" s="80" t="inlineStr">
        <is>
          <t>PV</t>
        </is>
      </c>
      <c r="D142" s="80" t="inlineStr">
        <is>
          <t>Group D Parallel Tests / D-5 Life Test-1</t>
        </is>
      </c>
      <c r="E142" s="80" t="inlineStr">
        <is>
          <t>K24</t>
        </is>
      </c>
      <c r="F142" s="80" t="inlineStr">
        <is>
          <t>K24 High Temperature Endurance</t>
        </is>
      </c>
      <c r="G142" s="80" t="inlineStr">
        <is>
          <t>59-64</t>
        </is>
      </c>
      <c r="H142" s="80" t="inlineStr">
        <is>
          <t>1000 h</t>
        </is>
      </c>
      <c r="I142" s="80" t="inlineStr">
        <is>
          <t>1000 h</t>
        </is>
      </c>
      <c r="J142" s="80" t="inlineStr">
        <is>
          <t>按小时</t>
        </is>
      </c>
      <c r="K142" s="80" t="inlineStr">
        <is>
          <t>23/h</t>
        </is>
      </c>
      <c r="L142" s="81" t="n">
        <v>23000</v>
      </c>
      <c r="M142" s="82" t="inlineStr">
        <is>
          <t>1,000h × 23/h = 23,000</t>
        </is>
      </c>
      <c r="N142" s="80" t="n"/>
    </row>
    <row r="143" ht="31" customHeight="1" s="4">
      <c r="A143" s="80" t="inlineStr">
        <is>
          <t>Group D-5</t>
        </is>
      </c>
      <c r="B143" s="80" t="n">
        <v>4</v>
      </c>
      <c r="C143" s="80" t="inlineStr">
        <is>
          <t>PV</t>
        </is>
      </c>
      <c r="D143" s="80" t="inlineStr">
        <is>
          <t>Group D Parallel Tests / D-5 Life Test-1</t>
        </is>
      </c>
      <c r="E143" s="80" t="inlineStr">
        <is>
          <t>L1&amp;L4</t>
        </is>
      </c>
      <c r="F143" s="80" t="inlineStr">
        <is>
          <t>L1&amp;L4 Performance Evaluation &amp; Functional Evaluation</t>
        </is>
      </c>
      <c r="G143" s="80" t="inlineStr">
        <is>
          <t>59-64</t>
        </is>
      </c>
      <c r="H143" s="80" t="inlineStr">
        <is>
          <t>6 个样品</t>
        </is>
      </c>
      <c r="I143" s="80" t="inlineStr">
        <is>
          <t>48 h</t>
        </is>
      </c>
      <c r="J143" s="80" t="inlineStr">
        <is>
          <t>按样品数量</t>
        </is>
      </c>
      <c r="K143" s="80" t="inlineStr">
        <is>
          <t>400/个</t>
        </is>
      </c>
      <c r="L143" s="81" t="n">
        <v>2400</v>
      </c>
      <c r="M143" s="82" t="inlineStr">
        <is>
          <t>6个 × 400/个 = 2,400</t>
        </is>
      </c>
      <c r="N143" s="80" t="n"/>
    </row>
    <row r="144">
      <c r="A144" s="76" t="inlineStr">
        <is>
          <t>Group D-6：PV / Group D Parallel Tests / D-6 Life Test-2-1</t>
        </is>
      </c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3" t="n"/>
    </row>
    <row r="145">
      <c r="A145" s="78" t="inlineStr">
        <is>
          <t>组别顺序</t>
        </is>
      </c>
      <c r="B145" s="78" t="inlineStr">
        <is>
          <t>组内顺序</t>
        </is>
      </c>
      <c r="C145" s="78" t="inlineStr">
        <is>
          <t>Phase</t>
        </is>
      </c>
      <c r="D145" s="78" t="inlineStr">
        <is>
          <t>Group</t>
        </is>
      </c>
      <c r="E145" s="78" t="inlineStr">
        <is>
          <t>测试编号</t>
        </is>
      </c>
      <c r="F145" s="78" t="inlineStr">
        <is>
          <t>测试项目</t>
        </is>
      </c>
      <c r="G145" s="78" t="inlineStr">
        <is>
          <t>样品范围</t>
        </is>
      </c>
      <c r="H145" s="78" t="inlineStr">
        <is>
          <t>计费基数</t>
        </is>
      </c>
      <c r="I145" s="78" t="inlineStr">
        <is>
          <t>测试时间</t>
        </is>
      </c>
      <c r="J145" s="78" t="inlineStr">
        <is>
          <t>计费方式</t>
        </is>
      </c>
      <c r="K145" s="78" t="inlineStr">
        <is>
          <t>单价</t>
        </is>
      </c>
      <c r="L145" s="84" t="inlineStr">
        <is>
          <t>委外费用</t>
        </is>
      </c>
      <c r="M145" s="85" t="inlineStr">
        <is>
          <t>费用计算公式</t>
        </is>
      </c>
      <c r="N145" s="78" t="inlineStr">
        <is>
          <t>备注</t>
        </is>
      </c>
    </row>
    <row r="146" ht="31" customHeight="1" s="4">
      <c r="A146" s="80" t="inlineStr">
        <is>
          <t>Group D-6</t>
        </is>
      </c>
      <c r="B146" s="80" t="n">
        <v>2</v>
      </c>
      <c r="C146" s="80" t="inlineStr">
        <is>
          <t>PV</t>
        </is>
      </c>
      <c r="D146" s="80" t="inlineStr">
        <is>
          <t>Group D Parallel Tests / D-6 Life Test-2-1</t>
        </is>
      </c>
      <c r="E146" s="80" t="inlineStr">
        <is>
          <t>L1&amp;L4</t>
        </is>
      </c>
      <c r="F146" s="80" t="inlineStr">
        <is>
          <t>L1&amp;L4 Performance Evaluation &amp; Functional Evaluation</t>
        </is>
      </c>
      <c r="G146" s="80" t="inlineStr">
        <is>
          <t>65-70</t>
        </is>
      </c>
      <c r="H146" s="80" t="inlineStr">
        <is>
          <t>6 个样品</t>
        </is>
      </c>
      <c r="I146" s="80" t="inlineStr">
        <is>
          <t>72 h</t>
        </is>
      </c>
      <c r="J146" s="80" t="inlineStr">
        <is>
          <t>按样品数量</t>
        </is>
      </c>
      <c r="K146" s="80" t="inlineStr">
        <is>
          <t>400/个</t>
        </is>
      </c>
      <c r="L146" s="81" t="n">
        <v>2400</v>
      </c>
      <c r="M146" s="82" t="inlineStr">
        <is>
          <t>6个 × 400/个 = 2,400</t>
        </is>
      </c>
      <c r="N146" s="80" t="n"/>
    </row>
    <row r="147" ht="31" customHeight="1" s="4">
      <c r="A147" s="80" t="inlineStr">
        <is>
          <t>Group D-6</t>
        </is>
      </c>
      <c r="B147" s="80" t="n">
        <v>3</v>
      </c>
      <c r="C147" s="80" t="inlineStr">
        <is>
          <t>PV</t>
        </is>
      </c>
      <c r="D147" s="80" t="inlineStr">
        <is>
          <t>Group D Parallel Tests / D-6 Life Test-2-1</t>
        </is>
      </c>
      <c r="E147" s="80" t="inlineStr">
        <is>
          <t>K27</t>
        </is>
      </c>
      <c r="F147" s="80" t="inlineStr">
        <is>
          <t>K27 85/85 High Temperature -High Humidity Endurance</t>
        </is>
      </c>
      <c r="G147" s="80" t="inlineStr">
        <is>
          <t>65-70</t>
        </is>
      </c>
      <c r="H147" s="80" t="inlineStr">
        <is>
          <t>1000 h</t>
        </is>
      </c>
      <c r="I147" s="80" t="inlineStr">
        <is>
          <t>1000 h</t>
        </is>
      </c>
      <c r="J147" s="80" t="inlineStr">
        <is>
          <t>按小时</t>
        </is>
      </c>
      <c r="K147" s="80" t="inlineStr">
        <is>
          <t>23/h</t>
        </is>
      </c>
      <c r="L147" s="81" t="n">
        <v>23000</v>
      </c>
      <c r="M147" s="82" t="inlineStr">
        <is>
          <t>1,000h × 23/h = 23,000</t>
        </is>
      </c>
      <c r="N147" s="80" t="n"/>
    </row>
    <row r="148" ht="31" customHeight="1" s="4">
      <c r="A148" s="80" t="inlineStr">
        <is>
          <t>Group D-6</t>
        </is>
      </c>
      <c r="B148" s="80" t="n">
        <v>4</v>
      </c>
      <c r="C148" s="80" t="inlineStr">
        <is>
          <t>PV</t>
        </is>
      </c>
      <c r="D148" s="80" t="inlineStr">
        <is>
          <t>Group D Parallel Tests / D-6 Life Test-2-1</t>
        </is>
      </c>
      <c r="E148" s="80" t="inlineStr">
        <is>
          <t>L1&amp;L4</t>
        </is>
      </c>
      <c r="F148" s="80" t="inlineStr">
        <is>
          <t>L1&amp;L4 Performance Evaluation &amp; Functional Evaluation</t>
        </is>
      </c>
      <c r="G148" s="80" t="inlineStr">
        <is>
          <t>65-70</t>
        </is>
      </c>
      <c r="H148" s="80" t="inlineStr">
        <is>
          <t>6 个样品</t>
        </is>
      </c>
      <c r="I148" s="80" t="inlineStr">
        <is>
          <t>48 h</t>
        </is>
      </c>
      <c r="J148" s="80" t="inlineStr">
        <is>
          <t>按样品数量</t>
        </is>
      </c>
      <c r="K148" s="80" t="inlineStr">
        <is>
          <t>400/个</t>
        </is>
      </c>
      <c r="L148" s="81" t="n">
        <v>2400</v>
      </c>
      <c r="M148" s="82" t="inlineStr">
        <is>
          <t>6个 × 400/个 = 2,400</t>
        </is>
      </c>
      <c r="N148" s="80" t="n"/>
    </row>
    <row r="149">
      <c r="A149" s="76" t="inlineStr">
        <is>
          <t>Group D-7：PV / Group D Parallel Tests / D-7 Life Test-2-2</t>
        </is>
      </c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3" t="n"/>
    </row>
    <row r="150">
      <c r="A150" s="78" t="inlineStr">
        <is>
          <t>组别顺序</t>
        </is>
      </c>
      <c r="B150" s="78" t="inlineStr">
        <is>
          <t>组内顺序</t>
        </is>
      </c>
      <c r="C150" s="78" t="inlineStr">
        <is>
          <t>Phase</t>
        </is>
      </c>
      <c r="D150" s="78" t="inlineStr">
        <is>
          <t>Group</t>
        </is>
      </c>
      <c r="E150" s="78" t="inlineStr">
        <is>
          <t>测试编号</t>
        </is>
      </c>
      <c r="F150" s="78" t="inlineStr">
        <is>
          <t>测试项目</t>
        </is>
      </c>
      <c r="G150" s="78" t="inlineStr">
        <is>
          <t>样品范围</t>
        </is>
      </c>
      <c r="H150" s="78" t="inlineStr">
        <is>
          <t>计费基数</t>
        </is>
      </c>
      <c r="I150" s="78" t="inlineStr">
        <is>
          <t>测试时间</t>
        </is>
      </c>
      <c r="J150" s="78" t="inlineStr">
        <is>
          <t>计费方式</t>
        </is>
      </c>
      <c r="K150" s="78" t="inlineStr">
        <is>
          <t>单价</t>
        </is>
      </c>
      <c r="L150" s="84" t="inlineStr">
        <is>
          <t>委外费用</t>
        </is>
      </c>
      <c r="M150" s="85" t="inlineStr">
        <is>
          <t>费用计算公式</t>
        </is>
      </c>
      <c r="N150" s="78" t="inlineStr">
        <is>
          <t>备注</t>
        </is>
      </c>
    </row>
    <row r="151" ht="31" customHeight="1" s="4">
      <c r="A151" s="80" t="inlineStr">
        <is>
          <t>Group D-7</t>
        </is>
      </c>
      <c r="B151" s="80" t="n">
        <v>2</v>
      </c>
      <c r="C151" s="80" t="inlineStr">
        <is>
          <t>PV</t>
        </is>
      </c>
      <c r="D151" s="80" t="inlineStr">
        <is>
          <t>Group D Parallel Tests / D-7 Life Test-2-2</t>
        </is>
      </c>
      <c r="E151" s="80" t="inlineStr">
        <is>
          <t>L1&amp;L4</t>
        </is>
      </c>
      <c r="F151" s="80" t="inlineStr">
        <is>
          <t>L1&amp;L4 Performance Evaluation &amp; Functional Evaluation</t>
        </is>
      </c>
      <c r="G151" s="80" t="inlineStr">
        <is>
          <t>71-76</t>
        </is>
      </c>
      <c r="H151" s="80" t="inlineStr">
        <is>
          <t>6 个样品</t>
        </is>
      </c>
      <c r="I151" s="80" t="inlineStr">
        <is>
          <t>72 h</t>
        </is>
      </c>
      <c r="J151" s="80" t="inlineStr">
        <is>
          <t>按样品数量</t>
        </is>
      </c>
      <c r="K151" s="80" t="inlineStr">
        <is>
          <t>400/个</t>
        </is>
      </c>
      <c r="L151" s="81" t="n">
        <v>2400</v>
      </c>
      <c r="M151" s="82" t="inlineStr">
        <is>
          <t>6个 × 400/个 = 2,400</t>
        </is>
      </c>
      <c r="N151" s="80" t="n"/>
    </row>
    <row r="152" ht="31" customHeight="1" s="4">
      <c r="A152" s="80" t="inlineStr">
        <is>
          <t>Group D-7</t>
        </is>
      </c>
      <c r="B152" s="80" t="n">
        <v>3</v>
      </c>
      <c r="C152" s="80" t="inlineStr">
        <is>
          <t>PV</t>
        </is>
      </c>
      <c r="D152" s="80" t="inlineStr">
        <is>
          <t>Group D Parallel Tests / D-7 Life Test-2-2</t>
        </is>
      </c>
      <c r="E152" s="80" t="inlineStr">
        <is>
          <t>K27</t>
        </is>
      </c>
      <c r="F152" s="80" t="inlineStr">
        <is>
          <t>K27 60/95 High Temperature -High Humidity Endurance</t>
        </is>
      </c>
      <c r="G152" s="80" t="inlineStr">
        <is>
          <t>71-76</t>
        </is>
      </c>
      <c r="H152" s="80" t="inlineStr">
        <is>
          <t>1100 h</t>
        </is>
      </c>
      <c r="I152" s="80" t="inlineStr">
        <is>
          <t>1100 h</t>
        </is>
      </c>
      <c r="J152" s="80" t="inlineStr">
        <is>
          <t>按小时</t>
        </is>
      </c>
      <c r="K152" s="80" t="inlineStr">
        <is>
          <t>23/h</t>
        </is>
      </c>
      <c r="L152" s="81" t="n">
        <v>25300</v>
      </c>
      <c r="M152" s="82" t="inlineStr">
        <is>
          <t>1,100h × 23/h = 25,300</t>
        </is>
      </c>
      <c r="N152" s="80" t="n"/>
    </row>
    <row r="153" ht="31" customHeight="1" s="4">
      <c r="A153" s="80" t="inlineStr">
        <is>
          <t>Group D-7</t>
        </is>
      </c>
      <c r="B153" s="80" t="n">
        <v>4</v>
      </c>
      <c r="C153" s="80" t="inlineStr">
        <is>
          <t>PV</t>
        </is>
      </c>
      <c r="D153" s="80" t="inlineStr">
        <is>
          <t>Group D Parallel Tests / D-7 Life Test-2-2</t>
        </is>
      </c>
      <c r="E153" s="80" t="inlineStr">
        <is>
          <t>L1&amp;L4</t>
        </is>
      </c>
      <c r="F153" s="80" t="inlineStr">
        <is>
          <t>L1&amp;L4 Performance Evaluation &amp; Functional Evaluation</t>
        </is>
      </c>
      <c r="G153" s="80" t="inlineStr">
        <is>
          <t>71-76</t>
        </is>
      </c>
      <c r="H153" s="80" t="inlineStr">
        <is>
          <t>6 个样品</t>
        </is>
      </c>
      <c r="I153" s="80" t="inlineStr">
        <is>
          <t>48 h</t>
        </is>
      </c>
      <c r="J153" s="80" t="inlineStr">
        <is>
          <t>按样品数量</t>
        </is>
      </c>
      <c r="K153" s="80" t="inlineStr">
        <is>
          <t>400/个</t>
        </is>
      </c>
      <c r="L153" s="81" t="n">
        <v>2400</v>
      </c>
      <c r="M153" s="82" t="inlineStr">
        <is>
          <t>6个 × 400/个 = 2,400</t>
        </is>
      </c>
      <c r="N153" s="80" t="n"/>
    </row>
    <row r="154">
      <c r="A154" s="76" t="inlineStr">
        <is>
          <t>Group D-8：PV / Group D Parallel Tests / D-8</t>
        </is>
      </c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3" t="n"/>
    </row>
    <row r="155">
      <c r="A155" s="78" t="inlineStr">
        <is>
          <t>组别顺序</t>
        </is>
      </c>
      <c r="B155" s="78" t="inlineStr">
        <is>
          <t>组内顺序</t>
        </is>
      </c>
      <c r="C155" s="78" t="inlineStr">
        <is>
          <t>Phase</t>
        </is>
      </c>
      <c r="D155" s="78" t="inlineStr">
        <is>
          <t>Group</t>
        </is>
      </c>
      <c r="E155" s="78" t="inlineStr">
        <is>
          <t>测试编号</t>
        </is>
      </c>
      <c r="F155" s="78" t="inlineStr">
        <is>
          <t>测试项目</t>
        </is>
      </c>
      <c r="G155" s="78" t="inlineStr">
        <is>
          <t>样品范围</t>
        </is>
      </c>
      <c r="H155" s="78" t="inlineStr">
        <is>
          <t>计费基数</t>
        </is>
      </c>
      <c r="I155" s="78" t="inlineStr">
        <is>
          <t>测试时间</t>
        </is>
      </c>
      <c r="J155" s="78" t="inlineStr">
        <is>
          <t>计费方式</t>
        </is>
      </c>
      <c r="K155" s="78" t="inlineStr">
        <is>
          <t>单价</t>
        </is>
      </c>
      <c r="L155" s="84" t="inlineStr">
        <is>
          <t>委外费用</t>
        </is>
      </c>
      <c r="M155" s="85" t="inlineStr">
        <is>
          <t>费用计算公式</t>
        </is>
      </c>
      <c r="N155" s="78" t="inlineStr">
        <is>
          <t>备注</t>
        </is>
      </c>
    </row>
    <row r="156" ht="31" customHeight="1" s="4">
      <c r="A156" s="80" t="inlineStr">
        <is>
          <t>Group D-8</t>
        </is>
      </c>
      <c r="B156" s="80" t="n">
        <v>2</v>
      </c>
      <c r="C156" s="80" t="inlineStr">
        <is>
          <t>PV</t>
        </is>
      </c>
      <c r="D156" s="80" t="inlineStr">
        <is>
          <t>Group D Parallel Tests / D-8</t>
        </is>
      </c>
      <c r="E156" s="80" t="inlineStr">
        <is>
          <t>L1&amp;L4</t>
        </is>
      </c>
      <c r="F156" s="80" t="inlineStr">
        <is>
          <t>L1&amp;L4 Performance Evaluation &amp; Functional Evaluation</t>
        </is>
      </c>
      <c r="G156" s="80" t="inlineStr">
        <is>
          <t>77-91</t>
        </is>
      </c>
      <c r="H156" s="80" t="inlineStr">
        <is>
          <t>15 个样品</t>
        </is>
      </c>
      <c r="I156" s="80" t="inlineStr">
        <is>
          <t>72 h</t>
        </is>
      </c>
      <c r="J156" s="80" t="inlineStr">
        <is>
          <t>按样品数量</t>
        </is>
      </c>
      <c r="K156" s="80" t="inlineStr">
        <is>
          <t>400/个</t>
        </is>
      </c>
      <c r="L156" s="81" t="n">
        <v>6000</v>
      </c>
      <c r="M156" s="82" t="inlineStr">
        <is>
          <t>15个 × 400/个 = 6,000</t>
        </is>
      </c>
      <c r="N156" s="80" t="n"/>
    </row>
    <row r="157">
      <c r="A157" s="86" t="inlineStr">
        <is>
          <t>Group D-8</t>
        </is>
      </c>
      <c r="B157" s="86" t="n">
        <v>3</v>
      </c>
      <c r="C157" s="86" t="inlineStr">
        <is>
          <t>PV</t>
        </is>
      </c>
      <c r="D157" s="86" t="inlineStr">
        <is>
          <t>Group D Parallel Tests / D-8</t>
        </is>
      </c>
      <c r="E157" s="86" t="inlineStr">
        <is>
          <t>K28</t>
        </is>
      </c>
      <c r="F157" s="86" t="inlineStr">
        <is>
          <t>K28 HALT Cold</t>
        </is>
      </c>
      <c r="G157" s="86" t="inlineStr">
        <is>
          <t>77-91</t>
        </is>
      </c>
      <c r="H157" s="86" t="inlineStr">
        <is>
          <t>8 h</t>
        </is>
      </c>
      <c r="I157" s="86" t="inlineStr">
        <is>
          <t>8 h</t>
        </is>
      </c>
      <c r="J157" s="86" t="inlineStr">
        <is>
          <t>按小时</t>
        </is>
      </c>
      <c r="K157" s="86" t="inlineStr">
        <is>
          <t>800/h</t>
        </is>
      </c>
      <c r="L157" s="87" t="n">
        <v>6400</v>
      </c>
      <c r="M157" s="88" t="inlineStr">
        <is>
          <t>8h × 800/h = 6,400</t>
        </is>
      </c>
      <c r="N157" s="80" t="n"/>
    </row>
    <row r="158">
      <c r="A158" s="86" t="inlineStr">
        <is>
          <t>Group D-8</t>
        </is>
      </c>
      <c r="B158" s="86" t="n">
        <v>4</v>
      </c>
      <c r="C158" s="86" t="inlineStr">
        <is>
          <t>PV</t>
        </is>
      </c>
      <c r="D158" s="86" t="inlineStr">
        <is>
          <t>Group D Parallel Tests / D-8</t>
        </is>
      </c>
      <c r="E158" s="86" t="inlineStr">
        <is>
          <t>K28</t>
        </is>
      </c>
      <c r="F158" s="86" t="inlineStr">
        <is>
          <t>K28 HALT Hot</t>
        </is>
      </c>
      <c r="G158" s="86" t="inlineStr">
        <is>
          <t>77-91</t>
        </is>
      </c>
      <c r="H158" s="86" t="inlineStr">
        <is>
          <t>8 h</t>
        </is>
      </c>
      <c r="I158" s="86" t="inlineStr">
        <is>
          <t>8 h</t>
        </is>
      </c>
      <c r="J158" s="86" t="inlineStr">
        <is>
          <t>按小时</t>
        </is>
      </c>
      <c r="K158" s="86" t="inlineStr">
        <is>
          <t>800/h</t>
        </is>
      </c>
      <c r="L158" s="87" t="n">
        <v>6400</v>
      </c>
      <c r="M158" s="88" t="inlineStr">
        <is>
          <t>8h × 800/h = 6,400</t>
        </is>
      </c>
      <c r="N158" s="80" t="n"/>
    </row>
    <row r="159">
      <c r="A159" s="86" t="inlineStr">
        <is>
          <t>Group D-8</t>
        </is>
      </c>
      <c r="B159" s="86" t="n">
        <v>5</v>
      </c>
      <c r="C159" s="86" t="inlineStr">
        <is>
          <t>PV</t>
        </is>
      </c>
      <c r="D159" s="86" t="inlineStr">
        <is>
          <t>Group D Parallel Tests / D-8</t>
        </is>
      </c>
      <c r="E159" s="86" t="inlineStr">
        <is>
          <t>K28</t>
        </is>
      </c>
      <c r="F159" s="86" t="inlineStr">
        <is>
          <t>K28 HALT Thermal Shock</t>
        </is>
      </c>
      <c r="G159" s="86" t="inlineStr">
        <is>
          <t>77-91</t>
        </is>
      </c>
      <c r="H159" s="86" t="inlineStr">
        <is>
          <t>8 h</t>
        </is>
      </c>
      <c r="I159" s="86" t="inlineStr">
        <is>
          <t>8 h</t>
        </is>
      </c>
      <c r="J159" s="86" t="inlineStr">
        <is>
          <t>按小时</t>
        </is>
      </c>
      <c r="K159" s="86" t="inlineStr">
        <is>
          <t>800/h</t>
        </is>
      </c>
      <c r="L159" s="87" t="n">
        <v>6400</v>
      </c>
      <c r="M159" s="88" t="inlineStr">
        <is>
          <t>8h × 800/h = 6,400</t>
        </is>
      </c>
      <c r="N159" s="80" t="n"/>
    </row>
    <row r="160">
      <c r="A160" s="86" t="inlineStr">
        <is>
          <t>Group D-8</t>
        </is>
      </c>
      <c r="B160" s="86" t="n">
        <v>6</v>
      </c>
      <c r="C160" s="86" t="inlineStr">
        <is>
          <t>PV</t>
        </is>
      </c>
      <c r="D160" s="86" t="inlineStr">
        <is>
          <t>Group D Parallel Tests / D-8</t>
        </is>
      </c>
      <c r="E160" s="86" t="inlineStr">
        <is>
          <t>K28</t>
        </is>
      </c>
      <c r="F160" s="86" t="inlineStr">
        <is>
          <t>K28 HALT Vibration</t>
        </is>
      </c>
      <c r="G160" s="86" t="inlineStr">
        <is>
          <t>77-91</t>
        </is>
      </c>
      <c r="H160" s="86" t="inlineStr">
        <is>
          <t>8 h</t>
        </is>
      </c>
      <c r="I160" s="86" t="inlineStr">
        <is>
          <t>8 h</t>
        </is>
      </c>
      <c r="J160" s="86" t="inlineStr">
        <is>
          <t>按小时</t>
        </is>
      </c>
      <c r="K160" s="86" t="inlineStr">
        <is>
          <t>800/h</t>
        </is>
      </c>
      <c r="L160" s="87" t="n">
        <v>6400</v>
      </c>
      <c r="M160" s="88" t="inlineStr">
        <is>
          <t>8h × 800/h = 6,400</t>
        </is>
      </c>
      <c r="N160" s="80" t="n"/>
    </row>
    <row r="161">
      <c r="A161" s="86" t="inlineStr">
        <is>
          <t>Group D-8</t>
        </is>
      </c>
      <c r="B161" s="86" t="n">
        <v>7</v>
      </c>
      <c r="C161" s="86" t="inlineStr">
        <is>
          <t>PV</t>
        </is>
      </c>
      <c r="D161" s="86" t="inlineStr">
        <is>
          <t>Group D Parallel Tests / D-8</t>
        </is>
      </c>
      <c r="E161" s="86" t="inlineStr">
        <is>
          <t>K28</t>
        </is>
      </c>
      <c r="F161" s="86" t="inlineStr">
        <is>
          <t>K28 HALT TST &amp; Vibration</t>
        </is>
      </c>
      <c r="G161" s="86" t="inlineStr">
        <is>
          <t>77-91</t>
        </is>
      </c>
      <c r="H161" s="86" t="inlineStr">
        <is>
          <t>8 h</t>
        </is>
      </c>
      <c r="I161" s="86" t="inlineStr">
        <is>
          <t>8 h</t>
        </is>
      </c>
      <c r="J161" s="86" t="inlineStr">
        <is>
          <t>按小时</t>
        </is>
      </c>
      <c r="K161" s="86" t="inlineStr">
        <is>
          <t>800/h</t>
        </is>
      </c>
      <c r="L161" s="87" t="n">
        <v>6400</v>
      </c>
      <c r="M161" s="88" t="inlineStr">
        <is>
          <t>8h × 800/h = 6,400</t>
        </is>
      </c>
      <c r="N161" s="80" t="n"/>
    </row>
    <row r="162" ht="31" customHeight="1" s="4">
      <c r="A162" s="80" t="inlineStr">
        <is>
          <t>Group D-8</t>
        </is>
      </c>
      <c r="B162" s="80" t="n">
        <v>8</v>
      </c>
      <c r="C162" s="80" t="inlineStr">
        <is>
          <t>PV</t>
        </is>
      </c>
      <c r="D162" s="80" t="inlineStr">
        <is>
          <t>Group D Parallel Tests / D-8</t>
        </is>
      </c>
      <c r="E162" s="80" t="inlineStr">
        <is>
          <t>L1&amp;L4</t>
        </is>
      </c>
      <c r="F162" s="80" t="inlineStr">
        <is>
          <t>L1&amp;L4 Performance Evaluation &amp; Functional Evaluation</t>
        </is>
      </c>
      <c r="G162" s="80" t="inlineStr">
        <is>
          <t>77-91</t>
        </is>
      </c>
      <c r="H162" s="80" t="inlineStr">
        <is>
          <t>9 个样品</t>
        </is>
      </c>
      <c r="I162" s="80" t="inlineStr">
        <is>
          <t>72 h</t>
        </is>
      </c>
      <c r="J162" s="80" t="inlineStr">
        <is>
          <t>按样品数量</t>
        </is>
      </c>
      <c r="K162" s="80" t="inlineStr">
        <is>
          <t>400/个</t>
        </is>
      </c>
      <c r="L162" s="81" t="n">
        <v>3600</v>
      </c>
      <c r="M162" s="82" t="inlineStr">
        <is>
          <t>9个 × 400/个 = 3,600</t>
        </is>
      </c>
      <c r="N162" s="80" t="n"/>
    </row>
    <row r="163">
      <c r="A163" s="76" t="inlineStr">
        <is>
          <t>Group D-9：PV / Group D Parallel Tests / D-9</t>
        </is>
      </c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3" t="n"/>
    </row>
    <row r="164">
      <c r="A164" s="78" t="inlineStr">
        <is>
          <t>组别顺序</t>
        </is>
      </c>
      <c r="B164" s="78" t="inlineStr">
        <is>
          <t>组内顺序</t>
        </is>
      </c>
      <c r="C164" s="78" t="inlineStr">
        <is>
          <t>Phase</t>
        </is>
      </c>
      <c r="D164" s="78" t="inlineStr">
        <is>
          <t>Group</t>
        </is>
      </c>
      <c r="E164" s="78" t="inlineStr">
        <is>
          <t>测试编号</t>
        </is>
      </c>
      <c r="F164" s="78" t="inlineStr">
        <is>
          <t>测试项目</t>
        </is>
      </c>
      <c r="G164" s="78" t="inlineStr">
        <is>
          <t>样品范围</t>
        </is>
      </c>
      <c r="H164" s="78" t="inlineStr">
        <is>
          <t>计费基数</t>
        </is>
      </c>
      <c r="I164" s="78" t="inlineStr">
        <is>
          <t>测试时间</t>
        </is>
      </c>
      <c r="J164" s="78" t="inlineStr">
        <is>
          <t>计费方式</t>
        </is>
      </c>
      <c r="K164" s="78" t="inlineStr">
        <is>
          <t>单价</t>
        </is>
      </c>
      <c r="L164" s="84" t="inlineStr">
        <is>
          <t>委外费用</t>
        </is>
      </c>
      <c r="M164" s="85" t="inlineStr">
        <is>
          <t>费用计算公式</t>
        </is>
      </c>
      <c r="N164" s="78" t="inlineStr">
        <is>
          <t>备注</t>
        </is>
      </c>
    </row>
    <row r="165" ht="31" customHeight="1" s="4">
      <c r="A165" s="80" t="inlineStr">
        <is>
          <t>Group D-9</t>
        </is>
      </c>
      <c r="B165" s="80" t="n">
        <v>2</v>
      </c>
      <c r="C165" s="80" t="inlineStr">
        <is>
          <t>PV</t>
        </is>
      </c>
      <c r="D165" s="80" t="inlineStr">
        <is>
          <t>Group D Parallel Tests / D-9</t>
        </is>
      </c>
      <c r="E165" s="80" t="inlineStr">
        <is>
          <t>L1&amp;L4</t>
        </is>
      </c>
      <c r="F165" s="80" t="inlineStr">
        <is>
          <t>L1&amp;L4 Performance Evaluation &amp; Functional Evaluation</t>
        </is>
      </c>
      <c r="G165" s="80" t="inlineStr">
        <is>
          <t>92-97</t>
        </is>
      </c>
      <c r="H165" s="80" t="inlineStr">
        <is>
          <t>6 个样品</t>
        </is>
      </c>
      <c r="I165" s="80" t="inlineStr">
        <is>
          <t>72 h</t>
        </is>
      </c>
      <c r="J165" s="80" t="inlineStr">
        <is>
          <t>按样品数量</t>
        </is>
      </c>
      <c r="K165" s="80" t="inlineStr">
        <is>
          <t>400/个</t>
        </is>
      </c>
      <c r="L165" s="81" t="n">
        <v>2400</v>
      </c>
      <c r="M165" s="82" t="inlineStr">
        <is>
          <t>6个 × 400/个 = 2,400</t>
        </is>
      </c>
      <c r="N165" s="80" t="n"/>
    </row>
    <row r="166">
      <c r="A166" s="80" t="inlineStr">
        <is>
          <t>Group D-9</t>
        </is>
      </c>
      <c r="B166" s="80" t="n">
        <v>3</v>
      </c>
      <c r="C166" s="80" t="inlineStr">
        <is>
          <t>PV</t>
        </is>
      </c>
      <c r="D166" s="80" t="inlineStr">
        <is>
          <t>Group D Parallel Tests / D-9</t>
        </is>
      </c>
      <c r="E166" s="80" t="inlineStr">
        <is>
          <t>K52.351</t>
        </is>
      </c>
      <c r="F166" s="80" t="inlineStr">
        <is>
          <t>K52.351 Condensing humidity</t>
        </is>
      </c>
      <c r="G166" s="80" t="inlineStr">
        <is>
          <t>92-97</t>
        </is>
      </c>
      <c r="H166" s="80" t="inlineStr">
        <is>
          <t>120 h</t>
        </is>
      </c>
      <c r="I166" s="80" t="inlineStr">
        <is>
          <t>120 h</t>
        </is>
      </c>
      <c r="J166" s="80" t="inlineStr">
        <is>
          <t>按小时</t>
        </is>
      </c>
      <c r="K166" s="80" t="inlineStr">
        <is>
          <t>55/h</t>
        </is>
      </c>
      <c r="L166" s="81" t="n">
        <v>6600</v>
      </c>
      <c r="M166" s="82" t="inlineStr">
        <is>
          <t>120h × 55/h = 6,600</t>
        </is>
      </c>
      <c r="N166" s="80" t="n"/>
    </row>
    <row r="167" ht="31" customHeight="1" s="4">
      <c r="A167" s="80" t="inlineStr">
        <is>
          <t>Group D-9</t>
        </is>
      </c>
      <c r="B167" s="80" t="n">
        <v>4</v>
      </c>
      <c r="C167" s="80" t="inlineStr">
        <is>
          <t>PV</t>
        </is>
      </c>
      <c r="D167" s="80" t="inlineStr">
        <is>
          <t>Group D Parallel Tests / D-9</t>
        </is>
      </c>
      <c r="E167" s="80" t="inlineStr">
        <is>
          <t>L1&amp;L4</t>
        </is>
      </c>
      <c r="F167" s="80" t="inlineStr">
        <is>
          <t>L1&amp;L4 Performance Evaluation &amp; Functional Evaluation</t>
        </is>
      </c>
      <c r="G167" s="80" t="inlineStr">
        <is>
          <t>92-97</t>
        </is>
      </c>
      <c r="H167" s="80" t="inlineStr">
        <is>
          <t>6 个样品</t>
        </is>
      </c>
      <c r="I167" s="80" t="inlineStr">
        <is>
          <t>48 h</t>
        </is>
      </c>
      <c r="J167" s="80" t="inlineStr">
        <is>
          <t>按样品数量</t>
        </is>
      </c>
      <c r="K167" s="80" t="inlineStr">
        <is>
          <t>400/个</t>
        </is>
      </c>
      <c r="L167" s="81" t="n">
        <v>2400</v>
      </c>
      <c r="M167" s="82" t="inlineStr">
        <is>
          <t>6个 × 400/个 = 2,400</t>
        </is>
      </c>
      <c r="N167" s="80" t="n"/>
    </row>
  </sheetData>
  <mergeCells count="27">
    <mergeCell ref="A67:N67"/>
    <mergeCell ref="O1:Q1"/>
    <mergeCell ref="A77:N77"/>
    <mergeCell ref="B83:N83"/>
    <mergeCell ref="A51:N51"/>
    <mergeCell ref="A103:N103"/>
    <mergeCell ref="B6:N6"/>
    <mergeCell ref="A123:N123"/>
    <mergeCell ref="A1:N1"/>
    <mergeCell ref="A7:N7"/>
    <mergeCell ref="A41:N41"/>
    <mergeCell ref="A128:N128"/>
    <mergeCell ref="A46:N46"/>
    <mergeCell ref="A84:N84"/>
    <mergeCell ref="A149:N149"/>
    <mergeCell ref="A118:N118"/>
    <mergeCell ref="A154:N154"/>
    <mergeCell ref="A163:N163"/>
    <mergeCell ref="A26:N26"/>
    <mergeCell ref="A139:N139"/>
    <mergeCell ref="A57:N57"/>
    <mergeCell ref="A32:N32"/>
    <mergeCell ref="A144:N144"/>
    <mergeCell ref="A109:N109"/>
    <mergeCell ref="A62:N62"/>
    <mergeCell ref="A72:N72"/>
    <mergeCell ref="A134:N134"/>
  </mergeCells>
  <conditionalFormatting sqref="L9:L82 L84:L167">
    <cfRule type="dataBar" priority="1">
      <dataBar>
        <cfvo type="min"/>
        <cfvo type="max"/>
        <color rgb="FF9EADCC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8"/>
  <sheetViews>
    <sheetView topLeftCell="A74" workbookViewId="0">
      <selection activeCell="A82" sqref="A82"/>
    </sheetView>
  </sheetViews>
  <sheetFormatPr baseColWidth="8" defaultColWidth="9.642857142857141" defaultRowHeight="17.6"/>
  <cols>
    <col width="14" customWidth="1" style="4" min="1" max="1"/>
    <col width="10" customWidth="1" style="4" min="2" max="2"/>
    <col width="8" customWidth="1" style="4" min="3" max="3"/>
    <col width="25" customWidth="1" style="4" min="4" max="4"/>
    <col width="13" customWidth="1" style="4" min="5" max="5"/>
    <col width="38" customWidth="1" style="4" min="6" max="6"/>
    <col width="12" customWidth="1" style="4" min="7" max="7"/>
    <col width="14" customWidth="1" style="4" min="8" max="8"/>
    <col width="12" customWidth="1" style="4" min="9" max="10"/>
    <col width="22" customWidth="1" style="4" min="11" max="11"/>
    <col width="14" customWidth="1" style="4" min="12" max="12"/>
    <col width="52" customWidth="1" style="4" min="13" max="13"/>
    <col width="36" customWidth="1" style="4" min="14" max="14"/>
  </cols>
  <sheetData>
    <row r="1" ht="30" customHeight="1" s="4">
      <c r="A1" s="44" t="inlineStr">
        <is>
          <t>华测 实验室费用明细</t>
        </is>
      </c>
    </row>
    <row r="2" ht="20" customHeight="1" s="4">
      <c r="A2" s="46" t="inlineStr">
        <is>
          <t>OEM</t>
        </is>
      </c>
      <c r="B2" s="47" t="inlineStr">
        <is>
          <t>JLR</t>
        </is>
      </c>
      <c r="C2" s="46" t="inlineStr">
        <is>
          <t>平台</t>
        </is>
      </c>
      <c r="D2" s="47" t="inlineStr">
        <is>
          <t>MLA</t>
        </is>
      </c>
      <c r="E2" s="48" t="n"/>
      <c r="F2" s="48" t="n"/>
      <c r="G2" s="48" t="n"/>
      <c r="H2" s="48" t="n"/>
      <c r="I2" s="48" t="n"/>
      <c r="J2" s="48" t="n"/>
      <c r="K2" s="48" t="n"/>
      <c r="L2" s="49" t="n"/>
      <c r="M2" s="48" t="n"/>
      <c r="N2" s="48" t="n"/>
    </row>
    <row r="3" ht="20" customHeight="1" s="4">
      <c r="A3" s="46" t="inlineStr">
        <is>
          <t>项目名称/编号</t>
        </is>
      </c>
      <c r="B3" s="47" t="inlineStr">
        <is>
          <t>L463</t>
        </is>
      </c>
      <c r="C3" s="46" t="inlineStr">
        <is>
          <t>驾驶方向</t>
        </is>
      </c>
      <c r="D3" s="47" t="inlineStr">
        <is>
          <t>LHD</t>
        </is>
      </c>
      <c r="E3" s="48" t="n"/>
      <c r="F3" s="48" t="n"/>
      <c r="G3" s="48" t="n"/>
      <c r="H3" s="48" t="n"/>
      <c r="I3" s="48" t="n"/>
      <c r="J3" s="48" t="n"/>
      <c r="K3" s="48" t="n"/>
      <c r="L3" s="49" t="n"/>
      <c r="M3" s="48" t="n"/>
      <c r="N3" s="48" t="n"/>
    </row>
    <row r="4" ht="20" customHeight="1" s="4">
      <c r="A4" s="46" t="inlineStr">
        <is>
          <t>项目类型</t>
        </is>
      </c>
      <c r="B4" s="47" t="inlineStr">
        <is>
          <t>新增项目</t>
        </is>
      </c>
      <c r="C4" s="46" t="inlineStr">
        <is>
          <t>导出范围</t>
        </is>
      </c>
      <c r="D4" s="47" t="inlineStr">
        <is>
          <t>DV + PV</t>
        </is>
      </c>
      <c r="E4" s="48" t="n"/>
      <c r="F4" s="48" t="n"/>
      <c r="G4" s="48" t="n"/>
      <c r="H4" s="48" t="n"/>
      <c r="I4" s="48" t="n"/>
      <c r="J4" s="48" t="n"/>
      <c r="K4" s="48" t="n"/>
      <c r="L4" s="49" t="n"/>
      <c r="M4" s="48" t="n"/>
      <c r="N4" s="48" t="n"/>
    </row>
    <row r="5" ht="20" customHeight="1" s="4">
      <c r="A5" s="46" t="inlineStr">
        <is>
          <t>是否完全复用</t>
        </is>
      </c>
      <c r="B5" s="47" t="inlineStr">
        <is>
          <t>是</t>
        </is>
      </c>
      <c r="C5" s="46" t="inlineStr">
        <is>
          <t>环境模板</t>
        </is>
      </c>
      <c r="D5" s="47" t="inlineStr">
        <is>
          <t>完全复用</t>
        </is>
      </c>
      <c r="E5" s="48" t="n"/>
      <c r="F5" s="48" t="n"/>
      <c r="G5" s="48" t="n"/>
      <c r="H5" s="48" t="n"/>
      <c r="I5" s="48" t="n"/>
      <c r="J5" s="48" t="n"/>
      <c r="K5" s="48" t="n"/>
      <c r="L5" s="49" t="n"/>
      <c r="M5" s="48" t="n"/>
      <c r="N5" s="48" t="n"/>
    </row>
    <row r="6" ht="32" customHeight="1" s="4">
      <c r="A6" s="58" t="inlineStr">
        <is>
          <t>DV 组别顺序</t>
        </is>
      </c>
      <c r="B6" s="74" t="inlineStr">
        <is>
          <t>Group A -&gt; Group B -&gt; Group C -&gt; Group D-1 -&gt; Group D-2 -&gt; Group D-3 -&gt; Group D-4 -&gt; Group D-5 -&gt; Group D-6 -&gt; Group D-7 -&gt; Group D-9</t>
        </is>
      </c>
    </row>
    <row r="7" ht="24" customHeight="1" s="4">
      <c r="A7" s="54" t="inlineStr">
        <is>
          <t>Group A：DV / Group A Sequence Tests</t>
        </is>
      </c>
    </row>
    <row r="8" ht="24" customHeight="1" s="4">
      <c r="A8" s="56" t="inlineStr">
        <is>
          <t>组别顺序</t>
        </is>
      </c>
      <c r="B8" s="56" t="inlineStr">
        <is>
          <t>组内顺序</t>
        </is>
      </c>
      <c r="C8" s="56" t="inlineStr">
        <is>
          <t>Phase</t>
        </is>
      </c>
      <c r="D8" s="56" t="inlineStr">
        <is>
          <t>Group</t>
        </is>
      </c>
      <c r="E8" s="56" t="inlineStr">
        <is>
          <t>测试编号</t>
        </is>
      </c>
      <c r="F8" s="56" t="inlineStr">
        <is>
          <t>测试项目</t>
        </is>
      </c>
      <c r="G8" s="56" t="inlineStr">
        <is>
          <t>样品范围</t>
        </is>
      </c>
      <c r="H8" s="56" t="inlineStr">
        <is>
          <t>计费基数</t>
        </is>
      </c>
      <c r="I8" s="56" t="inlineStr">
        <is>
          <t>测试时间</t>
        </is>
      </c>
      <c r="J8" s="56" t="inlineStr">
        <is>
          <t>计费方式</t>
        </is>
      </c>
      <c r="K8" s="56" t="inlineStr">
        <is>
          <t>单价</t>
        </is>
      </c>
      <c r="L8" s="57" t="inlineStr">
        <is>
          <t>委外费用</t>
        </is>
      </c>
      <c r="M8" s="56" t="inlineStr">
        <is>
          <t>费用计算公式</t>
        </is>
      </c>
      <c r="N8" s="56" t="inlineStr">
        <is>
          <t>备注</t>
        </is>
      </c>
    </row>
    <row r="9" ht="20" customHeight="1" s="4">
      <c r="A9" s="50" t="inlineStr">
        <is>
          <t>Group A</t>
        </is>
      </c>
      <c r="B9" s="50" t="n">
        <v>2</v>
      </c>
      <c r="C9" s="50" t="inlineStr">
        <is>
          <t>DV</t>
        </is>
      </c>
      <c r="D9" s="50" t="inlineStr">
        <is>
          <t>Group A Sequence Tests</t>
        </is>
      </c>
      <c r="E9" s="50" t="inlineStr">
        <is>
          <t>L1&amp;L4</t>
        </is>
      </c>
      <c r="F9" s="50" t="inlineStr">
        <is>
          <t>L1&amp;L4 Performance Evaluation &amp; Functional Evaluation</t>
        </is>
      </c>
      <c r="G9" s="50" t="inlineStr">
        <is>
          <t>1-14</t>
        </is>
      </c>
      <c r="H9" s="50" t="inlineStr">
        <is>
          <t>14 个样品</t>
        </is>
      </c>
      <c r="I9" s="50" t="inlineStr">
        <is>
          <t>72 h</t>
        </is>
      </c>
      <c r="J9" s="50" t="inlineStr">
        <is>
          <t>按样品数量</t>
        </is>
      </c>
      <c r="K9" s="50" t="inlineStr">
        <is>
          <t>700/个</t>
        </is>
      </c>
      <c r="L9" s="51" t="n">
        <v>9800</v>
      </c>
      <c r="M9" s="50" t="inlineStr">
        <is>
          <t>14个 × 700/个 = 9,800</t>
        </is>
      </c>
      <c r="N9" s="50" t="n"/>
    </row>
    <row r="10" ht="25" customHeight="1" s="4">
      <c r="A10" s="50" t="inlineStr">
        <is>
          <t>Group A</t>
        </is>
      </c>
      <c r="B10" s="50" t="n">
        <v>3</v>
      </c>
      <c r="C10" s="50" t="inlineStr">
        <is>
          <t>DV</t>
        </is>
      </c>
      <c r="D10" s="50" t="inlineStr">
        <is>
          <t>Group A Sequence Tests</t>
        </is>
      </c>
      <c r="E10" s="50" t="inlineStr">
        <is>
          <t>Particle</t>
        </is>
      </c>
      <c r="F10" s="50" t="inlineStr">
        <is>
          <t>Particle Exposure</t>
        </is>
      </c>
      <c r="G10" s="50" t="inlineStr">
        <is>
          <t>1-12</t>
        </is>
      </c>
      <c r="H10" s="50" t="n"/>
      <c r="I10" s="50" t="inlineStr">
        <is>
          <t>120 h</t>
        </is>
      </c>
      <c r="J10" s="50" t="inlineStr">
        <is>
          <t>按批次</t>
        </is>
      </c>
      <c r="K10" s="50" t="inlineStr">
        <is>
          <t>1,500/批；粉尘费 6,000；清洁费 12,000</t>
        </is>
      </c>
      <c r="L10" s="51" t="n">
        <v>24000</v>
      </c>
      <c r="M10" s="50" t="inlineStr">
        <is>
          <t>4批 × 1,500/批 + 粉尘费 6,000 + 清洁费 12,000 = 24,000</t>
        </is>
      </c>
      <c r="N10" s="50" t="inlineStr">
        <is>
          <t>Particle Exposure：全额报价已拆分为批次单价、粉尘费、清洁费</t>
        </is>
      </c>
    </row>
    <row r="11" ht="20" customHeight="1" s="4">
      <c r="A11" s="50" t="inlineStr">
        <is>
          <t>Group A</t>
        </is>
      </c>
      <c r="B11" s="50" t="n">
        <v>4</v>
      </c>
      <c r="C11" s="50" t="inlineStr">
        <is>
          <t>DV</t>
        </is>
      </c>
      <c r="D11" s="50" t="inlineStr">
        <is>
          <t>Group A Sequence Tests</t>
        </is>
      </c>
      <c r="E11" s="50" t="inlineStr">
        <is>
          <t>K1</t>
        </is>
      </c>
      <c r="F11" s="50" t="inlineStr">
        <is>
          <t>K1 Low Temperature Exposure</t>
        </is>
      </c>
      <c r="G11" s="50" t="inlineStr">
        <is>
          <t>1-12</t>
        </is>
      </c>
      <c r="H11" s="50" t="inlineStr">
        <is>
          <t>24 h</t>
        </is>
      </c>
      <c r="I11" s="50" t="inlineStr">
        <is>
          <t>24 h</t>
        </is>
      </c>
      <c r="J11" s="50" t="inlineStr">
        <is>
          <t>按小时</t>
        </is>
      </c>
      <c r="K11" s="50" t="inlineStr">
        <is>
          <t>25/h</t>
        </is>
      </c>
      <c r="L11" s="51" t="n">
        <v>600</v>
      </c>
      <c r="M11" s="50" t="inlineStr">
        <is>
          <t>24h × 25/h = 600（大环境箱单价）</t>
        </is>
      </c>
      <c r="N11" s="50" t="n"/>
    </row>
    <row r="12" ht="20" customHeight="1" s="4">
      <c r="A12" s="50" t="inlineStr">
        <is>
          <t>Group A</t>
        </is>
      </c>
      <c r="B12" s="50" t="n">
        <v>5</v>
      </c>
      <c r="C12" s="50" t="inlineStr">
        <is>
          <t>DV</t>
        </is>
      </c>
      <c r="D12" s="50" t="inlineStr">
        <is>
          <t>Group A Sequence Tests</t>
        </is>
      </c>
      <c r="E12" s="50" t="inlineStr">
        <is>
          <t>K2</t>
        </is>
      </c>
      <c r="F12" s="50" t="inlineStr">
        <is>
          <t>K2 High Temperature Exposure</t>
        </is>
      </c>
      <c r="G12" s="50" t="inlineStr">
        <is>
          <t>1-12</t>
        </is>
      </c>
      <c r="H12" s="50" t="inlineStr">
        <is>
          <t>24 h</t>
        </is>
      </c>
      <c r="I12" s="50" t="inlineStr">
        <is>
          <t>24 h</t>
        </is>
      </c>
      <c r="J12" s="50" t="inlineStr">
        <is>
          <t>按小时</t>
        </is>
      </c>
      <c r="K12" s="50" t="inlineStr">
        <is>
          <t>25/h</t>
        </is>
      </c>
      <c r="L12" s="51" t="n">
        <v>600</v>
      </c>
      <c r="M12" s="50" t="inlineStr">
        <is>
          <t>24h × 25/h = 600（大环境箱单价）</t>
        </is>
      </c>
      <c r="N12" s="50" t="n"/>
    </row>
    <row r="13" ht="20" customHeight="1" s="4">
      <c r="A13" s="50" t="inlineStr">
        <is>
          <t>Group A</t>
        </is>
      </c>
      <c r="B13" s="50" t="n">
        <v>6</v>
      </c>
      <c r="C13" s="50" t="inlineStr">
        <is>
          <t>DV</t>
        </is>
      </c>
      <c r="D13" s="50" t="inlineStr">
        <is>
          <t>Group A Sequence Tests</t>
        </is>
      </c>
      <c r="E13" s="50" t="inlineStr">
        <is>
          <t>K3</t>
        </is>
      </c>
      <c r="F13" s="50" t="inlineStr">
        <is>
          <t>K3 Low Temperature Operation</t>
        </is>
      </c>
      <c r="G13" s="50" t="inlineStr">
        <is>
          <t>1-12</t>
        </is>
      </c>
      <c r="H13" s="50" t="inlineStr">
        <is>
          <t>24 h</t>
        </is>
      </c>
      <c r="I13" s="50" t="inlineStr">
        <is>
          <t>24 h</t>
        </is>
      </c>
      <c r="J13" s="50" t="inlineStr">
        <is>
          <t>按小时</t>
        </is>
      </c>
      <c r="K13" s="50" t="inlineStr">
        <is>
          <t>25/h</t>
        </is>
      </c>
      <c r="L13" s="51" t="n">
        <v>600</v>
      </c>
      <c r="M13" s="50" t="inlineStr">
        <is>
          <t>24h × 25/h = 600（大环境箱单价）</t>
        </is>
      </c>
      <c r="N13" s="50" t="n"/>
    </row>
    <row r="14" ht="20" customHeight="1" s="4">
      <c r="A14" s="50" t="inlineStr">
        <is>
          <t>Group A</t>
        </is>
      </c>
      <c r="B14" s="50" t="n">
        <v>7</v>
      </c>
      <c r="C14" s="50" t="inlineStr">
        <is>
          <t>DV</t>
        </is>
      </c>
      <c r="D14" s="50" t="inlineStr">
        <is>
          <t>Group A Sequence Tests</t>
        </is>
      </c>
      <c r="E14" s="50" t="inlineStr">
        <is>
          <t>K4</t>
        </is>
      </c>
      <c r="F14" s="50" t="inlineStr">
        <is>
          <t>K4 High Temperature Operation</t>
        </is>
      </c>
      <c r="G14" s="50" t="inlineStr">
        <is>
          <t>1-12</t>
        </is>
      </c>
      <c r="H14" s="50" t="inlineStr">
        <is>
          <t>96 h</t>
        </is>
      </c>
      <c r="I14" s="50" t="inlineStr">
        <is>
          <t>96 h</t>
        </is>
      </c>
      <c r="J14" s="50" t="inlineStr">
        <is>
          <t>按小时</t>
        </is>
      </c>
      <c r="K14" s="50" t="inlineStr">
        <is>
          <t>25/h</t>
        </is>
      </c>
      <c r="L14" s="51" t="n">
        <v>2400</v>
      </c>
      <c r="M14" s="50" t="inlineStr">
        <is>
          <t>96h × 25/h = 2,400（大环境箱单价）</t>
        </is>
      </c>
      <c r="N14" s="50" t="n"/>
    </row>
    <row r="15" ht="20" customHeight="1" s="4">
      <c r="A15" s="50" t="inlineStr">
        <is>
          <t>Group A</t>
        </is>
      </c>
      <c r="B15" s="50" t="n">
        <v>8</v>
      </c>
      <c r="C15" s="50" t="inlineStr">
        <is>
          <t>DV</t>
        </is>
      </c>
      <c r="D15" s="50" t="inlineStr">
        <is>
          <t>Group A Sequence Tests</t>
        </is>
      </c>
      <c r="E15" s="50" t="inlineStr">
        <is>
          <t>K5</t>
        </is>
      </c>
      <c r="F15" s="50" t="inlineStr">
        <is>
          <t>K5 Temperature Step Test</t>
        </is>
      </c>
      <c r="G15" s="50" t="inlineStr">
        <is>
          <t>1-12</t>
        </is>
      </c>
      <c r="H15" s="50" t="inlineStr">
        <is>
          <t>1 批</t>
        </is>
      </c>
      <c r="I15" s="50" t="inlineStr">
        <is>
          <t>48 h</t>
        </is>
      </c>
      <c r="J15" s="50" t="inlineStr">
        <is>
          <t>按批次</t>
        </is>
      </c>
      <c r="K15" s="50" t="inlineStr">
        <is>
          <t>5,000/批</t>
        </is>
      </c>
      <c r="L15" s="51" t="n">
        <v>5000</v>
      </c>
      <c r="M15" s="50" t="inlineStr">
        <is>
          <t>1批 × 5,000/批 = 5,000</t>
        </is>
      </c>
      <c r="N15" s="50" t="n"/>
    </row>
    <row r="16" ht="20" customHeight="1" s="4">
      <c r="A16" s="50" t="inlineStr">
        <is>
          <t>Group A</t>
        </is>
      </c>
      <c r="B16" s="50" t="n">
        <v>9</v>
      </c>
      <c r="C16" s="50" t="inlineStr">
        <is>
          <t>DV</t>
        </is>
      </c>
      <c r="D16" s="50" t="inlineStr">
        <is>
          <t>Group A Sequence Tests</t>
        </is>
      </c>
      <c r="E16" s="50" t="inlineStr">
        <is>
          <t>K6</t>
        </is>
      </c>
      <c r="F16" s="50" t="inlineStr">
        <is>
          <t>K6 Power Thermal Cycle</t>
        </is>
      </c>
      <c r="G16" s="50" t="inlineStr">
        <is>
          <t>1-12</t>
        </is>
      </c>
      <c r="H16" s="50" t="inlineStr">
        <is>
          <t>240 h</t>
        </is>
      </c>
      <c r="I16" s="50" t="inlineStr">
        <is>
          <t>240 h</t>
        </is>
      </c>
      <c r="J16" s="50" t="inlineStr">
        <is>
          <t>按小时</t>
        </is>
      </c>
      <c r="K16" s="50" t="inlineStr">
        <is>
          <t>25/h</t>
        </is>
      </c>
      <c r="L16" s="51" t="n">
        <v>6000</v>
      </c>
      <c r="M16" s="50" t="inlineStr">
        <is>
          <t>240h × 25/h = 6,000（大环境箱单价）</t>
        </is>
      </c>
      <c r="N16" s="50" t="n"/>
    </row>
    <row r="17" ht="20" customHeight="1" s="4">
      <c r="A17" s="50" t="inlineStr">
        <is>
          <t>Group A</t>
        </is>
      </c>
      <c r="B17" s="50" t="n">
        <v>10</v>
      </c>
      <c r="C17" s="50" t="inlineStr">
        <is>
          <t>DV</t>
        </is>
      </c>
      <c r="D17" s="50" t="inlineStr">
        <is>
          <t>Group A Sequence Tests</t>
        </is>
      </c>
      <c r="E17" s="50" t="inlineStr">
        <is>
          <t>K7</t>
        </is>
      </c>
      <c r="F17" s="50" t="inlineStr">
        <is>
          <t>K7 Thermal Shock in Air</t>
        </is>
      </c>
      <c r="G17" s="50" t="inlineStr">
        <is>
          <t>1-12</t>
        </is>
      </c>
      <c r="H17" s="50" t="inlineStr">
        <is>
          <t>105 h</t>
        </is>
      </c>
      <c r="I17" s="50" t="inlineStr">
        <is>
          <t>105 h</t>
        </is>
      </c>
      <c r="J17" s="50" t="inlineStr">
        <is>
          <t>按小时</t>
        </is>
      </c>
      <c r="K17" s="50" t="inlineStr">
        <is>
          <t>70/h</t>
        </is>
      </c>
      <c r="L17" s="51" t="n">
        <v>7350</v>
      </c>
      <c r="M17" s="50" t="inlineStr">
        <is>
          <t>105h × 70/h = 7,350</t>
        </is>
      </c>
      <c r="N17" s="50" t="n"/>
    </row>
    <row r="18" ht="20" customHeight="1" s="4">
      <c r="A18" s="50" t="inlineStr">
        <is>
          <t>Group A</t>
        </is>
      </c>
      <c r="B18" s="50" t="n">
        <v>11</v>
      </c>
      <c r="C18" s="50" t="inlineStr">
        <is>
          <t>DV</t>
        </is>
      </c>
      <c r="D18" s="50" t="inlineStr">
        <is>
          <t>Group A Sequence Tests</t>
        </is>
      </c>
      <c r="E18" s="50" t="inlineStr">
        <is>
          <t>K15</t>
        </is>
      </c>
      <c r="F18" s="50" t="inlineStr">
        <is>
          <t>K15 Vibration</t>
        </is>
      </c>
      <c r="G18" s="50" t="inlineStr">
        <is>
          <t>1-12</t>
        </is>
      </c>
      <c r="H18" s="50" t="inlineStr">
        <is>
          <t>48 h</t>
        </is>
      </c>
      <c r="I18" s="50" t="inlineStr">
        <is>
          <t>48 h</t>
        </is>
      </c>
      <c r="J18" s="50" t="inlineStr">
        <is>
          <t>按小时</t>
        </is>
      </c>
      <c r="K18" s="50" t="inlineStr">
        <is>
          <t>400/h</t>
        </is>
      </c>
      <c r="L18" s="51" t="n">
        <v>19200</v>
      </c>
      <c r="M18" s="50" t="inlineStr">
        <is>
          <t>48h × 400/h = 19,200</t>
        </is>
      </c>
      <c r="N18" s="50" t="n"/>
    </row>
    <row r="19" ht="20" customHeight="1" s="4">
      <c r="A19" s="50" t="inlineStr">
        <is>
          <t>Group A</t>
        </is>
      </c>
      <c r="B19" s="50" t="n">
        <v>12</v>
      </c>
      <c r="C19" s="50" t="inlineStr">
        <is>
          <t>DV</t>
        </is>
      </c>
      <c r="D19" s="50" t="inlineStr">
        <is>
          <t>Group A Sequence Tests</t>
        </is>
      </c>
      <c r="E19" s="50" t="inlineStr">
        <is>
          <t>K16.1</t>
        </is>
      </c>
      <c r="F19" s="50" t="inlineStr">
        <is>
          <t>K16.1 Mechanical Shock Package Drop</t>
        </is>
      </c>
      <c r="G19" s="50" t="inlineStr">
        <is>
          <t>1-14</t>
        </is>
      </c>
      <c r="H19" s="50" t="inlineStr">
        <is>
          <t>14 个样品</t>
        </is>
      </c>
      <c r="I19" s="50" t="inlineStr">
        <is>
          <t>48 h</t>
        </is>
      </c>
      <c r="J19" s="50" t="inlineStr">
        <is>
          <t>按样品数量</t>
        </is>
      </c>
      <c r="K19" s="50" t="inlineStr">
        <is>
          <t>120/个</t>
        </is>
      </c>
      <c r="L19" s="51" t="n">
        <v>1680</v>
      </c>
      <c r="M19" s="50" t="inlineStr">
        <is>
          <t>14个 × 120/个 = 1,680</t>
        </is>
      </c>
      <c r="N19" s="50" t="n"/>
    </row>
    <row r="20" ht="20" customHeight="1" s="4">
      <c r="A20" s="50" t="inlineStr">
        <is>
          <t>Group A</t>
        </is>
      </c>
      <c r="B20" s="50" t="n">
        <v>13</v>
      </c>
      <c r="C20" s="50" t="inlineStr">
        <is>
          <t>DV</t>
        </is>
      </c>
      <c r="D20" s="50" t="inlineStr">
        <is>
          <t>Group A Sequence Tests</t>
        </is>
      </c>
      <c r="E20" s="50" t="inlineStr">
        <is>
          <t>K16.4</t>
        </is>
      </c>
      <c r="F20" s="50" t="inlineStr">
        <is>
          <t>K16.4 Mechanical Shock Low</t>
        </is>
      </c>
      <c r="G20" s="50" t="inlineStr">
        <is>
          <t>1-12</t>
        </is>
      </c>
      <c r="H20" s="50" t="inlineStr">
        <is>
          <t>12 个样品</t>
        </is>
      </c>
      <c r="I20" s="50" t="inlineStr">
        <is>
          <t>48 h</t>
        </is>
      </c>
      <c r="J20" s="50" t="inlineStr">
        <is>
          <t>按样品数量</t>
        </is>
      </c>
      <c r="K20" s="50" t="inlineStr">
        <is>
          <t>167/个</t>
        </is>
      </c>
      <c r="L20" s="51" t="n">
        <v>2004</v>
      </c>
      <c r="M20" s="50" t="inlineStr">
        <is>
          <t>12个 × 167/个 = 2,004</t>
        </is>
      </c>
      <c r="N20" s="50" t="n"/>
    </row>
    <row r="21" ht="20" customHeight="1" s="4">
      <c r="A21" s="50" t="inlineStr">
        <is>
          <t>Group A</t>
        </is>
      </c>
      <c r="B21" s="50" t="n">
        <v>14</v>
      </c>
      <c r="C21" s="50" t="inlineStr">
        <is>
          <t>DV</t>
        </is>
      </c>
      <c r="D21" s="50" t="inlineStr">
        <is>
          <t>Group A Sequence Tests</t>
        </is>
      </c>
      <c r="E21" s="50" t="inlineStr">
        <is>
          <t>K17</t>
        </is>
      </c>
      <c r="F21" s="50" t="inlineStr">
        <is>
          <t>K17 Audible Noise</t>
        </is>
      </c>
      <c r="G21" s="50" t="inlineStr">
        <is>
          <t>1-12</t>
        </is>
      </c>
      <c r="H21" s="50" t="inlineStr">
        <is>
          <t>12 个样品</t>
        </is>
      </c>
      <c r="I21" s="50" t="inlineStr">
        <is>
          <t>240 h</t>
        </is>
      </c>
      <c r="J21" s="50" t="inlineStr">
        <is>
          <t>按样品数量</t>
        </is>
      </c>
      <c r="K21" s="50" t="inlineStr">
        <is>
          <t>10,000/个</t>
        </is>
      </c>
      <c r="L21" s="51" t="n">
        <v>120000</v>
      </c>
      <c r="M21" s="50" t="inlineStr">
        <is>
          <t>12个 × 10,000/个 = 120,000</t>
        </is>
      </c>
      <c r="N21" s="50" t="inlineStr">
        <is>
          <t>K17 Audible Noise 按 MLA 三个方向的组合单价 × 样机数计算</t>
        </is>
      </c>
    </row>
    <row r="22" ht="20" customHeight="1" s="4">
      <c r="A22" s="50" t="inlineStr">
        <is>
          <t>Group A</t>
        </is>
      </c>
      <c r="B22" s="50" t="n">
        <v>15</v>
      </c>
      <c r="C22" s="50" t="inlineStr">
        <is>
          <t>DV</t>
        </is>
      </c>
      <c r="D22" s="50" t="inlineStr">
        <is>
          <t>Group A Sequence Tests</t>
        </is>
      </c>
      <c r="E22" s="50" t="inlineStr">
        <is>
          <t>K9</t>
        </is>
      </c>
      <c r="F22" s="50" t="inlineStr">
        <is>
          <t>K9 Temperature/Humidity Cycle</t>
        </is>
      </c>
      <c r="G22" s="50" t="inlineStr">
        <is>
          <t>1-12</t>
        </is>
      </c>
      <c r="H22" s="50" t="inlineStr">
        <is>
          <t>264 h</t>
        </is>
      </c>
      <c r="I22" s="50" t="inlineStr">
        <is>
          <t>264 h</t>
        </is>
      </c>
      <c r="J22" s="50" t="inlineStr">
        <is>
          <t>按小时</t>
        </is>
      </c>
      <c r="K22" s="50" t="inlineStr">
        <is>
          <t>25/h</t>
        </is>
      </c>
      <c r="L22" s="51" t="n">
        <v>6600</v>
      </c>
      <c r="M22" s="50" t="inlineStr">
        <is>
          <t>264h × 25/h = 6,600（大环境箱单价）</t>
        </is>
      </c>
      <c r="N22" s="50" t="n"/>
    </row>
    <row r="23" ht="20" customHeight="1" s="4">
      <c r="A23" s="50" t="inlineStr">
        <is>
          <t>Group A</t>
        </is>
      </c>
      <c r="B23" s="50" t="n">
        <v>16</v>
      </c>
      <c r="C23" s="50" t="inlineStr">
        <is>
          <t>DV</t>
        </is>
      </c>
      <c r="D23" s="50" t="inlineStr">
        <is>
          <t>Group A Sequence Tests</t>
        </is>
      </c>
      <c r="E23" s="50" t="inlineStr">
        <is>
          <t>K10</t>
        </is>
      </c>
      <c r="F23" s="50" t="inlineStr">
        <is>
          <t>K10 Water/Fluid Ingress Test</t>
        </is>
      </c>
      <c r="G23" s="50" t="inlineStr">
        <is>
          <t>1-12</t>
        </is>
      </c>
      <c r="H23" s="50" t="inlineStr">
        <is>
          <t>12 个样品</t>
        </is>
      </c>
      <c r="I23" s="50" t="inlineStr">
        <is>
          <t>72 h</t>
        </is>
      </c>
      <c r="J23" s="50" t="inlineStr">
        <is>
          <t>按样品数量</t>
        </is>
      </c>
      <c r="K23" s="50" t="inlineStr">
        <is>
          <t>500/个</t>
        </is>
      </c>
      <c r="L23" s="51" t="n">
        <v>6000</v>
      </c>
      <c r="M23" s="50" t="inlineStr">
        <is>
          <t>12个 × 500/个 = 6,000</t>
        </is>
      </c>
      <c r="N23" s="50" t="n"/>
    </row>
    <row r="24" ht="20" customHeight="1" s="4">
      <c r="A24" s="50" t="inlineStr">
        <is>
          <t>Group A</t>
        </is>
      </c>
      <c r="B24" s="50" t="n">
        <v>17</v>
      </c>
      <c r="C24" s="50" t="inlineStr">
        <is>
          <t>DV</t>
        </is>
      </c>
      <c r="D24" s="50" t="inlineStr">
        <is>
          <t>Group A Sequence Tests</t>
        </is>
      </c>
      <c r="E24" s="50" t="inlineStr">
        <is>
          <t>K13</t>
        </is>
      </c>
      <c r="F24" s="50" t="inlineStr">
        <is>
          <t>K13 Dust Ingress</t>
        </is>
      </c>
      <c r="G24" s="50" t="inlineStr">
        <is>
          <t>1-12</t>
        </is>
      </c>
      <c r="H24" s="50" t="inlineStr">
        <is>
          <t>4 批</t>
        </is>
      </c>
      <c r="I24" s="50" t="inlineStr">
        <is>
          <t>120 h</t>
        </is>
      </c>
      <c r="J24" s="50" t="inlineStr">
        <is>
          <t>按批次</t>
        </is>
      </c>
      <c r="K24" s="50" t="inlineStr">
        <is>
          <t>1,500/批</t>
        </is>
      </c>
      <c r="L24" s="51" t="n">
        <v>6000</v>
      </c>
      <c r="M24" s="50" t="inlineStr">
        <is>
          <t>4批 × 1,500/批 = 6,000</t>
        </is>
      </c>
      <c r="N24" s="50" t="n"/>
    </row>
    <row r="25" ht="20" customHeight="1" s="4">
      <c r="A25" s="50" t="inlineStr">
        <is>
          <t>Group A</t>
        </is>
      </c>
      <c r="B25" s="50" t="n">
        <v>19</v>
      </c>
      <c r="C25" s="50" t="inlineStr">
        <is>
          <t>DV</t>
        </is>
      </c>
      <c r="D25" s="50" t="inlineStr">
        <is>
          <t>Group A Sequence Tests</t>
        </is>
      </c>
      <c r="E25" s="50" t="inlineStr">
        <is>
          <t>L1&amp;L4</t>
        </is>
      </c>
      <c r="F25" s="50" t="inlineStr">
        <is>
          <t>L1&amp;L4 Performance Evaluation &amp; Functional Evaluation</t>
        </is>
      </c>
      <c r="G25" s="50" t="inlineStr">
        <is>
          <t>1-14</t>
        </is>
      </c>
      <c r="H25" s="50" t="inlineStr">
        <is>
          <t>14 个样品</t>
        </is>
      </c>
      <c r="I25" s="50" t="inlineStr">
        <is>
          <t>72 h</t>
        </is>
      </c>
      <c r="J25" s="50" t="inlineStr">
        <is>
          <t>按样品数量</t>
        </is>
      </c>
      <c r="K25" s="50" t="inlineStr">
        <is>
          <t>700/个</t>
        </is>
      </c>
      <c r="L25" s="51" t="n">
        <v>9800</v>
      </c>
      <c r="M25" s="50" t="inlineStr">
        <is>
          <t>14个 × 700/个 = 9,800</t>
        </is>
      </c>
      <c r="N25" s="50" t="n"/>
    </row>
    <row r="26" ht="24" customHeight="1" s="4">
      <c r="A26" s="54" t="inlineStr">
        <is>
          <t>Group B：DV / Group B Sequence Tests</t>
        </is>
      </c>
    </row>
    <row r="27" ht="24" customHeight="1" s="4">
      <c r="A27" s="56" t="inlineStr">
        <is>
          <t>组别顺序</t>
        </is>
      </c>
      <c r="B27" s="56" t="inlineStr">
        <is>
          <t>组内顺序</t>
        </is>
      </c>
      <c r="C27" s="56" t="inlineStr">
        <is>
          <t>Phase</t>
        </is>
      </c>
      <c r="D27" s="56" t="inlineStr">
        <is>
          <t>Group</t>
        </is>
      </c>
      <c r="E27" s="56" t="inlineStr">
        <is>
          <t>测试编号</t>
        </is>
      </c>
      <c r="F27" s="56" t="inlineStr">
        <is>
          <t>测试项目</t>
        </is>
      </c>
      <c r="G27" s="56" t="inlineStr">
        <is>
          <t>样品范围</t>
        </is>
      </c>
      <c r="H27" s="56" t="inlineStr">
        <is>
          <t>计费基数</t>
        </is>
      </c>
      <c r="I27" s="56" t="inlineStr">
        <is>
          <t>测试时间</t>
        </is>
      </c>
      <c r="J27" s="56" t="inlineStr">
        <is>
          <t>计费方式</t>
        </is>
      </c>
      <c r="K27" s="56" t="inlineStr">
        <is>
          <t>单价</t>
        </is>
      </c>
      <c r="L27" s="57" t="inlineStr">
        <is>
          <t>委外费用</t>
        </is>
      </c>
      <c r="M27" s="56" t="inlineStr">
        <is>
          <t>费用计算公式</t>
        </is>
      </c>
      <c r="N27" s="56" t="inlineStr">
        <is>
          <t>备注</t>
        </is>
      </c>
    </row>
    <row r="28" ht="20" customHeight="1" s="4">
      <c r="A28" s="50" t="inlineStr">
        <is>
          <t>Group B</t>
        </is>
      </c>
      <c r="B28" s="50" t="n">
        <v>2</v>
      </c>
      <c r="C28" s="50" t="inlineStr">
        <is>
          <t>DV</t>
        </is>
      </c>
      <c r="D28" s="50" t="inlineStr">
        <is>
          <t>Group B Sequence Tests</t>
        </is>
      </c>
      <c r="E28" s="50" t="inlineStr">
        <is>
          <t>L1&amp;L4</t>
        </is>
      </c>
      <c r="F28" s="50" t="inlineStr">
        <is>
          <t>L1&amp;L4 Performance Evaluation &amp; Functional Evaluation</t>
        </is>
      </c>
      <c r="G28" s="50" t="inlineStr">
        <is>
          <t>15-26</t>
        </is>
      </c>
      <c r="H28" s="50" t="inlineStr">
        <is>
          <t>12 个样品</t>
        </is>
      </c>
      <c r="I28" s="50" t="inlineStr">
        <is>
          <t>72 h</t>
        </is>
      </c>
      <c r="J28" s="50" t="inlineStr">
        <is>
          <t>按样品数量</t>
        </is>
      </c>
      <c r="K28" s="50" t="inlineStr">
        <is>
          <t>700/个</t>
        </is>
      </c>
      <c r="L28" s="51" t="n">
        <v>8400</v>
      </c>
      <c r="M28" s="50" t="inlineStr">
        <is>
          <t>12个 × 700/个 = 8,400</t>
        </is>
      </c>
      <c r="N28" s="50" t="n"/>
    </row>
    <row r="29" ht="20" customHeight="1" s="4">
      <c r="A29" s="50" t="inlineStr">
        <is>
          <t>Group B</t>
        </is>
      </c>
      <c r="B29" s="50" t="n">
        <v>3</v>
      </c>
      <c r="C29" s="50" t="inlineStr">
        <is>
          <t>DV</t>
        </is>
      </c>
      <c r="D29" s="50" t="inlineStr">
        <is>
          <t>Group B Sequence Tests</t>
        </is>
      </c>
      <c r="E29" s="50" t="inlineStr">
        <is>
          <t>K22</t>
        </is>
      </c>
      <c r="F29" s="50" t="inlineStr">
        <is>
          <t>K22 Chemical Resistance</t>
        </is>
      </c>
      <c r="G29" s="50" t="inlineStr">
        <is>
          <t>15-26</t>
        </is>
      </c>
      <c r="H29" s="50" t="inlineStr">
        <is>
          <t>72 h</t>
        </is>
      </c>
      <c r="I29" s="50" t="inlineStr">
        <is>
          <t>72 h</t>
        </is>
      </c>
      <c r="J29" s="50" t="inlineStr">
        <is>
          <t>按小时</t>
        </is>
      </c>
      <c r="K29" s="50" t="inlineStr">
        <is>
          <t>组合总价（见费用规则）</t>
        </is>
      </c>
      <c r="L29" s="51" t="n">
        <v>12300</v>
      </c>
      <c r="M29" s="50" t="inlineStr">
        <is>
          <t>特殊组合计费，按规则表总价 = 12,300</t>
        </is>
      </c>
      <c r="N29" s="50" t="inlineStr">
        <is>
          <t>K22 Chemical Resistance 按 MLA 条件 1 的 15 种试剂；试剂数量 × 各实验室试剂单价 + 测试时间 × 时间单价 计算</t>
        </is>
      </c>
    </row>
    <row r="30" ht="20" customHeight="1" s="4">
      <c r="A30" s="50" t="inlineStr">
        <is>
          <t>Group B</t>
        </is>
      </c>
      <c r="B30" s="50" t="n">
        <v>4</v>
      </c>
      <c r="C30" s="50" t="inlineStr">
        <is>
          <t>DV</t>
        </is>
      </c>
      <c r="D30" s="50" t="inlineStr">
        <is>
          <t>Group B Sequence Tests</t>
        </is>
      </c>
      <c r="E30" s="50" t="inlineStr">
        <is>
          <t>K18</t>
        </is>
      </c>
      <c r="F30" s="50" t="inlineStr">
        <is>
          <t>K18 Connector and lead/lock strength</t>
        </is>
      </c>
      <c r="G30" s="50" t="inlineStr">
        <is>
          <t>15-26</t>
        </is>
      </c>
      <c r="H30" s="50" t="inlineStr">
        <is>
          <t>12 个样品</t>
        </is>
      </c>
      <c r="I30" s="50" t="inlineStr">
        <is>
          <t>168 h</t>
        </is>
      </c>
      <c r="J30" s="50" t="inlineStr">
        <is>
          <t>按样品数量</t>
        </is>
      </c>
      <c r="K30" s="50" t="inlineStr">
        <is>
          <t>组合总价（见费用规则）</t>
        </is>
      </c>
      <c r="L30" s="51" t="n">
        <v>27500</v>
      </c>
      <c r="M30" s="50" t="inlineStr">
        <is>
          <t>特殊组合计费，按规则表总价 = 27,500</t>
        </is>
      </c>
      <c r="N30" s="50" t="inlineStr">
        <is>
          <t>K18.1-K18.4 四项 × 12 台样机 × 单价 + K18.1 微应力费用</t>
        </is>
      </c>
    </row>
    <row r="31" ht="20" customHeight="1" s="4">
      <c r="A31" s="50" t="inlineStr">
        <is>
          <t>Group B</t>
        </is>
      </c>
      <c r="B31" s="50" t="n">
        <v>5</v>
      </c>
      <c r="C31" s="50" t="inlineStr">
        <is>
          <t>DV</t>
        </is>
      </c>
      <c r="D31" s="50" t="inlineStr">
        <is>
          <t>Group B Sequence Tests</t>
        </is>
      </c>
      <c r="E31" s="50" t="inlineStr">
        <is>
          <t>L1&amp;L4</t>
        </is>
      </c>
      <c r="F31" s="50" t="inlineStr">
        <is>
          <t>L1&amp;L4 Performance Evaluation &amp; Functional Evaluation</t>
        </is>
      </c>
      <c r="G31" s="50" t="inlineStr">
        <is>
          <t>15-26</t>
        </is>
      </c>
      <c r="H31" s="50" t="inlineStr">
        <is>
          <t>12 个样品</t>
        </is>
      </c>
      <c r="I31" s="50" t="inlineStr">
        <is>
          <t>72 h</t>
        </is>
      </c>
      <c r="J31" s="50" t="inlineStr">
        <is>
          <t>按样品数量</t>
        </is>
      </c>
      <c r="K31" s="50" t="inlineStr">
        <is>
          <t>700/个</t>
        </is>
      </c>
      <c r="L31" s="51" t="n">
        <v>8400</v>
      </c>
      <c r="M31" s="50" t="inlineStr">
        <is>
          <t>12个 × 700/个 = 8,400</t>
        </is>
      </c>
      <c r="N31" s="50" t="n"/>
    </row>
    <row r="32" ht="24" customHeight="1" s="4">
      <c r="A32" s="54" t="inlineStr">
        <is>
          <t>Group C：DV / Group C Sequence Tests</t>
        </is>
      </c>
    </row>
    <row r="33" ht="24" customHeight="1" s="4">
      <c r="A33" s="56" t="inlineStr">
        <is>
          <t>组别顺序</t>
        </is>
      </c>
      <c r="B33" s="56" t="inlineStr">
        <is>
          <t>组内顺序</t>
        </is>
      </c>
      <c r="C33" s="56" t="inlineStr">
        <is>
          <t>Phase</t>
        </is>
      </c>
      <c r="D33" s="56" t="inlineStr">
        <is>
          <t>Group</t>
        </is>
      </c>
      <c r="E33" s="56" t="inlineStr">
        <is>
          <t>测试编号</t>
        </is>
      </c>
      <c r="F33" s="56" t="inlineStr">
        <is>
          <t>测试项目</t>
        </is>
      </c>
      <c r="G33" s="56" t="inlineStr">
        <is>
          <t>样品范围</t>
        </is>
      </c>
      <c r="H33" s="56" t="inlineStr">
        <is>
          <t>计费基数</t>
        </is>
      </c>
      <c r="I33" s="56" t="inlineStr">
        <is>
          <t>测试时间</t>
        </is>
      </c>
      <c r="J33" s="56" t="inlineStr">
        <is>
          <t>计费方式</t>
        </is>
      </c>
      <c r="K33" s="56" t="inlineStr">
        <is>
          <t>单价</t>
        </is>
      </c>
      <c r="L33" s="57" t="inlineStr">
        <is>
          <t>委外费用</t>
        </is>
      </c>
      <c r="M33" s="56" t="inlineStr">
        <is>
          <t>费用计算公式</t>
        </is>
      </c>
      <c r="N33" s="56" t="inlineStr">
        <is>
          <t>备注</t>
        </is>
      </c>
    </row>
    <row r="34" ht="20" customHeight="1" s="4">
      <c r="A34" s="50" t="inlineStr">
        <is>
          <t>Group C</t>
        </is>
      </c>
      <c r="B34" s="50" t="n">
        <v>2</v>
      </c>
      <c r="C34" s="50" t="inlineStr">
        <is>
          <t>DV</t>
        </is>
      </c>
      <c r="D34" s="50" t="inlineStr">
        <is>
          <t>Group C Sequence Tests</t>
        </is>
      </c>
      <c r="E34" s="50" t="inlineStr">
        <is>
          <t>L1&amp;L4</t>
        </is>
      </c>
      <c r="F34" s="50" t="inlineStr">
        <is>
          <t>L1&amp;L4 Performance Evaluation &amp; Functional Evaluation</t>
        </is>
      </c>
      <c r="G34" s="50" t="inlineStr">
        <is>
          <t>27-32</t>
        </is>
      </c>
      <c r="H34" s="50" t="inlineStr">
        <is>
          <t>6 个样品</t>
        </is>
      </c>
      <c r="I34" s="50" t="inlineStr">
        <is>
          <t>72 h</t>
        </is>
      </c>
      <c r="J34" s="50" t="inlineStr">
        <is>
          <t>按样品数量</t>
        </is>
      </c>
      <c r="K34" s="50" t="inlineStr">
        <is>
          <t>700/个</t>
        </is>
      </c>
      <c r="L34" s="51" t="n">
        <v>4200</v>
      </c>
      <c r="M34" s="50" t="inlineStr">
        <is>
          <t>6个 × 700/个 = 4,200</t>
        </is>
      </c>
      <c r="N34" s="50" t="n"/>
    </row>
    <row r="35" ht="20" customHeight="1" s="4">
      <c r="A35" s="50" t="inlineStr">
        <is>
          <t>Group C</t>
        </is>
      </c>
      <c r="B35" s="50" t="n">
        <v>3</v>
      </c>
      <c r="C35" s="50" t="inlineStr">
        <is>
          <t>DV</t>
        </is>
      </c>
      <c r="D35" s="50" t="inlineStr">
        <is>
          <t>Group C Sequence Tests</t>
        </is>
      </c>
      <c r="E35" s="50" t="inlineStr">
        <is>
          <t>K7</t>
        </is>
      </c>
      <c r="F35" s="50" t="inlineStr">
        <is>
          <t>K7 Thermal Shock in Air</t>
        </is>
      </c>
      <c r="G35" s="50" t="inlineStr">
        <is>
          <t>27-32</t>
        </is>
      </c>
      <c r="H35" s="50" t="inlineStr">
        <is>
          <t>105 h</t>
        </is>
      </c>
      <c r="I35" s="50" t="inlineStr">
        <is>
          <t>105 h</t>
        </is>
      </c>
      <c r="J35" s="50" t="inlineStr">
        <is>
          <t>按小时</t>
        </is>
      </c>
      <c r="K35" s="50" t="inlineStr">
        <is>
          <t>70/h</t>
        </is>
      </c>
      <c r="L35" s="51" t="n">
        <v>7350</v>
      </c>
      <c r="M35" s="50" t="inlineStr">
        <is>
          <t>105h × 70/h = 7,350</t>
        </is>
      </c>
      <c r="N35" s="50" t="n"/>
    </row>
    <row r="36" ht="20" customHeight="1" s="4">
      <c r="A36" s="50" t="inlineStr">
        <is>
          <t>Group C</t>
        </is>
      </c>
      <c r="B36" s="50" t="n">
        <v>4</v>
      </c>
      <c r="C36" s="50" t="inlineStr">
        <is>
          <t>DV</t>
        </is>
      </c>
      <c r="D36" s="50" t="inlineStr">
        <is>
          <t>Group C Sequence Tests</t>
        </is>
      </c>
      <c r="E36" s="50" t="inlineStr">
        <is>
          <t>Particle</t>
        </is>
      </c>
      <c r="F36" s="50" t="inlineStr">
        <is>
          <t>Particle Exposure</t>
        </is>
      </c>
      <c r="G36" s="50" t="inlineStr">
        <is>
          <t>27-32</t>
        </is>
      </c>
      <c r="H36" s="50" t="n"/>
      <c r="I36" s="50" t="inlineStr">
        <is>
          <t>48 h</t>
        </is>
      </c>
      <c r="J36" s="50" t="inlineStr">
        <is>
          <t>按批次</t>
        </is>
      </c>
      <c r="K36" s="50" t="inlineStr">
        <is>
          <t>1,500/批</t>
        </is>
      </c>
      <c r="L36" s="51" t="n">
        <v>3000</v>
      </c>
      <c r="M36" s="50" t="inlineStr">
        <is>
          <t>A组已计入粉尘费/清洁费，当前仅计批次费：2批 × 1,500/批 = 3,000</t>
        </is>
      </c>
      <c r="N36" s="50" t="inlineStr">
        <is>
          <t>Particle Exposure：A组已覆盖粉尘/清洁，当前只计新增批次费</t>
        </is>
      </c>
    </row>
    <row r="37" ht="20" customHeight="1" s="4">
      <c r="A37" s="50" t="inlineStr">
        <is>
          <t>Group C</t>
        </is>
      </c>
      <c r="B37" s="50" t="n">
        <v>5</v>
      </c>
      <c r="C37" s="50" t="inlineStr">
        <is>
          <t>DV</t>
        </is>
      </c>
      <c r="D37" s="50" t="inlineStr">
        <is>
          <t>Group C Sequence Tests</t>
        </is>
      </c>
      <c r="E37" s="50" t="inlineStr">
        <is>
          <t>K15</t>
        </is>
      </c>
      <c r="F37" s="50" t="inlineStr">
        <is>
          <t>K15 Vibartion</t>
        </is>
      </c>
      <c r="G37" s="50" t="inlineStr">
        <is>
          <t>27-32</t>
        </is>
      </c>
      <c r="H37" s="50" t="inlineStr">
        <is>
          <t>24 h</t>
        </is>
      </c>
      <c r="I37" s="50" t="inlineStr">
        <is>
          <t>24 h</t>
        </is>
      </c>
      <c r="J37" s="50" t="inlineStr">
        <is>
          <t>按小时</t>
        </is>
      </c>
      <c r="K37" s="50" t="inlineStr">
        <is>
          <t>400/h</t>
        </is>
      </c>
      <c r="L37" s="51" t="n">
        <v>9600</v>
      </c>
      <c r="M37" s="50" t="inlineStr">
        <is>
          <t>24h × 400/h = 9,600</t>
        </is>
      </c>
      <c r="N37" s="50" t="n"/>
    </row>
    <row r="38" ht="20" customHeight="1" s="4">
      <c r="A38" s="50" t="inlineStr">
        <is>
          <t>Group C</t>
        </is>
      </c>
      <c r="B38" s="50" t="n">
        <v>6</v>
      </c>
      <c r="C38" s="50" t="inlineStr">
        <is>
          <t>DV</t>
        </is>
      </c>
      <c r="D38" s="50" t="inlineStr">
        <is>
          <t>Group C Sequence Tests</t>
        </is>
      </c>
      <c r="E38" s="50" t="inlineStr">
        <is>
          <t>K13</t>
        </is>
      </c>
      <c r="F38" s="50" t="inlineStr">
        <is>
          <t>K13 Dust Ingress</t>
        </is>
      </c>
      <c r="G38" s="50" t="inlineStr">
        <is>
          <t>27-32</t>
        </is>
      </c>
      <c r="H38" s="50" t="inlineStr">
        <is>
          <t>2 批</t>
        </is>
      </c>
      <c r="I38" s="50" t="inlineStr">
        <is>
          <t>48 h</t>
        </is>
      </c>
      <c r="J38" s="50" t="inlineStr">
        <is>
          <t>按批次</t>
        </is>
      </c>
      <c r="K38" s="50" t="inlineStr">
        <is>
          <t>1,500/批</t>
        </is>
      </c>
      <c r="L38" s="51" t="n">
        <v>3000</v>
      </c>
      <c r="M38" s="50" t="inlineStr">
        <is>
          <t>2批 × 1,500/批 = 3,000</t>
        </is>
      </c>
      <c r="N38" s="50" t="n"/>
    </row>
    <row r="39" ht="20" customHeight="1" s="4">
      <c r="A39" s="50" t="inlineStr">
        <is>
          <t>Group C</t>
        </is>
      </c>
      <c r="B39" s="50" t="n">
        <v>8</v>
      </c>
      <c r="C39" s="50" t="inlineStr">
        <is>
          <t>DV</t>
        </is>
      </c>
      <c r="D39" s="50" t="inlineStr">
        <is>
          <t>Group C Sequence Tests</t>
        </is>
      </c>
      <c r="E39" s="50" t="inlineStr">
        <is>
          <t>K26</t>
        </is>
      </c>
      <c r="F39" s="50" t="inlineStr">
        <is>
          <t>K26 Mechanical Wear-Out</t>
        </is>
      </c>
      <c r="G39" s="50" t="inlineStr">
        <is>
          <t>27-32</t>
        </is>
      </c>
      <c r="H39" s="50" t="inlineStr">
        <is>
          <t>500 h</t>
        </is>
      </c>
      <c r="I39" s="50" t="inlineStr">
        <is>
          <t>500 h</t>
        </is>
      </c>
      <c r="J39" s="50" t="inlineStr">
        <is>
          <t>按小时</t>
        </is>
      </c>
      <c r="K39" s="50" t="inlineStr">
        <is>
          <t>组合总价（见费用规则）</t>
        </is>
      </c>
      <c r="L39" s="51" t="n">
        <v>6488</v>
      </c>
      <c r="M39" s="50" t="inlineStr">
        <is>
          <t>特殊组合计费，按规则表总价 = 6,488</t>
        </is>
      </c>
      <c r="N39" s="50" t="inlineStr">
        <is>
          <t>K26 Mechanical Wear-Out 按 334h 常温 + 83h 低温 + 83h 高温分别计费，采用当前实验室总价</t>
        </is>
      </c>
    </row>
    <row r="40" ht="20" customHeight="1" s="4">
      <c r="A40" s="50" t="inlineStr">
        <is>
          <t>Group C</t>
        </is>
      </c>
      <c r="B40" s="50" t="n">
        <v>9</v>
      </c>
      <c r="C40" s="50" t="inlineStr">
        <is>
          <t>DV</t>
        </is>
      </c>
      <c r="D40" s="50" t="inlineStr">
        <is>
          <t>Group C Sequence Tests</t>
        </is>
      </c>
      <c r="E40" s="50" t="inlineStr">
        <is>
          <t>L1&amp;L4</t>
        </is>
      </c>
      <c r="F40" s="50" t="inlineStr">
        <is>
          <t>L1&amp;L4 Performance Evaluation &amp; Functional Evaluation</t>
        </is>
      </c>
      <c r="G40" s="50" t="inlineStr">
        <is>
          <t>27-32</t>
        </is>
      </c>
      <c r="H40" s="50" t="inlineStr">
        <is>
          <t>6 个样品</t>
        </is>
      </c>
      <c r="I40" s="50" t="inlineStr">
        <is>
          <t>48 h</t>
        </is>
      </c>
      <c r="J40" s="50" t="inlineStr">
        <is>
          <t>按样品数量</t>
        </is>
      </c>
      <c r="K40" s="50" t="inlineStr">
        <is>
          <t>700/个</t>
        </is>
      </c>
      <c r="L40" s="51" t="n">
        <v>4200</v>
      </c>
      <c r="M40" s="50" t="inlineStr">
        <is>
          <t>6个 × 700/个 = 4,200</t>
        </is>
      </c>
      <c r="N40" s="50" t="n"/>
    </row>
    <row r="41" ht="24" customHeight="1" s="4">
      <c r="A41" s="54" t="inlineStr">
        <is>
          <t>Group D-1：DV / Group D Parallel Tests / D-1 Corrosive Gases</t>
        </is>
      </c>
    </row>
    <row r="42" ht="24" customHeight="1" s="4">
      <c r="A42" s="56" t="inlineStr">
        <is>
          <t>组别顺序</t>
        </is>
      </c>
      <c r="B42" s="56" t="inlineStr">
        <is>
          <t>组内顺序</t>
        </is>
      </c>
      <c r="C42" s="56" t="inlineStr">
        <is>
          <t>Phase</t>
        </is>
      </c>
      <c r="D42" s="56" t="inlineStr">
        <is>
          <t>Group</t>
        </is>
      </c>
      <c r="E42" s="56" t="inlineStr">
        <is>
          <t>测试编号</t>
        </is>
      </c>
      <c r="F42" s="56" t="inlineStr">
        <is>
          <t>测试项目</t>
        </is>
      </c>
      <c r="G42" s="56" t="inlineStr">
        <is>
          <t>样品范围</t>
        </is>
      </c>
      <c r="H42" s="56" t="inlineStr">
        <is>
          <t>计费基数</t>
        </is>
      </c>
      <c r="I42" s="56" t="inlineStr">
        <is>
          <t>测试时间</t>
        </is>
      </c>
      <c r="J42" s="56" t="inlineStr">
        <is>
          <t>计费方式</t>
        </is>
      </c>
      <c r="K42" s="56" t="inlineStr">
        <is>
          <t>单价</t>
        </is>
      </c>
      <c r="L42" s="57" t="inlineStr">
        <is>
          <t>委外费用</t>
        </is>
      </c>
      <c r="M42" s="56" t="inlineStr">
        <is>
          <t>费用计算公式</t>
        </is>
      </c>
      <c r="N42" s="56" t="inlineStr">
        <is>
          <t>备注</t>
        </is>
      </c>
    </row>
    <row r="43" ht="20" customHeight="1" s="4">
      <c r="A43" s="50" t="inlineStr">
        <is>
          <t>Group D-1</t>
        </is>
      </c>
      <c r="B43" s="50" t="n">
        <v>2</v>
      </c>
      <c r="C43" s="50" t="inlineStr">
        <is>
          <t>DV</t>
        </is>
      </c>
      <c r="D43" s="50" t="inlineStr">
        <is>
          <t>Group D Parallel Tests / D-1 Corrosive Gases</t>
        </is>
      </c>
      <c r="E43" s="50" t="inlineStr">
        <is>
          <t>L1&amp;L4</t>
        </is>
      </c>
      <c r="F43" s="50" t="inlineStr">
        <is>
          <t>L1&amp;L4 Performance Evaluation &amp; Functional Evaluation</t>
        </is>
      </c>
      <c r="G43" s="50" t="inlineStr">
        <is>
          <t>33-38</t>
        </is>
      </c>
      <c r="H43" s="50" t="inlineStr">
        <is>
          <t>6 个样品</t>
        </is>
      </c>
      <c r="I43" s="50" t="inlineStr">
        <is>
          <t>72 h</t>
        </is>
      </c>
      <c r="J43" s="50" t="inlineStr">
        <is>
          <t>按样品数量</t>
        </is>
      </c>
      <c r="K43" s="50" t="inlineStr">
        <is>
          <t>700/个</t>
        </is>
      </c>
      <c r="L43" s="51" t="n">
        <v>4200</v>
      </c>
      <c r="M43" s="50" t="inlineStr">
        <is>
          <t>6个 × 700/个 = 4,200</t>
        </is>
      </c>
      <c r="N43" s="50" t="n"/>
    </row>
    <row r="44" ht="20" customHeight="1" s="4">
      <c r="A44" s="50" t="inlineStr">
        <is>
          <t>Group D-1</t>
        </is>
      </c>
      <c r="B44" s="50" t="n">
        <v>3</v>
      </c>
      <c r="C44" s="50" t="inlineStr">
        <is>
          <t>DV</t>
        </is>
      </c>
      <c r="D44" s="50" t="inlineStr">
        <is>
          <t>Group D Parallel Tests / D-1 Corrosive Gases</t>
        </is>
      </c>
      <c r="E44" s="50" t="inlineStr">
        <is>
          <t>K21</t>
        </is>
      </c>
      <c r="F44" s="50" t="inlineStr">
        <is>
          <t>K21 Corrosive Gases</t>
        </is>
      </c>
      <c r="G44" s="50" t="inlineStr">
        <is>
          <t>33-38</t>
        </is>
      </c>
      <c r="H44" s="50" t="inlineStr">
        <is>
          <t>336 h</t>
        </is>
      </c>
      <c r="I44" s="50" t="inlineStr">
        <is>
          <t>336 h</t>
        </is>
      </c>
      <c r="J44" s="50" t="inlineStr">
        <is>
          <t>按小时</t>
        </is>
      </c>
      <c r="K44" s="50" t="inlineStr">
        <is>
          <t>120/h</t>
        </is>
      </c>
      <c r="L44" s="51" t="n">
        <v>40320</v>
      </c>
      <c r="M44" s="50" t="inlineStr">
        <is>
          <t>336h × 120/h = 40,320</t>
        </is>
      </c>
      <c r="N44" s="50" t="n"/>
    </row>
    <row r="45" ht="20" customHeight="1" s="4">
      <c r="A45" s="50" t="inlineStr">
        <is>
          <t>Group D-1</t>
        </is>
      </c>
      <c r="B45" s="50" t="n">
        <v>4</v>
      </c>
      <c r="C45" s="50" t="inlineStr">
        <is>
          <t>DV</t>
        </is>
      </c>
      <c r="D45" s="50" t="inlineStr">
        <is>
          <t>Group D Parallel Tests / D-1 Corrosive Gases</t>
        </is>
      </c>
      <c r="E45" s="50" t="inlineStr">
        <is>
          <t>L1&amp;L4</t>
        </is>
      </c>
      <c r="F45" s="50" t="inlineStr">
        <is>
          <t>L1&amp;L4 Performance Evaluation &amp; Functional Evaluation</t>
        </is>
      </c>
      <c r="G45" s="50" t="inlineStr">
        <is>
          <t>33-38</t>
        </is>
      </c>
      <c r="H45" s="50" t="inlineStr">
        <is>
          <t>6 个样品</t>
        </is>
      </c>
      <c r="I45" s="50" t="inlineStr">
        <is>
          <t>48 h</t>
        </is>
      </c>
      <c r="J45" s="50" t="inlineStr">
        <is>
          <t>按样品数量</t>
        </is>
      </c>
      <c r="K45" s="50" t="inlineStr">
        <is>
          <t>700/个</t>
        </is>
      </c>
      <c r="L45" s="51" t="n">
        <v>4200</v>
      </c>
      <c r="M45" s="50" t="inlineStr">
        <is>
          <t>6个 × 700/个 = 4,200</t>
        </is>
      </c>
      <c r="N45" s="50" t="n"/>
    </row>
    <row r="46" ht="24" customHeight="1" s="4">
      <c r="A46" s="54" t="inlineStr">
        <is>
          <t>Group D-2：DV / Group D Parallel Tests / D-2 Solar Radiation</t>
        </is>
      </c>
    </row>
    <row r="47" ht="24" customHeight="1" s="4">
      <c r="A47" s="56" t="inlineStr">
        <is>
          <t>组别顺序</t>
        </is>
      </c>
      <c r="B47" s="56" t="inlineStr">
        <is>
          <t>组内顺序</t>
        </is>
      </c>
      <c r="C47" s="56" t="inlineStr">
        <is>
          <t>Phase</t>
        </is>
      </c>
      <c r="D47" s="56" t="inlineStr">
        <is>
          <t>Group</t>
        </is>
      </c>
      <c r="E47" s="56" t="inlineStr">
        <is>
          <t>测试编号</t>
        </is>
      </c>
      <c r="F47" s="56" t="inlineStr">
        <is>
          <t>测试项目</t>
        </is>
      </c>
      <c r="G47" s="56" t="inlineStr">
        <is>
          <t>样品范围</t>
        </is>
      </c>
      <c r="H47" s="56" t="inlineStr">
        <is>
          <t>计费基数</t>
        </is>
      </c>
      <c r="I47" s="56" t="inlineStr">
        <is>
          <t>测试时间</t>
        </is>
      </c>
      <c r="J47" s="56" t="inlineStr">
        <is>
          <t>计费方式</t>
        </is>
      </c>
      <c r="K47" s="56" t="inlineStr">
        <is>
          <t>单价</t>
        </is>
      </c>
      <c r="L47" s="57" t="inlineStr">
        <is>
          <t>委外费用</t>
        </is>
      </c>
      <c r="M47" s="56" t="inlineStr">
        <is>
          <t>费用计算公式</t>
        </is>
      </c>
      <c r="N47" s="56" t="inlineStr">
        <is>
          <t>备注</t>
        </is>
      </c>
    </row>
    <row r="48" ht="20" customHeight="1" s="4">
      <c r="A48" s="50" t="inlineStr">
        <is>
          <t>Group D-2</t>
        </is>
      </c>
      <c r="B48" s="50" t="n">
        <v>2</v>
      </c>
      <c r="C48" s="50" t="inlineStr">
        <is>
          <t>DV</t>
        </is>
      </c>
      <c r="D48" s="50" t="inlineStr">
        <is>
          <t>Group D Parallel Tests / D-2 Solar Radiation</t>
        </is>
      </c>
      <c r="E48" s="50" t="inlineStr">
        <is>
          <t>L1&amp;L4</t>
        </is>
      </c>
      <c r="F48" s="50" t="inlineStr">
        <is>
          <t>L1&amp;L4 Performance Evaluation &amp; Functional Evaluation</t>
        </is>
      </c>
      <c r="G48" s="50" t="inlineStr">
        <is>
          <t>39-44</t>
        </is>
      </c>
      <c r="H48" s="50" t="inlineStr">
        <is>
          <t>6 个样品</t>
        </is>
      </c>
      <c r="I48" s="50" t="inlineStr">
        <is>
          <t>72 h</t>
        </is>
      </c>
      <c r="J48" s="50" t="inlineStr">
        <is>
          <t>按样品数量</t>
        </is>
      </c>
      <c r="K48" s="50" t="inlineStr">
        <is>
          <t>700/个</t>
        </is>
      </c>
      <c r="L48" s="51" t="n">
        <v>4200</v>
      </c>
      <c r="M48" s="50" t="inlineStr">
        <is>
          <t>6个 × 700/个 = 4,200</t>
        </is>
      </c>
      <c r="N48" s="50" t="n"/>
    </row>
    <row r="49" ht="20" customHeight="1" s="4">
      <c r="A49" s="50" t="inlineStr">
        <is>
          <t>Group D-2</t>
        </is>
      </c>
      <c r="B49" s="50" t="n">
        <v>3</v>
      </c>
      <c r="C49" s="50" t="inlineStr">
        <is>
          <t>DV</t>
        </is>
      </c>
      <c r="D49" s="50" t="inlineStr">
        <is>
          <t>Group D Parallel Tests / D-2 Solar Radiation</t>
        </is>
      </c>
      <c r="E49" s="50" t="inlineStr">
        <is>
          <t>K20</t>
        </is>
      </c>
      <c r="F49" s="50" t="inlineStr">
        <is>
          <t>K20 Solar Radiation</t>
        </is>
      </c>
      <c r="G49" s="50" t="inlineStr">
        <is>
          <t>39-44</t>
        </is>
      </c>
      <c r="H49" s="50" t="inlineStr">
        <is>
          <t>720 h</t>
        </is>
      </c>
      <c r="I49" s="50" t="inlineStr">
        <is>
          <t>720 h</t>
        </is>
      </c>
      <c r="J49" s="50" t="inlineStr">
        <is>
          <t>按小时</t>
        </is>
      </c>
      <c r="K49" s="50" t="inlineStr">
        <is>
          <t>400/h</t>
        </is>
      </c>
      <c r="L49" s="51" t="n">
        <v>288000</v>
      </c>
      <c r="M49" s="50" t="inlineStr">
        <is>
          <t>720h × 400/h = 288,000</t>
        </is>
      </c>
      <c r="N49" s="50" t="n"/>
    </row>
    <row r="50" ht="20" customHeight="1" s="4">
      <c r="A50" s="50" t="inlineStr">
        <is>
          <t>Group D-2</t>
        </is>
      </c>
      <c r="B50" s="50" t="n">
        <v>4</v>
      </c>
      <c r="C50" s="50" t="inlineStr">
        <is>
          <t>DV</t>
        </is>
      </c>
      <c r="D50" s="50" t="inlineStr">
        <is>
          <t>Group D Parallel Tests / D-2 Solar Radiation</t>
        </is>
      </c>
      <c r="E50" s="50" t="inlineStr">
        <is>
          <t>L1&amp;L4</t>
        </is>
      </c>
      <c r="F50" s="50" t="inlineStr">
        <is>
          <t>L1&amp;L4 Performance Evaluation &amp; Functional Evaluation</t>
        </is>
      </c>
      <c r="G50" s="50" t="inlineStr">
        <is>
          <t>39-44</t>
        </is>
      </c>
      <c r="H50" s="50" t="inlineStr">
        <is>
          <t>6 个样品</t>
        </is>
      </c>
      <c r="I50" s="50" t="inlineStr">
        <is>
          <t>48 h</t>
        </is>
      </c>
      <c r="J50" s="50" t="inlineStr">
        <is>
          <t>按样品数量</t>
        </is>
      </c>
      <c r="K50" s="50" t="inlineStr">
        <is>
          <t>700/个</t>
        </is>
      </c>
      <c r="L50" s="51" t="n">
        <v>4200</v>
      </c>
      <c r="M50" s="50" t="inlineStr">
        <is>
          <t>6个 × 700/个 = 4,200</t>
        </is>
      </c>
      <c r="N50" s="50" t="n"/>
    </row>
    <row r="51" ht="24" customHeight="1" s="4">
      <c r="A51" s="54" t="inlineStr">
        <is>
          <t>Group D-3：DV / Group D Parallel Tests / D-3 PCBA</t>
        </is>
      </c>
    </row>
    <row r="52" ht="24" customHeight="1" s="4">
      <c r="A52" s="56" t="inlineStr">
        <is>
          <t>组别顺序</t>
        </is>
      </c>
      <c r="B52" s="56" t="inlineStr">
        <is>
          <t>组内顺序</t>
        </is>
      </c>
      <c r="C52" s="56" t="inlineStr">
        <is>
          <t>Phase</t>
        </is>
      </c>
      <c r="D52" s="56" t="inlineStr">
        <is>
          <t>Group</t>
        </is>
      </c>
      <c r="E52" s="56" t="inlineStr">
        <is>
          <t>测试编号</t>
        </is>
      </c>
      <c r="F52" s="56" t="inlineStr">
        <is>
          <t>测试项目</t>
        </is>
      </c>
      <c r="G52" s="56" t="inlineStr">
        <is>
          <t>样品范围</t>
        </is>
      </c>
      <c r="H52" s="56" t="inlineStr">
        <is>
          <t>计费基数</t>
        </is>
      </c>
      <c r="I52" s="56" t="inlineStr">
        <is>
          <t>测试时间</t>
        </is>
      </c>
      <c r="J52" s="56" t="inlineStr">
        <is>
          <t>计费方式</t>
        </is>
      </c>
      <c r="K52" s="56" t="inlineStr">
        <is>
          <t>单价</t>
        </is>
      </c>
      <c r="L52" s="57" t="inlineStr">
        <is>
          <t>委外费用</t>
        </is>
      </c>
      <c r="M52" s="56" t="inlineStr">
        <is>
          <t>费用计算公式</t>
        </is>
      </c>
      <c r="N52" s="56" t="inlineStr">
        <is>
          <t>备注</t>
        </is>
      </c>
    </row>
    <row r="53" ht="20" customHeight="1" s="4">
      <c r="A53" s="50" t="inlineStr">
        <is>
          <t>Group D-3</t>
        </is>
      </c>
      <c r="B53" s="50" t="n">
        <v>2</v>
      </c>
      <c r="C53" s="50" t="inlineStr">
        <is>
          <t>DV</t>
        </is>
      </c>
      <c r="D53" s="50" t="inlineStr">
        <is>
          <t>Group D Parallel Tests / D-3 PCBA</t>
        </is>
      </c>
      <c r="E53" s="50" t="inlineStr">
        <is>
          <t>L1&amp;L4</t>
        </is>
      </c>
      <c r="F53" s="50" t="inlineStr">
        <is>
          <t>L1&amp;L4 Performance Evaluation &amp; Functional Evaluation</t>
        </is>
      </c>
      <c r="G53" s="50" t="inlineStr">
        <is>
          <t>45-52</t>
        </is>
      </c>
      <c r="H53" s="50" t="inlineStr">
        <is>
          <t>6 个样品</t>
        </is>
      </c>
      <c r="I53" s="50" t="inlineStr">
        <is>
          <t>72 h</t>
        </is>
      </c>
      <c r="J53" s="50" t="inlineStr">
        <is>
          <t>按样品数量</t>
        </is>
      </c>
      <c r="K53" s="50" t="inlineStr">
        <is>
          <t>700/个</t>
        </is>
      </c>
      <c r="L53" s="51" t="n">
        <v>4200</v>
      </c>
      <c r="M53" s="50" t="inlineStr">
        <is>
          <t>6个 × 700/个 = 4,200</t>
        </is>
      </c>
      <c r="N53" s="50" t="n"/>
    </row>
    <row r="54" ht="20" customHeight="1" s="4">
      <c r="A54" s="50" t="inlineStr">
        <is>
          <t>Group D-3</t>
        </is>
      </c>
      <c r="B54" s="50" t="n">
        <v>3</v>
      </c>
      <c r="C54" s="50" t="inlineStr">
        <is>
          <t>DV</t>
        </is>
      </c>
      <c r="D54" s="50" t="inlineStr">
        <is>
          <t>Group D Parallel Tests / D-3 PCBA</t>
        </is>
      </c>
      <c r="E54" s="50" t="inlineStr">
        <is>
          <t>K23</t>
        </is>
      </c>
      <c r="F54" s="50" t="inlineStr">
        <is>
          <t>K23 Thermal Shock Endurance</t>
        </is>
      </c>
      <c r="G54" s="50" t="inlineStr">
        <is>
          <t>45-52</t>
        </is>
      </c>
      <c r="H54" s="50" t="inlineStr">
        <is>
          <t>1017 h</t>
        </is>
      </c>
      <c r="I54" s="50" t="inlineStr">
        <is>
          <t>1017 h</t>
        </is>
      </c>
      <c r="J54" s="50" t="inlineStr">
        <is>
          <t>按小时</t>
        </is>
      </c>
      <c r="K54" s="50" t="inlineStr">
        <is>
          <t>50/h</t>
        </is>
      </c>
      <c r="L54" s="51" t="n">
        <v>50850</v>
      </c>
      <c r="M54" s="50" t="inlineStr">
        <is>
          <t>1,017h × 50/h = 50,850</t>
        </is>
      </c>
      <c r="N54" s="50" t="n"/>
    </row>
    <row r="55" ht="20" customHeight="1" s="4">
      <c r="A55" s="50" t="inlineStr">
        <is>
          <t>Group D-3</t>
        </is>
      </c>
      <c r="B55" s="50" t="n">
        <v>4</v>
      </c>
      <c r="C55" s="50" t="inlineStr">
        <is>
          <t>DV</t>
        </is>
      </c>
      <c r="D55" s="50" t="inlineStr">
        <is>
          <t>Group D Parallel Tests / D-3 PCBA</t>
        </is>
      </c>
      <c r="E55" s="50" t="inlineStr">
        <is>
          <t>L1&amp;L4</t>
        </is>
      </c>
      <c r="F55" s="50" t="inlineStr">
        <is>
          <t>L1&amp;L4 Performance Evaluation &amp; Functional Evaluation</t>
        </is>
      </c>
      <c r="G55" s="50" t="inlineStr">
        <is>
          <t>45-52</t>
        </is>
      </c>
      <c r="H55" s="50" t="inlineStr">
        <is>
          <t>6 个样品</t>
        </is>
      </c>
      <c r="I55" s="50" t="inlineStr">
        <is>
          <t>48 h</t>
        </is>
      </c>
      <c r="J55" s="50" t="inlineStr">
        <is>
          <t>按样品数量</t>
        </is>
      </c>
      <c r="K55" s="50" t="inlineStr">
        <is>
          <t>700/个</t>
        </is>
      </c>
      <c r="L55" s="51" t="n">
        <v>4200</v>
      </c>
      <c r="M55" s="50" t="inlineStr">
        <is>
          <t>6个 × 700/个 = 4,200</t>
        </is>
      </c>
      <c r="N55" s="50" t="n"/>
    </row>
    <row r="56" ht="20" customHeight="1" s="4">
      <c r="A56" s="50" t="inlineStr">
        <is>
          <t>Group D-3</t>
        </is>
      </c>
      <c r="B56" s="50" t="n">
        <v>6</v>
      </c>
      <c r="C56" s="50" t="inlineStr">
        <is>
          <t>DV</t>
        </is>
      </c>
      <c r="D56" s="50" t="inlineStr">
        <is>
          <t>Group D Parallel Tests / D-3 PCBA</t>
        </is>
      </c>
      <c r="E56" s="50" t="inlineStr">
        <is>
          <t>L6-SEM&amp;SECTION</t>
        </is>
      </c>
      <c r="F56" s="50" t="inlineStr">
        <is>
          <t>L6-SEM&amp;SECTION</t>
        </is>
      </c>
      <c r="G56" s="50" t="inlineStr">
        <is>
          <t>45-52</t>
        </is>
      </c>
      <c r="H56" s="50" t="inlineStr">
        <is>
          <t>33 个样品</t>
        </is>
      </c>
      <c r="I56" s="50" t="inlineStr">
        <is>
          <t>480 h</t>
        </is>
      </c>
      <c r="J56" s="50" t="inlineStr">
        <is>
          <t>按样品数量</t>
        </is>
      </c>
      <c r="K56" s="50" t="inlineStr">
        <is>
          <t>500/个</t>
        </is>
      </c>
      <c r="L56" s="51" t="n">
        <v>16500</v>
      </c>
      <c r="M56" s="50" t="inlineStr">
        <is>
          <t>33个 × 500/个 = 16,500</t>
        </is>
      </c>
      <c r="N56" s="50" t="inlineStr">
        <is>
          <t>L6-SEM&amp;SECTION 委外组合报价：SEM &amp; Sectioning 按 33 个测试点位采用当前实验室总价</t>
        </is>
      </c>
    </row>
    <row r="57" ht="24" customHeight="1" s="4">
      <c r="A57" s="54" t="inlineStr">
        <is>
          <t>Group D-4：DV / Group D Parallel Tests / D-4 Dewing Test</t>
        </is>
      </c>
    </row>
    <row r="58" ht="24" customHeight="1" s="4">
      <c r="A58" s="56" t="inlineStr">
        <is>
          <t>组别顺序</t>
        </is>
      </c>
      <c r="B58" s="56" t="inlineStr">
        <is>
          <t>组内顺序</t>
        </is>
      </c>
      <c r="C58" s="56" t="inlineStr">
        <is>
          <t>Phase</t>
        </is>
      </c>
      <c r="D58" s="56" t="inlineStr">
        <is>
          <t>Group</t>
        </is>
      </c>
      <c r="E58" s="56" t="inlineStr">
        <is>
          <t>测试编号</t>
        </is>
      </c>
      <c r="F58" s="56" t="inlineStr">
        <is>
          <t>测试项目</t>
        </is>
      </c>
      <c r="G58" s="56" t="inlineStr">
        <is>
          <t>样品范围</t>
        </is>
      </c>
      <c r="H58" s="56" t="inlineStr">
        <is>
          <t>计费基数</t>
        </is>
      </c>
      <c r="I58" s="56" t="inlineStr">
        <is>
          <t>测试时间</t>
        </is>
      </c>
      <c r="J58" s="56" t="inlineStr">
        <is>
          <t>计费方式</t>
        </is>
      </c>
      <c r="K58" s="56" t="inlineStr">
        <is>
          <t>单价</t>
        </is>
      </c>
      <c r="L58" s="57" t="inlineStr">
        <is>
          <t>委外费用</t>
        </is>
      </c>
      <c r="M58" s="56" t="inlineStr">
        <is>
          <t>费用计算公式</t>
        </is>
      </c>
      <c r="N58" s="56" t="inlineStr">
        <is>
          <t>备注</t>
        </is>
      </c>
    </row>
    <row r="59" ht="20" customHeight="1" s="4">
      <c r="A59" s="50" t="inlineStr">
        <is>
          <t>Group D-4</t>
        </is>
      </c>
      <c r="B59" s="50" t="n">
        <v>2</v>
      </c>
      <c r="C59" s="50" t="inlineStr">
        <is>
          <t>DV</t>
        </is>
      </c>
      <c r="D59" s="50" t="inlineStr">
        <is>
          <t>Group D Parallel Tests / D-4 Dewing Test</t>
        </is>
      </c>
      <c r="E59" s="50" t="inlineStr">
        <is>
          <t>L1&amp;L4</t>
        </is>
      </c>
      <c r="F59" s="50" t="inlineStr">
        <is>
          <t>L1&amp;L4 Performance Evaluation &amp; Functional Evaluation</t>
        </is>
      </c>
      <c r="G59" s="50" t="inlineStr">
        <is>
          <t>53-58</t>
        </is>
      </c>
      <c r="H59" s="50" t="inlineStr">
        <is>
          <t>6 个样品</t>
        </is>
      </c>
      <c r="I59" s="50" t="inlineStr">
        <is>
          <t>72 h</t>
        </is>
      </c>
      <c r="J59" s="50" t="inlineStr">
        <is>
          <t>按样品数量</t>
        </is>
      </c>
      <c r="K59" s="50" t="inlineStr">
        <is>
          <t>700/个</t>
        </is>
      </c>
      <c r="L59" s="51" t="n">
        <v>4200</v>
      </c>
      <c r="M59" s="50" t="inlineStr">
        <is>
          <t>6个 × 700/个 = 4,200</t>
        </is>
      </c>
      <c r="N59" s="50" t="n"/>
    </row>
    <row r="60" ht="20" customHeight="1" s="4">
      <c r="A60" s="50" t="inlineStr">
        <is>
          <t>Group D-4</t>
        </is>
      </c>
      <c r="B60" s="50" t="n">
        <v>3</v>
      </c>
      <c r="C60" s="50" t="inlineStr">
        <is>
          <t>DV</t>
        </is>
      </c>
      <c r="D60" s="50" t="inlineStr">
        <is>
          <t>Group D Parallel Tests / D-4 Dewing Test</t>
        </is>
      </c>
      <c r="E60" s="50" t="inlineStr">
        <is>
          <t>K8</t>
        </is>
      </c>
      <c r="F60" s="50" t="inlineStr">
        <is>
          <t>K8 Dewing Test</t>
        </is>
      </c>
      <c r="G60" s="50" t="inlineStr">
        <is>
          <t>53-58</t>
        </is>
      </c>
      <c r="H60" s="50" t="inlineStr">
        <is>
          <t>1 批</t>
        </is>
      </c>
      <c r="I60" s="50" t="inlineStr">
        <is>
          <t>48 h</t>
        </is>
      </c>
      <c r="J60" s="50" t="inlineStr">
        <is>
          <t>按批次</t>
        </is>
      </c>
      <c r="K60" s="50" t="inlineStr">
        <is>
          <t>5,000/批</t>
        </is>
      </c>
      <c r="L60" s="51" t="n">
        <v>5000</v>
      </c>
      <c r="M60" s="50" t="inlineStr">
        <is>
          <t>1批 × 5,000/批 = 5,000</t>
        </is>
      </c>
      <c r="N60" s="50" t="n"/>
    </row>
    <row r="61" ht="20" customHeight="1" s="4">
      <c r="A61" s="50" t="inlineStr">
        <is>
          <t>Group D-4</t>
        </is>
      </c>
      <c r="B61" s="50" t="n">
        <v>4</v>
      </c>
      <c r="C61" s="50" t="inlineStr">
        <is>
          <t>DV</t>
        </is>
      </c>
      <c r="D61" s="50" t="inlineStr">
        <is>
          <t>Group D Parallel Tests / D-4 Dewing Test</t>
        </is>
      </c>
      <c r="E61" s="50" t="inlineStr">
        <is>
          <t>L1&amp;L4</t>
        </is>
      </c>
      <c r="F61" s="50" t="inlineStr">
        <is>
          <t>L1&amp;L4 Performance Evaluation &amp; Functional Evaluation</t>
        </is>
      </c>
      <c r="G61" s="50" t="inlineStr">
        <is>
          <t>53-58</t>
        </is>
      </c>
      <c r="H61" s="50" t="inlineStr">
        <is>
          <t>6 个样品</t>
        </is>
      </c>
      <c r="I61" s="50" t="inlineStr">
        <is>
          <t>48 h</t>
        </is>
      </c>
      <c r="J61" s="50" t="inlineStr">
        <is>
          <t>按样品数量</t>
        </is>
      </c>
      <c r="K61" s="50" t="inlineStr">
        <is>
          <t>700/个</t>
        </is>
      </c>
      <c r="L61" s="51" t="n">
        <v>4200</v>
      </c>
      <c r="M61" s="50" t="inlineStr">
        <is>
          <t>6个 × 700/个 = 4,200</t>
        </is>
      </c>
      <c r="N61" s="50" t="n"/>
    </row>
    <row r="62" ht="24" customHeight="1" s="4">
      <c r="A62" s="54" t="inlineStr">
        <is>
          <t>Group D-5：DV / Group D Parallel Tests / D-5 Life Test-1</t>
        </is>
      </c>
    </row>
    <row r="63" ht="24" customHeight="1" s="4">
      <c r="A63" s="56" t="inlineStr">
        <is>
          <t>组别顺序</t>
        </is>
      </c>
      <c r="B63" s="56" t="inlineStr">
        <is>
          <t>组内顺序</t>
        </is>
      </c>
      <c r="C63" s="56" t="inlineStr">
        <is>
          <t>Phase</t>
        </is>
      </c>
      <c r="D63" s="56" t="inlineStr">
        <is>
          <t>Group</t>
        </is>
      </c>
      <c r="E63" s="56" t="inlineStr">
        <is>
          <t>测试编号</t>
        </is>
      </c>
      <c r="F63" s="56" t="inlineStr">
        <is>
          <t>测试项目</t>
        </is>
      </c>
      <c r="G63" s="56" t="inlineStr">
        <is>
          <t>样品范围</t>
        </is>
      </c>
      <c r="H63" s="56" t="inlineStr">
        <is>
          <t>计费基数</t>
        </is>
      </c>
      <c r="I63" s="56" t="inlineStr">
        <is>
          <t>测试时间</t>
        </is>
      </c>
      <c r="J63" s="56" t="inlineStr">
        <is>
          <t>计费方式</t>
        </is>
      </c>
      <c r="K63" s="56" t="inlineStr">
        <is>
          <t>单价</t>
        </is>
      </c>
      <c r="L63" s="57" t="inlineStr">
        <is>
          <t>委外费用</t>
        </is>
      </c>
      <c r="M63" s="56" t="inlineStr">
        <is>
          <t>费用计算公式</t>
        </is>
      </c>
      <c r="N63" s="56" t="inlineStr">
        <is>
          <t>备注</t>
        </is>
      </c>
    </row>
    <row r="64" ht="20" customHeight="1" s="4">
      <c r="A64" s="50" t="inlineStr">
        <is>
          <t>Group D-5</t>
        </is>
      </c>
      <c r="B64" s="50" t="n">
        <v>2</v>
      </c>
      <c r="C64" s="50" t="inlineStr">
        <is>
          <t>DV</t>
        </is>
      </c>
      <c r="D64" s="50" t="inlineStr">
        <is>
          <t>Group D Parallel Tests / D-5 Life Test-1</t>
        </is>
      </c>
      <c r="E64" s="50" t="inlineStr">
        <is>
          <t>L1&amp;L4</t>
        </is>
      </c>
      <c r="F64" s="50" t="inlineStr">
        <is>
          <t>L1&amp;L4 Performance Evaluation &amp; Functional Evaluation</t>
        </is>
      </c>
      <c r="G64" s="50" t="inlineStr">
        <is>
          <t>59-64</t>
        </is>
      </c>
      <c r="H64" s="50" t="inlineStr">
        <is>
          <t>6 个样品</t>
        </is>
      </c>
      <c r="I64" s="50" t="inlineStr">
        <is>
          <t>72 h</t>
        </is>
      </c>
      <c r="J64" s="50" t="inlineStr">
        <is>
          <t>按样品数量</t>
        </is>
      </c>
      <c r="K64" s="50" t="inlineStr">
        <is>
          <t>700/个</t>
        </is>
      </c>
      <c r="L64" s="51" t="n">
        <v>4200</v>
      </c>
      <c r="M64" s="50" t="inlineStr">
        <is>
          <t>6个 × 700/个 = 4,200</t>
        </is>
      </c>
      <c r="N64" s="50" t="n"/>
    </row>
    <row r="65" ht="20" customHeight="1" s="4">
      <c r="A65" s="50" t="inlineStr">
        <is>
          <t>Group D-5</t>
        </is>
      </c>
      <c r="B65" s="50" t="n">
        <v>3</v>
      </c>
      <c r="C65" s="50" t="inlineStr">
        <is>
          <t>DV</t>
        </is>
      </c>
      <c r="D65" s="50" t="inlineStr">
        <is>
          <t>Group D Parallel Tests / D-5 Life Test-1</t>
        </is>
      </c>
      <c r="E65" s="50" t="inlineStr">
        <is>
          <t>K24</t>
        </is>
      </c>
      <c r="F65" s="50" t="inlineStr">
        <is>
          <t>K24 High Temperature Endurance</t>
        </is>
      </c>
      <c r="G65" s="50" t="inlineStr">
        <is>
          <t>59-64</t>
        </is>
      </c>
      <c r="H65" s="50" t="inlineStr">
        <is>
          <t>1000 h</t>
        </is>
      </c>
      <c r="I65" s="50" t="inlineStr">
        <is>
          <t>1000 h</t>
        </is>
      </c>
      <c r="J65" s="50" t="inlineStr">
        <is>
          <t>按小时</t>
        </is>
      </c>
      <c r="K65" s="50" t="inlineStr">
        <is>
          <t>15/h</t>
        </is>
      </c>
      <c r="L65" s="51" t="n">
        <v>15000</v>
      </c>
      <c r="M65" s="50" t="inlineStr">
        <is>
          <t>1,000h × 15/h = 15,000</t>
        </is>
      </c>
      <c r="N65" s="50" t="n"/>
    </row>
    <row r="66" ht="20" customHeight="1" s="4">
      <c r="A66" s="50" t="inlineStr">
        <is>
          <t>Group D-5</t>
        </is>
      </c>
      <c r="B66" s="50" t="n">
        <v>4</v>
      </c>
      <c r="C66" s="50" t="inlineStr">
        <is>
          <t>DV</t>
        </is>
      </c>
      <c r="D66" s="50" t="inlineStr">
        <is>
          <t>Group D Parallel Tests / D-5 Life Test-1</t>
        </is>
      </c>
      <c r="E66" s="50" t="inlineStr">
        <is>
          <t>L1&amp;L4</t>
        </is>
      </c>
      <c r="F66" s="50" t="inlineStr">
        <is>
          <t>L1&amp;L4 Performance Evaluation &amp; Functional Evaluation</t>
        </is>
      </c>
      <c r="G66" s="50" t="inlineStr">
        <is>
          <t>59-64</t>
        </is>
      </c>
      <c r="H66" s="50" t="inlineStr">
        <is>
          <t>6 个样品</t>
        </is>
      </c>
      <c r="I66" s="50" t="inlineStr">
        <is>
          <t>48 h</t>
        </is>
      </c>
      <c r="J66" s="50" t="inlineStr">
        <is>
          <t>按样品数量</t>
        </is>
      </c>
      <c r="K66" s="50" t="inlineStr">
        <is>
          <t>700/个</t>
        </is>
      </c>
      <c r="L66" s="51" t="n">
        <v>4200</v>
      </c>
      <c r="M66" s="50" t="inlineStr">
        <is>
          <t>6个 × 700/个 = 4,200</t>
        </is>
      </c>
      <c r="N66" s="50" t="n"/>
    </row>
    <row r="67" ht="24" customHeight="1" s="4">
      <c r="A67" s="54" t="inlineStr">
        <is>
          <t>Group D-6：DV / Group D Parallel Tests / D-6 Life Test-2-1</t>
        </is>
      </c>
    </row>
    <row r="68" ht="24" customHeight="1" s="4">
      <c r="A68" s="56" t="inlineStr">
        <is>
          <t>组别顺序</t>
        </is>
      </c>
      <c r="B68" s="56" t="inlineStr">
        <is>
          <t>组内顺序</t>
        </is>
      </c>
      <c r="C68" s="56" t="inlineStr">
        <is>
          <t>Phase</t>
        </is>
      </c>
      <c r="D68" s="56" t="inlineStr">
        <is>
          <t>Group</t>
        </is>
      </c>
      <c r="E68" s="56" t="inlineStr">
        <is>
          <t>测试编号</t>
        </is>
      </c>
      <c r="F68" s="56" t="inlineStr">
        <is>
          <t>测试项目</t>
        </is>
      </c>
      <c r="G68" s="56" t="inlineStr">
        <is>
          <t>样品范围</t>
        </is>
      </c>
      <c r="H68" s="56" t="inlineStr">
        <is>
          <t>计费基数</t>
        </is>
      </c>
      <c r="I68" s="56" t="inlineStr">
        <is>
          <t>测试时间</t>
        </is>
      </c>
      <c r="J68" s="56" t="inlineStr">
        <is>
          <t>计费方式</t>
        </is>
      </c>
      <c r="K68" s="56" t="inlineStr">
        <is>
          <t>单价</t>
        </is>
      </c>
      <c r="L68" s="57" t="inlineStr">
        <is>
          <t>委外费用</t>
        </is>
      </c>
      <c r="M68" s="56" t="inlineStr">
        <is>
          <t>费用计算公式</t>
        </is>
      </c>
      <c r="N68" s="56" t="inlineStr">
        <is>
          <t>备注</t>
        </is>
      </c>
    </row>
    <row r="69" ht="20" customHeight="1" s="4">
      <c r="A69" s="50" t="inlineStr">
        <is>
          <t>Group D-6</t>
        </is>
      </c>
      <c r="B69" s="50" t="n">
        <v>2</v>
      </c>
      <c r="C69" s="50" t="inlineStr">
        <is>
          <t>DV</t>
        </is>
      </c>
      <c r="D69" s="50" t="inlineStr">
        <is>
          <t>Group D Parallel Tests / D-6 Life Test-2-1</t>
        </is>
      </c>
      <c r="E69" s="50" t="inlineStr">
        <is>
          <t>L1&amp;L4</t>
        </is>
      </c>
      <c r="F69" s="50" t="inlineStr">
        <is>
          <t>L1&amp;L4 Performance Evaluation &amp; Functional Evaluation</t>
        </is>
      </c>
      <c r="G69" s="50" t="inlineStr">
        <is>
          <t>65-70</t>
        </is>
      </c>
      <c r="H69" s="50" t="inlineStr">
        <is>
          <t>6 个样品</t>
        </is>
      </c>
      <c r="I69" s="50" t="inlineStr">
        <is>
          <t>72 h</t>
        </is>
      </c>
      <c r="J69" s="50" t="inlineStr">
        <is>
          <t>按样品数量</t>
        </is>
      </c>
      <c r="K69" s="50" t="inlineStr">
        <is>
          <t>700/个</t>
        </is>
      </c>
      <c r="L69" s="51" t="n">
        <v>4200</v>
      </c>
      <c r="M69" s="50" t="inlineStr">
        <is>
          <t>6个 × 700/个 = 4,200</t>
        </is>
      </c>
      <c r="N69" s="50" t="n"/>
    </row>
    <row r="70" ht="20" customHeight="1" s="4">
      <c r="A70" s="50" t="inlineStr">
        <is>
          <t>Group D-6</t>
        </is>
      </c>
      <c r="B70" s="50" t="n">
        <v>3</v>
      </c>
      <c r="C70" s="50" t="inlineStr">
        <is>
          <t>DV</t>
        </is>
      </c>
      <c r="D70" s="50" t="inlineStr">
        <is>
          <t>Group D Parallel Tests / D-6 Life Test-2-1</t>
        </is>
      </c>
      <c r="E70" s="50" t="inlineStr">
        <is>
          <t>K27</t>
        </is>
      </c>
      <c r="F70" s="50" t="inlineStr">
        <is>
          <t>K27 85/85 High Temperature -High Humidity Endurance</t>
        </is>
      </c>
      <c r="G70" s="50" t="inlineStr">
        <is>
          <t>65-70</t>
        </is>
      </c>
      <c r="H70" s="50" t="inlineStr">
        <is>
          <t>1000 h</t>
        </is>
      </c>
      <c r="I70" s="50" t="inlineStr">
        <is>
          <t>1000 h</t>
        </is>
      </c>
      <c r="J70" s="50" t="inlineStr">
        <is>
          <t>按小时</t>
        </is>
      </c>
      <c r="K70" s="50" t="inlineStr">
        <is>
          <t>20/h</t>
        </is>
      </c>
      <c r="L70" s="51" t="n">
        <v>20000</v>
      </c>
      <c r="M70" s="50" t="inlineStr">
        <is>
          <t>1,000h × 20/h = 20,000</t>
        </is>
      </c>
      <c r="N70" s="50" t="n"/>
    </row>
    <row r="71" ht="20" customHeight="1" s="4">
      <c r="A71" s="50" t="inlineStr">
        <is>
          <t>Group D-6</t>
        </is>
      </c>
      <c r="B71" s="50" t="n">
        <v>4</v>
      </c>
      <c r="C71" s="50" t="inlineStr">
        <is>
          <t>DV</t>
        </is>
      </c>
      <c r="D71" s="50" t="inlineStr">
        <is>
          <t>Group D Parallel Tests / D-6 Life Test-2-1</t>
        </is>
      </c>
      <c r="E71" s="50" t="inlineStr">
        <is>
          <t>L1&amp;L4</t>
        </is>
      </c>
      <c r="F71" s="50" t="inlineStr">
        <is>
          <t>L1&amp;L4 Performance Evaluation &amp; Functional Evaluation</t>
        </is>
      </c>
      <c r="G71" s="50" t="inlineStr">
        <is>
          <t>65-70</t>
        </is>
      </c>
      <c r="H71" s="50" t="inlineStr">
        <is>
          <t>6 个样品</t>
        </is>
      </c>
      <c r="I71" s="50" t="inlineStr">
        <is>
          <t>48 h</t>
        </is>
      </c>
      <c r="J71" s="50" t="inlineStr">
        <is>
          <t>按样品数量</t>
        </is>
      </c>
      <c r="K71" s="50" t="inlineStr">
        <is>
          <t>700/个</t>
        </is>
      </c>
      <c r="L71" s="51" t="n">
        <v>4200</v>
      </c>
      <c r="M71" s="50" t="inlineStr">
        <is>
          <t>6个 × 700/个 = 4,200</t>
        </is>
      </c>
      <c r="N71" s="50" t="n"/>
    </row>
    <row r="72" ht="24" customHeight="1" s="4">
      <c r="A72" s="54" t="inlineStr">
        <is>
          <t>Group D-7：DV / Group D Parallel Tests / D-7 Life Test-2-2</t>
        </is>
      </c>
    </row>
    <row r="73" ht="24" customHeight="1" s="4">
      <c r="A73" s="56" t="inlineStr">
        <is>
          <t>组别顺序</t>
        </is>
      </c>
      <c r="B73" s="56" t="inlineStr">
        <is>
          <t>组内顺序</t>
        </is>
      </c>
      <c r="C73" s="56" t="inlineStr">
        <is>
          <t>Phase</t>
        </is>
      </c>
      <c r="D73" s="56" t="inlineStr">
        <is>
          <t>Group</t>
        </is>
      </c>
      <c r="E73" s="56" t="inlineStr">
        <is>
          <t>测试编号</t>
        </is>
      </c>
      <c r="F73" s="56" t="inlineStr">
        <is>
          <t>测试项目</t>
        </is>
      </c>
      <c r="G73" s="56" t="inlineStr">
        <is>
          <t>样品范围</t>
        </is>
      </c>
      <c r="H73" s="56" t="inlineStr">
        <is>
          <t>计费基数</t>
        </is>
      </c>
      <c r="I73" s="56" t="inlineStr">
        <is>
          <t>测试时间</t>
        </is>
      </c>
      <c r="J73" s="56" t="inlineStr">
        <is>
          <t>计费方式</t>
        </is>
      </c>
      <c r="K73" s="56" t="inlineStr">
        <is>
          <t>单价</t>
        </is>
      </c>
      <c r="L73" s="57" t="inlineStr">
        <is>
          <t>委外费用</t>
        </is>
      </c>
      <c r="M73" s="56" t="inlineStr">
        <is>
          <t>费用计算公式</t>
        </is>
      </c>
      <c r="N73" s="56" t="inlineStr">
        <is>
          <t>备注</t>
        </is>
      </c>
    </row>
    <row r="74" ht="20" customHeight="1" s="4">
      <c r="A74" s="50" t="inlineStr">
        <is>
          <t>Group D-7</t>
        </is>
      </c>
      <c r="B74" s="50" t="n">
        <v>2</v>
      </c>
      <c r="C74" s="50" t="inlineStr">
        <is>
          <t>DV</t>
        </is>
      </c>
      <c r="D74" s="50" t="inlineStr">
        <is>
          <t>Group D Parallel Tests / D-7 Life Test-2-2</t>
        </is>
      </c>
      <c r="E74" s="50" t="inlineStr">
        <is>
          <t>L1&amp;L4</t>
        </is>
      </c>
      <c r="F74" s="50" t="inlineStr">
        <is>
          <t>L1&amp;L4 Performance Evaluation &amp; Functional Evaluation</t>
        </is>
      </c>
      <c r="G74" s="50" t="inlineStr">
        <is>
          <t>71-76</t>
        </is>
      </c>
      <c r="H74" s="50" t="inlineStr">
        <is>
          <t>6 个样品</t>
        </is>
      </c>
      <c r="I74" s="50" t="inlineStr">
        <is>
          <t>72 h</t>
        </is>
      </c>
      <c r="J74" s="50" t="inlineStr">
        <is>
          <t>按样品数量</t>
        </is>
      </c>
      <c r="K74" s="50" t="inlineStr">
        <is>
          <t>700/个</t>
        </is>
      </c>
      <c r="L74" s="51" t="n">
        <v>4200</v>
      </c>
      <c r="M74" s="50" t="inlineStr">
        <is>
          <t>6个 × 700/个 = 4,200</t>
        </is>
      </c>
      <c r="N74" s="50" t="n"/>
    </row>
    <row r="75" ht="20" customHeight="1" s="4">
      <c r="A75" s="50" t="inlineStr">
        <is>
          <t>Group D-7</t>
        </is>
      </c>
      <c r="B75" s="50" t="n">
        <v>3</v>
      </c>
      <c r="C75" s="50" t="inlineStr">
        <is>
          <t>DV</t>
        </is>
      </c>
      <c r="D75" s="50" t="inlineStr">
        <is>
          <t>Group D Parallel Tests / D-7 Life Test-2-2</t>
        </is>
      </c>
      <c r="E75" s="50" t="inlineStr">
        <is>
          <t>K27</t>
        </is>
      </c>
      <c r="F75" s="50" t="inlineStr">
        <is>
          <t>K27 60/95 High Temperature -High Humidity Endurance</t>
        </is>
      </c>
      <c r="G75" s="50" t="inlineStr">
        <is>
          <t>71-76</t>
        </is>
      </c>
      <c r="H75" s="50" t="inlineStr">
        <is>
          <t>1100 h</t>
        </is>
      </c>
      <c r="I75" s="50" t="inlineStr">
        <is>
          <t>1100 h</t>
        </is>
      </c>
      <c r="J75" s="50" t="inlineStr">
        <is>
          <t>按小时</t>
        </is>
      </c>
      <c r="K75" s="50" t="inlineStr">
        <is>
          <t>20/h</t>
        </is>
      </c>
      <c r="L75" s="51" t="n">
        <v>22000</v>
      </c>
      <c r="M75" s="50" t="inlineStr">
        <is>
          <t>1,100h × 20/h = 22,000</t>
        </is>
      </c>
      <c r="N75" s="50" t="n"/>
    </row>
    <row r="76" ht="20" customHeight="1" s="4">
      <c r="A76" s="50" t="inlineStr">
        <is>
          <t>Group D-7</t>
        </is>
      </c>
      <c r="B76" s="50" t="n">
        <v>4</v>
      </c>
      <c r="C76" s="50" t="inlineStr">
        <is>
          <t>DV</t>
        </is>
      </c>
      <c r="D76" s="50" t="inlineStr">
        <is>
          <t>Group D Parallel Tests / D-7 Life Test-2-2</t>
        </is>
      </c>
      <c r="E76" s="50" t="inlineStr">
        <is>
          <t>L1&amp;L4</t>
        </is>
      </c>
      <c r="F76" s="50" t="inlineStr">
        <is>
          <t>L1&amp;L4 Performance Evaluation &amp; Functional Evaluation</t>
        </is>
      </c>
      <c r="G76" s="50" t="inlineStr">
        <is>
          <t>71-76</t>
        </is>
      </c>
      <c r="H76" s="50" t="inlineStr">
        <is>
          <t>6 个样品</t>
        </is>
      </c>
      <c r="I76" s="50" t="inlineStr">
        <is>
          <t>48 h</t>
        </is>
      </c>
      <c r="J76" s="50" t="inlineStr">
        <is>
          <t>按样品数量</t>
        </is>
      </c>
      <c r="K76" s="50" t="inlineStr">
        <is>
          <t>700/个</t>
        </is>
      </c>
      <c r="L76" s="51" t="n">
        <v>4200</v>
      </c>
      <c r="M76" s="50" t="inlineStr">
        <is>
          <t>6个 × 700/个 = 4,200</t>
        </is>
      </c>
      <c r="N76" s="50" t="n"/>
    </row>
    <row r="77" ht="24" customHeight="1" s="4">
      <c r="A77" s="54" t="inlineStr">
        <is>
          <t>Group D-9：DV / Group D Parallel Tests / D-9</t>
        </is>
      </c>
    </row>
    <row r="78" ht="24" customHeight="1" s="4">
      <c r="A78" s="56" t="inlineStr">
        <is>
          <t>组别顺序</t>
        </is>
      </c>
      <c r="B78" s="56" t="inlineStr">
        <is>
          <t>组内顺序</t>
        </is>
      </c>
      <c r="C78" s="56" t="inlineStr">
        <is>
          <t>Phase</t>
        </is>
      </c>
      <c r="D78" s="56" t="inlineStr">
        <is>
          <t>Group</t>
        </is>
      </c>
      <c r="E78" s="56" t="inlineStr">
        <is>
          <t>测试编号</t>
        </is>
      </c>
      <c r="F78" s="56" t="inlineStr">
        <is>
          <t>测试项目</t>
        </is>
      </c>
      <c r="G78" s="56" t="inlineStr">
        <is>
          <t>样品范围</t>
        </is>
      </c>
      <c r="H78" s="56" t="inlineStr">
        <is>
          <t>计费基数</t>
        </is>
      </c>
      <c r="I78" s="56" t="inlineStr">
        <is>
          <t>测试时间</t>
        </is>
      </c>
      <c r="J78" s="56" t="inlineStr">
        <is>
          <t>计费方式</t>
        </is>
      </c>
      <c r="K78" s="56" t="inlineStr">
        <is>
          <t>单价</t>
        </is>
      </c>
      <c r="L78" s="57" t="inlineStr">
        <is>
          <t>委外费用</t>
        </is>
      </c>
      <c r="M78" s="56" t="inlineStr">
        <is>
          <t>费用计算公式</t>
        </is>
      </c>
      <c r="N78" s="56" t="inlineStr">
        <is>
          <t>备注</t>
        </is>
      </c>
    </row>
    <row r="79" ht="20" customHeight="1" s="4">
      <c r="A79" s="50" t="inlineStr">
        <is>
          <t>Group D-9</t>
        </is>
      </c>
      <c r="B79" s="50" t="n">
        <v>2</v>
      </c>
      <c r="C79" s="50" t="inlineStr">
        <is>
          <t>DV</t>
        </is>
      </c>
      <c r="D79" s="50" t="inlineStr">
        <is>
          <t>Group D Parallel Tests / D-9</t>
        </is>
      </c>
      <c r="E79" s="50" t="inlineStr">
        <is>
          <t>L1&amp;L4</t>
        </is>
      </c>
      <c r="F79" s="50" t="inlineStr">
        <is>
          <t>L1&amp;L4 Performance Evaluation &amp; Functional Evaluation</t>
        </is>
      </c>
      <c r="G79" s="50" t="inlineStr">
        <is>
          <t>77-82</t>
        </is>
      </c>
      <c r="H79" s="50" t="inlineStr">
        <is>
          <t>6 个样品</t>
        </is>
      </c>
      <c r="I79" s="50" t="inlineStr">
        <is>
          <t>72 h</t>
        </is>
      </c>
      <c r="J79" s="50" t="inlineStr">
        <is>
          <t>按样品数量</t>
        </is>
      </c>
      <c r="K79" s="50" t="inlineStr">
        <is>
          <t>700/个</t>
        </is>
      </c>
      <c r="L79" s="51" t="n">
        <v>4200</v>
      </c>
      <c r="M79" s="50" t="inlineStr">
        <is>
          <t>6个 × 700/个 = 4,200</t>
        </is>
      </c>
      <c r="N79" s="50" t="n"/>
    </row>
    <row r="80" ht="20" customHeight="1" s="4">
      <c r="A80" s="50" t="inlineStr">
        <is>
          <t>Group D-9</t>
        </is>
      </c>
      <c r="B80" s="50" t="n">
        <v>3</v>
      </c>
      <c r="C80" s="50" t="inlineStr">
        <is>
          <t>DV</t>
        </is>
      </c>
      <c r="D80" s="50" t="inlineStr">
        <is>
          <t>Group D Parallel Tests / D-9</t>
        </is>
      </c>
      <c r="E80" s="50" t="inlineStr">
        <is>
          <t>K52.351</t>
        </is>
      </c>
      <c r="F80" s="50" t="inlineStr">
        <is>
          <t>K52.351 Condensing humidity</t>
        </is>
      </c>
      <c r="G80" s="50" t="inlineStr">
        <is>
          <t>77-82</t>
        </is>
      </c>
      <c r="H80" s="50" t="inlineStr">
        <is>
          <t>120 h</t>
        </is>
      </c>
      <c r="I80" s="50" t="inlineStr">
        <is>
          <t>120 h</t>
        </is>
      </c>
      <c r="J80" s="50" t="inlineStr">
        <is>
          <t>按小时</t>
        </is>
      </c>
      <c r="K80" s="50" t="inlineStr">
        <is>
          <t>60/h</t>
        </is>
      </c>
      <c r="L80" s="51" t="n">
        <v>7200</v>
      </c>
      <c r="M80" s="50" t="inlineStr">
        <is>
          <t>120h × 60/h = 7,200</t>
        </is>
      </c>
      <c r="N80" s="50" t="n"/>
    </row>
    <row r="81" ht="20" customHeight="1" s="4">
      <c r="A81" s="50" t="inlineStr">
        <is>
          <t>Group D-9</t>
        </is>
      </c>
      <c r="B81" s="50" t="n">
        <v>4</v>
      </c>
      <c r="C81" s="50" t="inlineStr">
        <is>
          <t>DV</t>
        </is>
      </c>
      <c r="D81" s="50" t="inlineStr">
        <is>
          <t>Group D Parallel Tests / D-9</t>
        </is>
      </c>
      <c r="E81" s="50" t="inlineStr">
        <is>
          <t>L1&amp;L4</t>
        </is>
      </c>
      <c r="F81" s="50" t="inlineStr">
        <is>
          <t>L1&amp;L4 Performance Evaluation &amp; Functional Evaluation</t>
        </is>
      </c>
      <c r="G81" s="50" t="inlineStr">
        <is>
          <t>77-82</t>
        </is>
      </c>
      <c r="H81" s="50" t="inlineStr">
        <is>
          <t>6 个样品</t>
        </is>
      </c>
      <c r="I81" s="50" t="inlineStr">
        <is>
          <t>48 h</t>
        </is>
      </c>
      <c r="J81" s="50" t="inlineStr">
        <is>
          <t>按样品数量</t>
        </is>
      </c>
      <c r="K81" s="50" t="inlineStr">
        <is>
          <t>700/个</t>
        </is>
      </c>
      <c r="L81" s="51" t="n">
        <v>4200</v>
      </c>
      <c r="M81" s="50" t="inlineStr">
        <is>
          <t>6个 × 700/个 = 4,200</t>
        </is>
      </c>
      <c r="N81" s="50" t="n"/>
    </row>
    <row r="82" ht="20" customHeight="1" s="4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1" t="n"/>
      <c r="M82" s="50" t="n"/>
      <c r="N82" s="50" t="n"/>
    </row>
    <row r="83" ht="32" customHeight="1" s="4">
      <c r="A83" s="52" t="inlineStr">
        <is>
          <t>PV 组别顺序</t>
        </is>
      </c>
      <c r="B83" s="52" t="inlineStr">
        <is>
          <t>Group A -&gt; Group B -&gt; Group C -&gt; Group D-1 -&gt; Group D-2 -&gt; Group D-3 -&gt; Group D-4 -&gt; Group D-5 -&gt; Group D-6 -&gt; Group D-7 -&gt; Group D-8 -&gt; Group D-9</t>
        </is>
      </c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3" t="n"/>
      <c r="M83" s="52" t="n"/>
      <c r="N83" s="52" t="n"/>
    </row>
    <row r="84" ht="22" customHeight="1" s="4">
      <c r="A84" s="52" t="inlineStr">
        <is>
          <t>Phase: PV</t>
        </is>
      </c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3" t="n"/>
      <c r="M84" s="52" t="n"/>
      <c r="N84" s="52" t="n"/>
    </row>
    <row r="85" ht="24" customHeight="1" s="4">
      <c r="A85" s="54" t="inlineStr">
        <is>
          <t>Group A：PV / Group A Sequence Tests</t>
        </is>
      </c>
    </row>
    <row r="86" ht="24" customHeight="1" s="4">
      <c r="A86" s="56" t="inlineStr">
        <is>
          <t>组别顺序</t>
        </is>
      </c>
      <c r="B86" s="56" t="inlineStr">
        <is>
          <t>组内顺序</t>
        </is>
      </c>
      <c r="C86" s="56" t="inlineStr">
        <is>
          <t>Phase</t>
        </is>
      </c>
      <c r="D86" s="56" t="inlineStr">
        <is>
          <t>Group</t>
        </is>
      </c>
      <c r="E86" s="56" t="inlineStr">
        <is>
          <t>测试编号</t>
        </is>
      </c>
      <c r="F86" s="56" t="inlineStr">
        <is>
          <t>测试项目</t>
        </is>
      </c>
      <c r="G86" s="56" t="inlineStr">
        <is>
          <t>样品范围</t>
        </is>
      </c>
      <c r="H86" s="56" t="inlineStr">
        <is>
          <t>计费基数</t>
        </is>
      </c>
      <c r="I86" s="56" t="inlineStr">
        <is>
          <t>测试时间</t>
        </is>
      </c>
      <c r="J86" s="56" t="inlineStr">
        <is>
          <t>计费方式</t>
        </is>
      </c>
      <c r="K86" s="56" t="inlineStr">
        <is>
          <t>单价</t>
        </is>
      </c>
      <c r="L86" s="57" t="inlineStr">
        <is>
          <t>委外费用</t>
        </is>
      </c>
      <c r="M86" s="56" t="inlineStr">
        <is>
          <t>费用计算公式</t>
        </is>
      </c>
      <c r="N86" s="56" t="inlineStr">
        <is>
          <t>备注</t>
        </is>
      </c>
    </row>
    <row r="87" ht="20" customHeight="1" s="4">
      <c r="A87" s="50" t="inlineStr">
        <is>
          <t>Group A</t>
        </is>
      </c>
      <c r="B87" s="50" t="n">
        <v>2</v>
      </c>
      <c r="C87" s="50" t="inlineStr">
        <is>
          <t>PV</t>
        </is>
      </c>
      <c r="D87" s="50" t="inlineStr">
        <is>
          <t>Group A Sequence Tests</t>
        </is>
      </c>
      <c r="E87" s="50" t="inlineStr">
        <is>
          <t>L1&amp;L4</t>
        </is>
      </c>
      <c r="F87" s="50" t="inlineStr">
        <is>
          <t>L1&amp;L4 Performance Evaluation &amp; Functional Evaluation</t>
        </is>
      </c>
      <c r="G87" s="50" t="inlineStr">
        <is>
          <t>1-14</t>
        </is>
      </c>
      <c r="H87" s="50" t="inlineStr">
        <is>
          <t>14 个样品</t>
        </is>
      </c>
      <c r="I87" s="50" t="inlineStr">
        <is>
          <t>72 h</t>
        </is>
      </c>
      <c r="J87" s="50" t="inlineStr">
        <is>
          <t>按样品数量</t>
        </is>
      </c>
      <c r="K87" s="50" t="inlineStr">
        <is>
          <t>700/个</t>
        </is>
      </c>
      <c r="L87" s="51" t="n">
        <v>9800</v>
      </c>
      <c r="M87" s="50" t="inlineStr">
        <is>
          <t>14个 × 700/个 = 9,800</t>
        </is>
      </c>
      <c r="N87" s="50" t="n"/>
    </row>
    <row r="88" ht="20" customHeight="1" s="4">
      <c r="A88" s="50" t="inlineStr">
        <is>
          <t>Group A</t>
        </is>
      </c>
      <c r="B88" s="50" t="n">
        <v>3</v>
      </c>
      <c r="C88" s="50" t="inlineStr">
        <is>
          <t>PV</t>
        </is>
      </c>
      <c r="D88" s="50" t="inlineStr">
        <is>
          <t>Group A Sequence Tests</t>
        </is>
      </c>
      <c r="E88" s="50" t="inlineStr">
        <is>
          <t>Particle</t>
        </is>
      </c>
      <c r="F88" s="50" t="inlineStr">
        <is>
          <t>Particle Exposure</t>
        </is>
      </c>
      <c r="G88" s="50" t="inlineStr">
        <is>
          <t>1-12</t>
        </is>
      </c>
      <c r="H88" s="50" t="n"/>
      <c r="I88" s="50" t="inlineStr">
        <is>
          <t>120 h</t>
        </is>
      </c>
      <c r="J88" s="50" t="inlineStr">
        <is>
          <t>按批次</t>
        </is>
      </c>
      <c r="K88" s="50" t="inlineStr">
        <is>
          <t>1,500/批；粉尘费 6,000；清洁费 12,000</t>
        </is>
      </c>
      <c r="L88" s="51" t="n">
        <v>24000</v>
      </c>
      <c r="M88" s="50" t="inlineStr">
        <is>
          <t>4批 × 1,500/批 + 粉尘费 6,000 + 清洁费 12,000 = 24,000</t>
        </is>
      </c>
      <c r="N88" s="50" t="inlineStr">
        <is>
          <t>Particle Exposure：全额报价已拆分为批次单价、粉尘费、清洁费</t>
        </is>
      </c>
    </row>
    <row r="89" ht="20" customHeight="1" s="4">
      <c r="A89" s="50" t="inlineStr">
        <is>
          <t>Group A</t>
        </is>
      </c>
      <c r="B89" s="50" t="n">
        <v>4</v>
      </c>
      <c r="C89" s="50" t="inlineStr">
        <is>
          <t>PV</t>
        </is>
      </c>
      <c r="D89" s="50" t="inlineStr">
        <is>
          <t>Group A Sequence Tests</t>
        </is>
      </c>
      <c r="E89" s="50" t="inlineStr">
        <is>
          <t>K1</t>
        </is>
      </c>
      <c r="F89" s="50" t="inlineStr">
        <is>
          <t>K1 Low Temperature Exposure</t>
        </is>
      </c>
      <c r="G89" s="50" t="inlineStr">
        <is>
          <t>1-12</t>
        </is>
      </c>
      <c r="H89" s="50" t="inlineStr">
        <is>
          <t>24 h</t>
        </is>
      </c>
      <c r="I89" s="50" t="inlineStr">
        <is>
          <t>24 h</t>
        </is>
      </c>
      <c r="J89" s="50" t="inlineStr">
        <is>
          <t>按小时</t>
        </is>
      </c>
      <c r="K89" s="50" t="inlineStr">
        <is>
          <t>25/h</t>
        </is>
      </c>
      <c r="L89" s="51" t="n">
        <v>600</v>
      </c>
      <c r="M89" s="50" t="inlineStr">
        <is>
          <t>24h × 25/h = 600（大环境箱单价）</t>
        </is>
      </c>
      <c r="N89" s="50" t="n"/>
    </row>
    <row r="90" ht="20" customHeight="1" s="4">
      <c r="A90" s="50" t="inlineStr">
        <is>
          <t>Group A</t>
        </is>
      </c>
      <c r="B90" s="50" t="n">
        <v>5</v>
      </c>
      <c r="C90" s="50" t="inlineStr">
        <is>
          <t>PV</t>
        </is>
      </c>
      <c r="D90" s="50" t="inlineStr">
        <is>
          <t>Group A Sequence Tests</t>
        </is>
      </c>
      <c r="E90" s="50" t="inlineStr">
        <is>
          <t>K2</t>
        </is>
      </c>
      <c r="F90" s="50" t="inlineStr">
        <is>
          <t>K2 High Temperature Exposure</t>
        </is>
      </c>
      <c r="G90" s="50" t="inlineStr">
        <is>
          <t>1-12</t>
        </is>
      </c>
      <c r="H90" s="50" t="inlineStr">
        <is>
          <t>24 h</t>
        </is>
      </c>
      <c r="I90" s="50" t="inlineStr">
        <is>
          <t>24 h</t>
        </is>
      </c>
      <c r="J90" s="50" t="inlineStr">
        <is>
          <t>按小时</t>
        </is>
      </c>
      <c r="K90" s="50" t="inlineStr">
        <is>
          <t>25/h</t>
        </is>
      </c>
      <c r="L90" s="51" t="n">
        <v>600</v>
      </c>
      <c r="M90" s="50" t="inlineStr">
        <is>
          <t>24h × 25/h = 600（大环境箱单价）</t>
        </is>
      </c>
      <c r="N90" s="50" t="n"/>
    </row>
    <row r="91" ht="20" customHeight="1" s="4">
      <c r="A91" s="50" t="inlineStr">
        <is>
          <t>Group A</t>
        </is>
      </c>
      <c r="B91" s="50" t="n">
        <v>6</v>
      </c>
      <c r="C91" s="50" t="inlineStr">
        <is>
          <t>PV</t>
        </is>
      </c>
      <c r="D91" s="50" t="inlineStr">
        <is>
          <t>Group A Sequence Tests</t>
        </is>
      </c>
      <c r="E91" s="50" t="inlineStr">
        <is>
          <t>K3</t>
        </is>
      </c>
      <c r="F91" s="50" t="inlineStr">
        <is>
          <t>K3 Low Temperature Operation</t>
        </is>
      </c>
      <c r="G91" s="50" t="inlineStr">
        <is>
          <t>1-12</t>
        </is>
      </c>
      <c r="H91" s="50" t="inlineStr">
        <is>
          <t>24 h</t>
        </is>
      </c>
      <c r="I91" s="50" t="inlineStr">
        <is>
          <t>24 h</t>
        </is>
      </c>
      <c r="J91" s="50" t="inlineStr">
        <is>
          <t>按小时</t>
        </is>
      </c>
      <c r="K91" s="50" t="inlineStr">
        <is>
          <t>25/h</t>
        </is>
      </c>
      <c r="L91" s="51" t="n">
        <v>600</v>
      </c>
      <c r="M91" s="50" t="inlineStr">
        <is>
          <t>24h × 25/h = 600（大环境箱单价）</t>
        </is>
      </c>
      <c r="N91" s="50" t="n"/>
    </row>
    <row r="92" ht="20" customHeight="1" s="4">
      <c r="A92" s="50" t="inlineStr">
        <is>
          <t>Group A</t>
        </is>
      </c>
      <c r="B92" s="50" t="n">
        <v>7</v>
      </c>
      <c r="C92" s="50" t="inlineStr">
        <is>
          <t>PV</t>
        </is>
      </c>
      <c r="D92" s="50" t="inlineStr">
        <is>
          <t>Group A Sequence Tests</t>
        </is>
      </c>
      <c r="E92" s="50" t="inlineStr">
        <is>
          <t>K4</t>
        </is>
      </c>
      <c r="F92" s="50" t="inlineStr">
        <is>
          <t>K4 High Temperature Operation</t>
        </is>
      </c>
      <c r="G92" s="50" t="inlineStr">
        <is>
          <t>1-12</t>
        </is>
      </c>
      <c r="H92" s="50" t="inlineStr">
        <is>
          <t>96 h</t>
        </is>
      </c>
      <c r="I92" s="50" t="inlineStr">
        <is>
          <t>96 h</t>
        </is>
      </c>
      <c r="J92" s="50" t="inlineStr">
        <is>
          <t>按小时</t>
        </is>
      </c>
      <c r="K92" s="50" t="inlineStr">
        <is>
          <t>25/h</t>
        </is>
      </c>
      <c r="L92" s="51" t="n">
        <v>2400</v>
      </c>
      <c r="M92" s="50" t="inlineStr">
        <is>
          <t>96h × 25/h = 2,400（大环境箱单价）</t>
        </is>
      </c>
      <c r="N92" s="50" t="n"/>
    </row>
    <row r="93" ht="20" customHeight="1" s="4">
      <c r="A93" s="50" t="inlineStr">
        <is>
          <t>Group A</t>
        </is>
      </c>
      <c r="B93" s="50" t="n">
        <v>8</v>
      </c>
      <c r="C93" s="50" t="inlineStr">
        <is>
          <t>PV</t>
        </is>
      </c>
      <c r="D93" s="50" t="inlineStr">
        <is>
          <t>Group A Sequence Tests</t>
        </is>
      </c>
      <c r="E93" s="50" t="inlineStr">
        <is>
          <t>K5</t>
        </is>
      </c>
      <c r="F93" s="50" t="inlineStr">
        <is>
          <t>K5 Temperature Step Test</t>
        </is>
      </c>
      <c r="G93" s="50" t="inlineStr">
        <is>
          <t>1-12</t>
        </is>
      </c>
      <c r="H93" s="50" t="inlineStr">
        <is>
          <t>1 批</t>
        </is>
      </c>
      <c r="I93" s="50" t="inlineStr">
        <is>
          <t>48 h</t>
        </is>
      </c>
      <c r="J93" s="50" t="inlineStr">
        <is>
          <t>按批次</t>
        </is>
      </c>
      <c r="K93" s="50" t="inlineStr">
        <is>
          <t>5,000/批</t>
        </is>
      </c>
      <c r="L93" s="51" t="n">
        <v>5000</v>
      </c>
      <c r="M93" s="50" t="inlineStr">
        <is>
          <t>1批 × 5,000/批 = 5,000</t>
        </is>
      </c>
      <c r="N93" s="50" t="n"/>
    </row>
    <row r="94" ht="20" customHeight="1" s="4">
      <c r="A94" s="50" t="inlineStr">
        <is>
          <t>Group A</t>
        </is>
      </c>
      <c r="B94" s="50" t="n">
        <v>9</v>
      </c>
      <c r="C94" s="50" t="inlineStr">
        <is>
          <t>PV</t>
        </is>
      </c>
      <c r="D94" s="50" t="inlineStr">
        <is>
          <t>Group A Sequence Tests</t>
        </is>
      </c>
      <c r="E94" s="50" t="inlineStr">
        <is>
          <t>K6</t>
        </is>
      </c>
      <c r="F94" s="50" t="inlineStr">
        <is>
          <t>K6 Power Thermal Cycle</t>
        </is>
      </c>
      <c r="G94" s="50" t="inlineStr">
        <is>
          <t>1-12</t>
        </is>
      </c>
      <c r="H94" s="50" t="inlineStr">
        <is>
          <t>240 h</t>
        </is>
      </c>
      <c r="I94" s="50" t="inlineStr">
        <is>
          <t>240 h</t>
        </is>
      </c>
      <c r="J94" s="50" t="inlineStr">
        <is>
          <t>按小时</t>
        </is>
      </c>
      <c r="K94" s="50" t="inlineStr">
        <is>
          <t>25/h</t>
        </is>
      </c>
      <c r="L94" s="51" t="n">
        <v>6000</v>
      </c>
      <c r="M94" s="50" t="inlineStr">
        <is>
          <t>240h × 25/h = 6,000（大环境箱单价）</t>
        </is>
      </c>
      <c r="N94" s="50" t="n"/>
    </row>
    <row r="95" ht="20" customHeight="1" s="4">
      <c r="A95" s="50" t="inlineStr">
        <is>
          <t>Group A</t>
        </is>
      </c>
      <c r="B95" s="50" t="n">
        <v>10</v>
      </c>
      <c r="C95" s="50" t="inlineStr">
        <is>
          <t>PV</t>
        </is>
      </c>
      <c r="D95" s="50" t="inlineStr">
        <is>
          <t>Group A Sequence Tests</t>
        </is>
      </c>
      <c r="E95" s="50" t="inlineStr">
        <is>
          <t>K7</t>
        </is>
      </c>
      <c r="F95" s="50" t="inlineStr">
        <is>
          <t>K7 Thermal Shock in Air</t>
        </is>
      </c>
      <c r="G95" s="50" t="inlineStr">
        <is>
          <t>1-12</t>
        </is>
      </c>
      <c r="H95" s="50" t="inlineStr">
        <is>
          <t>105 h</t>
        </is>
      </c>
      <c r="I95" s="50" t="inlineStr">
        <is>
          <t>105 h</t>
        </is>
      </c>
      <c r="J95" s="50" t="inlineStr">
        <is>
          <t>按小时</t>
        </is>
      </c>
      <c r="K95" s="50" t="inlineStr">
        <is>
          <t>70/h</t>
        </is>
      </c>
      <c r="L95" s="51" t="n">
        <v>7350</v>
      </c>
      <c r="M95" s="50" t="inlineStr">
        <is>
          <t>105h × 70/h = 7,350</t>
        </is>
      </c>
      <c r="N95" s="50" t="n"/>
    </row>
    <row r="96" ht="20" customHeight="1" s="4">
      <c r="A96" s="50" t="inlineStr">
        <is>
          <t>Group A</t>
        </is>
      </c>
      <c r="B96" s="50" t="n">
        <v>11</v>
      </c>
      <c r="C96" s="50" t="inlineStr">
        <is>
          <t>PV</t>
        </is>
      </c>
      <c r="D96" s="50" t="inlineStr">
        <is>
          <t>Group A Sequence Tests</t>
        </is>
      </c>
      <c r="E96" s="50" t="inlineStr">
        <is>
          <t>K15</t>
        </is>
      </c>
      <c r="F96" s="50" t="inlineStr">
        <is>
          <t>K15 Vibration</t>
        </is>
      </c>
      <c r="G96" s="50" t="inlineStr">
        <is>
          <t>1-12</t>
        </is>
      </c>
      <c r="H96" s="50" t="inlineStr">
        <is>
          <t>48 h</t>
        </is>
      </c>
      <c r="I96" s="50" t="inlineStr">
        <is>
          <t>48 h</t>
        </is>
      </c>
      <c r="J96" s="50" t="inlineStr">
        <is>
          <t>按小时</t>
        </is>
      </c>
      <c r="K96" s="50" t="inlineStr">
        <is>
          <t>400/h</t>
        </is>
      </c>
      <c r="L96" s="51" t="n">
        <v>19200</v>
      </c>
      <c r="M96" s="50" t="inlineStr">
        <is>
          <t>48h × 400/h = 19,200</t>
        </is>
      </c>
      <c r="N96" s="50" t="n"/>
    </row>
    <row r="97" ht="20" customHeight="1" s="4">
      <c r="A97" s="50" t="inlineStr">
        <is>
          <t>Group A</t>
        </is>
      </c>
      <c r="B97" s="50" t="n">
        <v>12</v>
      </c>
      <c r="C97" s="50" t="inlineStr">
        <is>
          <t>PV</t>
        </is>
      </c>
      <c r="D97" s="50" t="inlineStr">
        <is>
          <t>Group A Sequence Tests</t>
        </is>
      </c>
      <c r="E97" s="50" t="inlineStr">
        <is>
          <t>K16.1</t>
        </is>
      </c>
      <c r="F97" s="50" t="inlineStr">
        <is>
          <t>K16.1 Mechanical Shock Package Drop</t>
        </is>
      </c>
      <c r="G97" s="50" t="inlineStr">
        <is>
          <t>1-14</t>
        </is>
      </c>
      <c r="H97" s="50" t="inlineStr">
        <is>
          <t>14 个样品</t>
        </is>
      </c>
      <c r="I97" s="50" t="inlineStr">
        <is>
          <t>48 h</t>
        </is>
      </c>
      <c r="J97" s="50" t="inlineStr">
        <is>
          <t>按样品数量</t>
        </is>
      </c>
      <c r="K97" s="50" t="inlineStr">
        <is>
          <t>120/个</t>
        </is>
      </c>
      <c r="L97" s="51" t="n">
        <v>1680</v>
      </c>
      <c r="M97" s="50" t="inlineStr">
        <is>
          <t>14个 × 120/个 = 1,680</t>
        </is>
      </c>
      <c r="N97" s="50" t="n"/>
    </row>
    <row r="98" ht="20" customHeight="1" s="4">
      <c r="A98" s="50" t="inlineStr">
        <is>
          <t>Group A</t>
        </is>
      </c>
      <c r="B98" s="50" t="n">
        <v>13</v>
      </c>
      <c r="C98" s="50" t="inlineStr">
        <is>
          <t>PV</t>
        </is>
      </c>
      <c r="D98" s="50" t="inlineStr">
        <is>
          <t>Group A Sequence Tests</t>
        </is>
      </c>
      <c r="E98" s="50" t="inlineStr">
        <is>
          <t>K16.4</t>
        </is>
      </c>
      <c r="F98" s="50" t="inlineStr">
        <is>
          <t>K16.4 Mechanical Shock Low</t>
        </is>
      </c>
      <c r="G98" s="50" t="inlineStr">
        <is>
          <t>1-12</t>
        </is>
      </c>
      <c r="H98" s="50" t="inlineStr">
        <is>
          <t>12 个样品</t>
        </is>
      </c>
      <c r="I98" s="50" t="inlineStr">
        <is>
          <t>48 h</t>
        </is>
      </c>
      <c r="J98" s="50" t="inlineStr">
        <is>
          <t>按样品数量</t>
        </is>
      </c>
      <c r="K98" s="50" t="inlineStr">
        <is>
          <t>167/个</t>
        </is>
      </c>
      <c r="L98" s="51" t="n">
        <v>2004</v>
      </c>
      <c r="M98" s="50" t="inlineStr">
        <is>
          <t>12个 × 167/个 = 2,004</t>
        </is>
      </c>
      <c r="N98" s="50" t="n"/>
    </row>
    <row r="99" ht="20" customHeight="1" s="4">
      <c r="A99" s="50" t="inlineStr">
        <is>
          <t>Group A</t>
        </is>
      </c>
      <c r="B99" s="50" t="n">
        <v>14</v>
      </c>
      <c r="C99" s="50" t="inlineStr">
        <is>
          <t>PV</t>
        </is>
      </c>
      <c r="D99" s="50" t="inlineStr">
        <is>
          <t>Group A Sequence Tests</t>
        </is>
      </c>
      <c r="E99" s="50" t="inlineStr">
        <is>
          <t>K17</t>
        </is>
      </c>
      <c r="F99" s="50" t="inlineStr">
        <is>
          <t>K17 Audible Noise</t>
        </is>
      </c>
      <c r="G99" s="50" t="inlineStr">
        <is>
          <t>1-12</t>
        </is>
      </c>
      <c r="H99" s="50" t="inlineStr">
        <is>
          <t>12 个样品</t>
        </is>
      </c>
      <c r="I99" s="50" t="inlineStr">
        <is>
          <t>240 h</t>
        </is>
      </c>
      <c r="J99" s="50" t="inlineStr">
        <is>
          <t>按样品数量</t>
        </is>
      </c>
      <c r="K99" s="50" t="inlineStr">
        <is>
          <t>10,000/个</t>
        </is>
      </c>
      <c r="L99" s="51" t="n">
        <v>120000</v>
      </c>
      <c r="M99" s="50" t="inlineStr">
        <is>
          <t>12个 × 10,000/个 = 120,000</t>
        </is>
      </c>
      <c r="N99" s="50" t="inlineStr">
        <is>
          <t>K17 Audible Noise 按 MLA 三个方向的组合单价 × 样机数计算</t>
        </is>
      </c>
    </row>
    <row r="100" ht="20" customHeight="1" s="4">
      <c r="A100" s="50" t="inlineStr">
        <is>
          <t>Group A</t>
        </is>
      </c>
      <c r="B100" s="50" t="n">
        <v>15</v>
      </c>
      <c r="C100" s="50" t="inlineStr">
        <is>
          <t>PV</t>
        </is>
      </c>
      <c r="D100" s="50" t="inlineStr">
        <is>
          <t>Group A Sequence Tests</t>
        </is>
      </c>
      <c r="E100" s="50" t="inlineStr">
        <is>
          <t>K9</t>
        </is>
      </c>
      <c r="F100" s="50" t="inlineStr">
        <is>
          <t>K9 Temperature/Humidity Cycle</t>
        </is>
      </c>
      <c r="G100" s="50" t="inlineStr">
        <is>
          <t>1-12</t>
        </is>
      </c>
      <c r="H100" s="50" t="inlineStr">
        <is>
          <t>264 h</t>
        </is>
      </c>
      <c r="I100" s="50" t="inlineStr">
        <is>
          <t>264 h</t>
        </is>
      </c>
      <c r="J100" s="50" t="inlineStr">
        <is>
          <t>按小时</t>
        </is>
      </c>
      <c r="K100" s="50" t="inlineStr">
        <is>
          <t>25/h</t>
        </is>
      </c>
      <c r="L100" s="51" t="n">
        <v>6600</v>
      </c>
      <c r="M100" s="50" t="inlineStr">
        <is>
          <t>264h × 25/h = 6,600（大环境箱单价）</t>
        </is>
      </c>
      <c r="N100" s="50" t="n"/>
    </row>
    <row r="101" ht="20" customHeight="1" s="4">
      <c r="A101" s="50" t="inlineStr">
        <is>
          <t>Group A</t>
        </is>
      </c>
      <c r="B101" s="50" t="n">
        <v>16</v>
      </c>
      <c r="C101" s="50" t="inlineStr">
        <is>
          <t>PV</t>
        </is>
      </c>
      <c r="D101" s="50" t="inlineStr">
        <is>
          <t>Group A Sequence Tests</t>
        </is>
      </c>
      <c r="E101" s="50" t="inlineStr">
        <is>
          <t>K10</t>
        </is>
      </c>
      <c r="F101" s="50" t="inlineStr">
        <is>
          <t>K10 Water/Fluid Ingress Test</t>
        </is>
      </c>
      <c r="G101" s="50" t="inlineStr">
        <is>
          <t>1-12</t>
        </is>
      </c>
      <c r="H101" s="50" t="inlineStr">
        <is>
          <t>12 个样品</t>
        </is>
      </c>
      <c r="I101" s="50" t="inlineStr">
        <is>
          <t>72 h</t>
        </is>
      </c>
      <c r="J101" s="50" t="inlineStr">
        <is>
          <t>按样品数量</t>
        </is>
      </c>
      <c r="K101" s="50" t="inlineStr">
        <is>
          <t>500/个</t>
        </is>
      </c>
      <c r="L101" s="51" t="n">
        <v>6000</v>
      </c>
      <c r="M101" s="50" t="inlineStr">
        <is>
          <t>12个 × 500/个 = 6,000</t>
        </is>
      </c>
      <c r="N101" s="50" t="n"/>
    </row>
    <row r="102" ht="20" customHeight="1" s="4">
      <c r="A102" s="50" t="inlineStr">
        <is>
          <t>Group A</t>
        </is>
      </c>
      <c r="B102" s="50" t="n">
        <v>17</v>
      </c>
      <c r="C102" s="50" t="inlineStr">
        <is>
          <t>PV</t>
        </is>
      </c>
      <c r="D102" s="50" t="inlineStr">
        <is>
          <t>Group A Sequence Tests</t>
        </is>
      </c>
      <c r="E102" s="50" t="inlineStr">
        <is>
          <t>K13</t>
        </is>
      </c>
      <c r="F102" s="50" t="inlineStr">
        <is>
          <t>K13 Dust Ingress</t>
        </is>
      </c>
      <c r="G102" s="50" t="inlineStr">
        <is>
          <t>1-12</t>
        </is>
      </c>
      <c r="H102" s="50" t="inlineStr">
        <is>
          <t>4 批</t>
        </is>
      </c>
      <c r="I102" s="50" t="inlineStr">
        <is>
          <t>120 h</t>
        </is>
      </c>
      <c r="J102" s="50" t="inlineStr">
        <is>
          <t>按批次</t>
        </is>
      </c>
      <c r="K102" s="50" t="inlineStr">
        <is>
          <t>1,500/批</t>
        </is>
      </c>
      <c r="L102" s="51" t="n">
        <v>6000</v>
      </c>
      <c r="M102" s="50" t="inlineStr">
        <is>
          <t>4批 × 1,500/批 = 6,000</t>
        </is>
      </c>
      <c r="N102" s="50" t="n"/>
    </row>
    <row r="103" ht="20" customHeight="1" s="4">
      <c r="A103" s="50" t="inlineStr">
        <is>
          <t>Group A</t>
        </is>
      </c>
      <c r="B103" s="50" t="n">
        <v>19</v>
      </c>
      <c r="C103" s="50" t="inlineStr">
        <is>
          <t>PV</t>
        </is>
      </c>
      <c r="D103" s="50" t="inlineStr">
        <is>
          <t>Group A Sequence Tests</t>
        </is>
      </c>
      <c r="E103" s="50" t="inlineStr">
        <is>
          <t>L1&amp;L4</t>
        </is>
      </c>
      <c r="F103" s="50" t="inlineStr">
        <is>
          <t>L1&amp;L4 Performance Evaluation &amp; Functional Evaluation</t>
        </is>
      </c>
      <c r="G103" s="50" t="inlineStr">
        <is>
          <t>1-14</t>
        </is>
      </c>
      <c r="H103" s="50" t="inlineStr">
        <is>
          <t>14 个样品</t>
        </is>
      </c>
      <c r="I103" s="50" t="inlineStr">
        <is>
          <t>72 h</t>
        </is>
      </c>
      <c r="J103" s="50" t="inlineStr">
        <is>
          <t>按样品数量</t>
        </is>
      </c>
      <c r="K103" s="50" t="inlineStr">
        <is>
          <t>700/个</t>
        </is>
      </c>
      <c r="L103" s="51" t="n">
        <v>9800</v>
      </c>
      <c r="M103" s="50" t="inlineStr">
        <is>
          <t>14个 × 700/个 = 9,800</t>
        </is>
      </c>
      <c r="N103" s="50" t="n"/>
    </row>
    <row r="104" ht="24" customHeight="1" s="4">
      <c r="A104" s="54" t="inlineStr">
        <is>
          <t>Group B：PV / Group B Sequence Tests</t>
        </is>
      </c>
    </row>
    <row r="105" ht="24" customHeight="1" s="4">
      <c r="A105" s="56" t="inlineStr">
        <is>
          <t>组别顺序</t>
        </is>
      </c>
      <c r="B105" s="56" t="inlineStr">
        <is>
          <t>组内顺序</t>
        </is>
      </c>
      <c r="C105" s="56" t="inlineStr">
        <is>
          <t>Phase</t>
        </is>
      </c>
      <c r="D105" s="56" t="inlineStr">
        <is>
          <t>Group</t>
        </is>
      </c>
      <c r="E105" s="56" t="inlineStr">
        <is>
          <t>测试编号</t>
        </is>
      </c>
      <c r="F105" s="56" t="inlineStr">
        <is>
          <t>测试项目</t>
        </is>
      </c>
      <c r="G105" s="56" t="inlineStr">
        <is>
          <t>样品范围</t>
        </is>
      </c>
      <c r="H105" s="56" t="inlineStr">
        <is>
          <t>计费基数</t>
        </is>
      </c>
      <c r="I105" s="56" t="inlineStr">
        <is>
          <t>测试时间</t>
        </is>
      </c>
      <c r="J105" s="56" t="inlineStr">
        <is>
          <t>计费方式</t>
        </is>
      </c>
      <c r="K105" s="56" t="inlineStr">
        <is>
          <t>单价</t>
        </is>
      </c>
      <c r="L105" s="57" t="inlineStr">
        <is>
          <t>委外费用</t>
        </is>
      </c>
      <c r="M105" s="56" t="inlineStr">
        <is>
          <t>费用计算公式</t>
        </is>
      </c>
      <c r="N105" s="56" t="inlineStr">
        <is>
          <t>备注</t>
        </is>
      </c>
    </row>
    <row r="106" ht="20" customHeight="1" s="4">
      <c r="A106" s="50" t="inlineStr">
        <is>
          <t>Group B</t>
        </is>
      </c>
      <c r="B106" s="50" t="n">
        <v>2</v>
      </c>
      <c r="C106" s="50" t="inlineStr">
        <is>
          <t>PV</t>
        </is>
      </c>
      <c r="D106" s="50" t="inlineStr">
        <is>
          <t>Group B Sequence Tests</t>
        </is>
      </c>
      <c r="E106" s="50" t="inlineStr">
        <is>
          <t>L1&amp;L4</t>
        </is>
      </c>
      <c r="F106" s="50" t="inlineStr">
        <is>
          <t>L1&amp;L4 Performance Evaluation &amp; Functional Evaluation</t>
        </is>
      </c>
      <c r="G106" s="50" t="inlineStr">
        <is>
          <t>15-26</t>
        </is>
      </c>
      <c r="H106" s="50" t="inlineStr">
        <is>
          <t>12 个样品</t>
        </is>
      </c>
      <c r="I106" s="50" t="inlineStr">
        <is>
          <t>72 h</t>
        </is>
      </c>
      <c r="J106" s="50" t="inlineStr">
        <is>
          <t>按样品数量</t>
        </is>
      </c>
      <c r="K106" s="50" t="inlineStr">
        <is>
          <t>700/个</t>
        </is>
      </c>
      <c r="L106" s="51" t="n">
        <v>8400</v>
      </c>
      <c r="M106" s="50" t="inlineStr">
        <is>
          <t>12个 × 700/个 = 8,400</t>
        </is>
      </c>
      <c r="N106" s="50" t="n"/>
    </row>
    <row r="107" ht="20" customHeight="1" s="4">
      <c r="A107" s="50" t="inlineStr">
        <is>
          <t>Group B</t>
        </is>
      </c>
      <c r="B107" s="50" t="n">
        <v>3</v>
      </c>
      <c r="C107" s="50" t="inlineStr">
        <is>
          <t>PV</t>
        </is>
      </c>
      <c r="D107" s="50" t="inlineStr">
        <is>
          <t>Group B Sequence Tests</t>
        </is>
      </c>
      <c r="E107" s="50" t="inlineStr">
        <is>
          <t>K22</t>
        </is>
      </c>
      <c r="F107" s="50" t="inlineStr">
        <is>
          <t>K22 Chemical Resistance</t>
        </is>
      </c>
      <c r="G107" s="50" t="inlineStr">
        <is>
          <t>15-26</t>
        </is>
      </c>
      <c r="H107" s="50" t="inlineStr">
        <is>
          <t>72 h</t>
        </is>
      </c>
      <c r="I107" s="50" t="inlineStr">
        <is>
          <t>72 h</t>
        </is>
      </c>
      <c r="J107" s="50" t="inlineStr">
        <is>
          <t>按小时</t>
        </is>
      </c>
      <c r="K107" s="50" t="inlineStr">
        <is>
          <t>组合总价（见费用规则）</t>
        </is>
      </c>
      <c r="L107" s="51" t="n">
        <v>12300</v>
      </c>
      <c r="M107" s="50" t="inlineStr">
        <is>
          <t>特殊组合计费，按规则表总价 = 12,300</t>
        </is>
      </c>
      <c r="N107" s="50" t="inlineStr">
        <is>
          <t>K22 Chemical Resistance 按 MLA 条件 1 的 15 种试剂；试剂数量 × 各实验室试剂单价 + 测试时间 × 时间单价 计算</t>
        </is>
      </c>
    </row>
    <row r="108" ht="20" customHeight="1" s="4">
      <c r="A108" s="50" t="inlineStr">
        <is>
          <t>Group B</t>
        </is>
      </c>
      <c r="B108" s="50" t="n">
        <v>4</v>
      </c>
      <c r="C108" s="50" t="inlineStr">
        <is>
          <t>PV</t>
        </is>
      </c>
      <c r="D108" s="50" t="inlineStr">
        <is>
          <t>Group B Sequence Tests</t>
        </is>
      </c>
      <c r="E108" s="50" t="inlineStr">
        <is>
          <t>K18</t>
        </is>
      </c>
      <c r="F108" s="50" t="inlineStr">
        <is>
          <t>K18 Connector and lead/lock strength</t>
        </is>
      </c>
      <c r="G108" s="50" t="inlineStr">
        <is>
          <t>15-26</t>
        </is>
      </c>
      <c r="H108" s="50" t="inlineStr">
        <is>
          <t>12 个样品</t>
        </is>
      </c>
      <c r="I108" s="50" t="inlineStr">
        <is>
          <t>168 h</t>
        </is>
      </c>
      <c r="J108" s="50" t="inlineStr">
        <is>
          <t>按样品数量</t>
        </is>
      </c>
      <c r="K108" s="50" t="inlineStr">
        <is>
          <t>组合总价（见费用规则）</t>
        </is>
      </c>
      <c r="L108" s="51" t="n">
        <v>27500</v>
      </c>
      <c r="M108" s="50" t="inlineStr">
        <is>
          <t>特殊组合计费，按规则表总价 = 27,500</t>
        </is>
      </c>
      <c r="N108" s="50" t="inlineStr">
        <is>
          <t>K18.1-K18.4 四项 × 12 台样机 × 单价 + K18.1 微应力费用</t>
        </is>
      </c>
    </row>
    <row r="109" ht="20" customHeight="1" s="4">
      <c r="A109" s="50" t="inlineStr">
        <is>
          <t>Group B</t>
        </is>
      </c>
      <c r="B109" s="50" t="n">
        <v>5</v>
      </c>
      <c r="C109" s="50" t="inlineStr">
        <is>
          <t>PV</t>
        </is>
      </c>
      <c r="D109" s="50" t="inlineStr">
        <is>
          <t>Group B Sequence Tests</t>
        </is>
      </c>
      <c r="E109" s="50" t="inlineStr">
        <is>
          <t>L1&amp;L4</t>
        </is>
      </c>
      <c r="F109" s="50" t="inlineStr">
        <is>
          <t>L1&amp;L4 Performance Evaluation &amp; Functional Evaluation</t>
        </is>
      </c>
      <c r="G109" s="50" t="inlineStr">
        <is>
          <t>15-26</t>
        </is>
      </c>
      <c r="H109" s="50" t="inlineStr">
        <is>
          <t>12 个样品</t>
        </is>
      </c>
      <c r="I109" s="50" t="inlineStr">
        <is>
          <t>72 h</t>
        </is>
      </c>
      <c r="J109" s="50" t="inlineStr">
        <is>
          <t>按样品数量</t>
        </is>
      </c>
      <c r="K109" s="50" t="inlineStr">
        <is>
          <t>700/个</t>
        </is>
      </c>
      <c r="L109" s="51" t="n">
        <v>8400</v>
      </c>
      <c r="M109" s="50" t="inlineStr">
        <is>
          <t>12个 × 700/个 = 8,400</t>
        </is>
      </c>
      <c r="N109" s="50" t="n"/>
    </row>
    <row r="110" ht="24" customHeight="1" s="4">
      <c r="A110" s="54" t="inlineStr">
        <is>
          <t>Group C：PV / Group C Sequence Tests</t>
        </is>
      </c>
    </row>
    <row r="111" ht="24" customHeight="1" s="4">
      <c r="A111" s="56" t="inlineStr">
        <is>
          <t>组别顺序</t>
        </is>
      </c>
      <c r="B111" s="56" t="inlineStr">
        <is>
          <t>组内顺序</t>
        </is>
      </c>
      <c r="C111" s="56" t="inlineStr">
        <is>
          <t>Phase</t>
        </is>
      </c>
      <c r="D111" s="56" t="inlineStr">
        <is>
          <t>Group</t>
        </is>
      </c>
      <c r="E111" s="56" t="inlineStr">
        <is>
          <t>测试编号</t>
        </is>
      </c>
      <c r="F111" s="56" t="inlineStr">
        <is>
          <t>测试项目</t>
        </is>
      </c>
      <c r="G111" s="56" t="inlineStr">
        <is>
          <t>样品范围</t>
        </is>
      </c>
      <c r="H111" s="56" t="inlineStr">
        <is>
          <t>计费基数</t>
        </is>
      </c>
      <c r="I111" s="56" t="inlineStr">
        <is>
          <t>测试时间</t>
        </is>
      </c>
      <c r="J111" s="56" t="inlineStr">
        <is>
          <t>计费方式</t>
        </is>
      </c>
      <c r="K111" s="56" t="inlineStr">
        <is>
          <t>单价</t>
        </is>
      </c>
      <c r="L111" s="57" t="inlineStr">
        <is>
          <t>委外费用</t>
        </is>
      </c>
      <c r="M111" s="56" t="inlineStr">
        <is>
          <t>费用计算公式</t>
        </is>
      </c>
      <c r="N111" s="56" t="inlineStr">
        <is>
          <t>备注</t>
        </is>
      </c>
    </row>
    <row r="112" ht="20" customHeight="1" s="4">
      <c r="A112" s="50" t="inlineStr">
        <is>
          <t>Group C</t>
        </is>
      </c>
      <c r="B112" s="50" t="n">
        <v>2</v>
      </c>
      <c r="C112" s="50" t="inlineStr">
        <is>
          <t>PV</t>
        </is>
      </c>
      <c r="D112" s="50" t="inlineStr">
        <is>
          <t>Group C Sequence Tests</t>
        </is>
      </c>
      <c r="E112" s="50" t="inlineStr">
        <is>
          <t>L1&amp;L4</t>
        </is>
      </c>
      <c r="F112" s="50" t="inlineStr">
        <is>
          <t>L1&amp;L4 Performance Evaluation &amp; Functional Evaluation</t>
        </is>
      </c>
      <c r="G112" s="50" t="inlineStr">
        <is>
          <t>27-32</t>
        </is>
      </c>
      <c r="H112" s="50" t="inlineStr">
        <is>
          <t>6 个样品</t>
        </is>
      </c>
      <c r="I112" s="50" t="inlineStr">
        <is>
          <t>72 h</t>
        </is>
      </c>
      <c r="J112" s="50" t="inlineStr">
        <is>
          <t>按样品数量</t>
        </is>
      </c>
      <c r="K112" s="50" t="inlineStr">
        <is>
          <t>700/个</t>
        </is>
      </c>
      <c r="L112" s="51" t="n">
        <v>4200</v>
      </c>
      <c r="M112" s="50" t="inlineStr">
        <is>
          <t>6个 × 700/个 = 4,200</t>
        </is>
      </c>
      <c r="N112" s="50" t="n"/>
    </row>
    <row r="113" ht="20" customHeight="1" s="4">
      <c r="A113" s="50" t="inlineStr">
        <is>
          <t>Group C</t>
        </is>
      </c>
      <c r="B113" s="50" t="n">
        <v>3</v>
      </c>
      <c r="C113" s="50" t="inlineStr">
        <is>
          <t>PV</t>
        </is>
      </c>
      <c r="D113" s="50" t="inlineStr">
        <is>
          <t>Group C Sequence Tests</t>
        </is>
      </c>
      <c r="E113" s="50" t="inlineStr">
        <is>
          <t>K7</t>
        </is>
      </c>
      <c r="F113" s="50" t="inlineStr">
        <is>
          <t>K7 Thermal Shock in Air</t>
        </is>
      </c>
      <c r="G113" s="50" t="inlineStr">
        <is>
          <t>27-32</t>
        </is>
      </c>
      <c r="H113" s="50" t="inlineStr">
        <is>
          <t>105 h</t>
        </is>
      </c>
      <c r="I113" s="50" t="inlineStr">
        <is>
          <t>105 h</t>
        </is>
      </c>
      <c r="J113" s="50" t="inlineStr">
        <is>
          <t>按小时</t>
        </is>
      </c>
      <c r="K113" s="50" t="inlineStr">
        <is>
          <t>70/h</t>
        </is>
      </c>
      <c r="L113" s="51" t="n">
        <v>7350</v>
      </c>
      <c r="M113" s="50" t="inlineStr">
        <is>
          <t>105h × 70/h = 7,350</t>
        </is>
      </c>
      <c r="N113" s="50" t="n"/>
    </row>
    <row r="114" ht="20" customHeight="1" s="4">
      <c r="A114" s="50" t="inlineStr">
        <is>
          <t>Group C</t>
        </is>
      </c>
      <c r="B114" s="50" t="n">
        <v>4</v>
      </c>
      <c r="C114" s="50" t="inlineStr">
        <is>
          <t>PV</t>
        </is>
      </c>
      <c r="D114" s="50" t="inlineStr">
        <is>
          <t>Group C Sequence Tests</t>
        </is>
      </c>
      <c r="E114" s="50" t="inlineStr">
        <is>
          <t>Particle</t>
        </is>
      </c>
      <c r="F114" s="50" t="inlineStr">
        <is>
          <t>Particle Exposure</t>
        </is>
      </c>
      <c r="G114" s="50" t="inlineStr">
        <is>
          <t>27-32</t>
        </is>
      </c>
      <c r="H114" s="50" t="n"/>
      <c r="I114" s="50" t="inlineStr">
        <is>
          <t>48 h</t>
        </is>
      </c>
      <c r="J114" s="50" t="inlineStr">
        <is>
          <t>按批次</t>
        </is>
      </c>
      <c r="K114" s="50" t="inlineStr">
        <is>
          <t>1,500/批</t>
        </is>
      </c>
      <c r="L114" s="51" t="n">
        <v>3000</v>
      </c>
      <c r="M114" s="50" t="inlineStr">
        <is>
          <t>A组已计入粉尘费/清洁费，当前仅计批次费：2批 × 1,500/批 = 3,000</t>
        </is>
      </c>
      <c r="N114" s="50" t="inlineStr">
        <is>
          <t>Particle Exposure：A组已覆盖粉尘/清洁，当前只计新增批次费</t>
        </is>
      </c>
    </row>
    <row r="115" ht="20" customHeight="1" s="4">
      <c r="A115" s="50" t="inlineStr">
        <is>
          <t>Group C</t>
        </is>
      </c>
      <c r="B115" s="50" t="n">
        <v>5</v>
      </c>
      <c r="C115" s="50" t="inlineStr">
        <is>
          <t>PV</t>
        </is>
      </c>
      <c r="D115" s="50" t="inlineStr">
        <is>
          <t>Group C Sequence Tests</t>
        </is>
      </c>
      <c r="E115" s="50" t="inlineStr">
        <is>
          <t>K15</t>
        </is>
      </c>
      <c r="F115" s="50" t="inlineStr">
        <is>
          <t>K15 Vibartion</t>
        </is>
      </c>
      <c r="G115" s="50" t="inlineStr">
        <is>
          <t>27-32</t>
        </is>
      </c>
      <c r="H115" s="50" t="inlineStr">
        <is>
          <t>24 h</t>
        </is>
      </c>
      <c r="I115" s="50" t="inlineStr">
        <is>
          <t>24 h</t>
        </is>
      </c>
      <c r="J115" s="50" t="inlineStr">
        <is>
          <t>按小时</t>
        </is>
      </c>
      <c r="K115" s="50" t="inlineStr">
        <is>
          <t>400/h</t>
        </is>
      </c>
      <c r="L115" s="51" t="n">
        <v>9600</v>
      </c>
      <c r="M115" s="50" t="inlineStr">
        <is>
          <t>24h × 400/h = 9,600</t>
        </is>
      </c>
      <c r="N115" s="50" t="n"/>
    </row>
    <row r="116" ht="20" customHeight="1" s="4">
      <c r="A116" s="50" t="inlineStr">
        <is>
          <t>Group C</t>
        </is>
      </c>
      <c r="B116" s="50" t="n">
        <v>6</v>
      </c>
      <c r="C116" s="50" t="inlineStr">
        <is>
          <t>PV</t>
        </is>
      </c>
      <c r="D116" s="50" t="inlineStr">
        <is>
          <t>Group C Sequence Tests</t>
        </is>
      </c>
      <c r="E116" s="50" t="inlineStr">
        <is>
          <t>K13</t>
        </is>
      </c>
      <c r="F116" s="50" t="inlineStr">
        <is>
          <t>K13 Dust Ingress</t>
        </is>
      </c>
      <c r="G116" s="50" t="inlineStr">
        <is>
          <t>27-32</t>
        </is>
      </c>
      <c r="H116" s="50" t="inlineStr">
        <is>
          <t>2 批</t>
        </is>
      </c>
      <c r="I116" s="50" t="inlineStr">
        <is>
          <t>48 h</t>
        </is>
      </c>
      <c r="J116" s="50" t="inlineStr">
        <is>
          <t>按批次</t>
        </is>
      </c>
      <c r="K116" s="50" t="inlineStr">
        <is>
          <t>1,500/批</t>
        </is>
      </c>
      <c r="L116" s="51" t="n">
        <v>3000</v>
      </c>
      <c r="M116" s="50" t="inlineStr">
        <is>
          <t>2批 × 1,500/批 = 3,000</t>
        </is>
      </c>
      <c r="N116" s="50" t="n"/>
    </row>
    <row r="117" ht="20" customHeight="1" s="4">
      <c r="A117" s="50" t="inlineStr">
        <is>
          <t>Group C</t>
        </is>
      </c>
      <c r="B117" s="50" t="n">
        <v>8</v>
      </c>
      <c r="C117" s="50" t="inlineStr">
        <is>
          <t>PV</t>
        </is>
      </c>
      <c r="D117" s="50" t="inlineStr">
        <is>
          <t>Group C Sequence Tests</t>
        </is>
      </c>
      <c r="E117" s="50" t="inlineStr">
        <is>
          <t>K26</t>
        </is>
      </c>
      <c r="F117" s="50" t="inlineStr">
        <is>
          <t>K26 Mechanical Wear-Out</t>
        </is>
      </c>
      <c r="G117" s="50" t="inlineStr">
        <is>
          <t>27-32</t>
        </is>
      </c>
      <c r="H117" s="50" t="inlineStr">
        <is>
          <t>500 h</t>
        </is>
      </c>
      <c r="I117" s="50" t="inlineStr">
        <is>
          <t>500 h</t>
        </is>
      </c>
      <c r="J117" s="50" t="inlineStr">
        <is>
          <t>按小时</t>
        </is>
      </c>
      <c r="K117" s="50" t="inlineStr">
        <is>
          <t>组合总价（见费用规则）</t>
        </is>
      </c>
      <c r="L117" s="51" t="n">
        <v>6488</v>
      </c>
      <c r="M117" s="50" t="inlineStr">
        <is>
          <t>特殊组合计费，按规则表总价 = 6,488</t>
        </is>
      </c>
      <c r="N117" s="50" t="inlineStr">
        <is>
          <t>K26 Mechanical Wear-Out 按 334h 常温 + 83h 低温 + 83h 高温分别计费，采用当前实验室总价</t>
        </is>
      </c>
    </row>
    <row r="118" ht="20" customHeight="1" s="4">
      <c r="A118" s="50" t="inlineStr">
        <is>
          <t>Group C</t>
        </is>
      </c>
      <c r="B118" s="50" t="n">
        <v>9</v>
      </c>
      <c r="C118" s="50" t="inlineStr">
        <is>
          <t>PV</t>
        </is>
      </c>
      <c r="D118" s="50" t="inlineStr">
        <is>
          <t>Group C Sequence Tests</t>
        </is>
      </c>
      <c r="E118" s="50" t="inlineStr">
        <is>
          <t>L1&amp;L4</t>
        </is>
      </c>
      <c r="F118" s="50" t="inlineStr">
        <is>
          <t>L1&amp;L4 Performance Evaluation &amp; Functional Evaluation</t>
        </is>
      </c>
      <c r="G118" s="50" t="inlineStr">
        <is>
          <t>27-32</t>
        </is>
      </c>
      <c r="H118" s="50" t="inlineStr">
        <is>
          <t>6 个样品</t>
        </is>
      </c>
      <c r="I118" s="50" t="inlineStr">
        <is>
          <t>48 h</t>
        </is>
      </c>
      <c r="J118" s="50" t="inlineStr">
        <is>
          <t>按样品数量</t>
        </is>
      </c>
      <c r="K118" s="50" t="inlineStr">
        <is>
          <t>700/个</t>
        </is>
      </c>
      <c r="L118" s="51" t="n">
        <v>4200</v>
      </c>
      <c r="M118" s="50" t="inlineStr">
        <is>
          <t>6个 × 700/个 = 4,200</t>
        </is>
      </c>
      <c r="N118" s="50" t="n"/>
    </row>
    <row r="119" ht="24" customHeight="1" s="4">
      <c r="A119" s="54" t="inlineStr">
        <is>
          <t>Group D-1：PV / Group D Parallel Tests / D-1 Corrosive Gases</t>
        </is>
      </c>
    </row>
    <row r="120" ht="24" customHeight="1" s="4">
      <c r="A120" s="56" t="inlineStr">
        <is>
          <t>组别顺序</t>
        </is>
      </c>
      <c r="B120" s="56" t="inlineStr">
        <is>
          <t>组内顺序</t>
        </is>
      </c>
      <c r="C120" s="56" t="inlineStr">
        <is>
          <t>Phase</t>
        </is>
      </c>
      <c r="D120" s="56" t="inlineStr">
        <is>
          <t>Group</t>
        </is>
      </c>
      <c r="E120" s="56" t="inlineStr">
        <is>
          <t>测试编号</t>
        </is>
      </c>
      <c r="F120" s="56" t="inlineStr">
        <is>
          <t>测试项目</t>
        </is>
      </c>
      <c r="G120" s="56" t="inlineStr">
        <is>
          <t>样品范围</t>
        </is>
      </c>
      <c r="H120" s="56" t="inlineStr">
        <is>
          <t>计费基数</t>
        </is>
      </c>
      <c r="I120" s="56" t="inlineStr">
        <is>
          <t>测试时间</t>
        </is>
      </c>
      <c r="J120" s="56" t="inlineStr">
        <is>
          <t>计费方式</t>
        </is>
      </c>
      <c r="K120" s="56" t="inlineStr">
        <is>
          <t>单价</t>
        </is>
      </c>
      <c r="L120" s="57" t="inlineStr">
        <is>
          <t>委外费用</t>
        </is>
      </c>
      <c r="M120" s="56" t="inlineStr">
        <is>
          <t>费用计算公式</t>
        </is>
      </c>
      <c r="N120" s="56" t="inlineStr">
        <is>
          <t>备注</t>
        </is>
      </c>
    </row>
    <row r="121" ht="20" customHeight="1" s="4">
      <c r="A121" s="50" t="inlineStr">
        <is>
          <t>Group D-1</t>
        </is>
      </c>
      <c r="B121" s="50" t="n">
        <v>2</v>
      </c>
      <c r="C121" s="50" t="inlineStr">
        <is>
          <t>PV</t>
        </is>
      </c>
      <c r="D121" s="50" t="inlineStr">
        <is>
          <t>Group D Parallel Tests / D-1 Corrosive Gases</t>
        </is>
      </c>
      <c r="E121" s="50" t="inlineStr">
        <is>
          <t>L1&amp;L4</t>
        </is>
      </c>
      <c r="F121" s="50" t="inlineStr">
        <is>
          <t>L1&amp;L4 Performance Evaluation &amp; Functional Evaluation</t>
        </is>
      </c>
      <c r="G121" s="50" t="inlineStr">
        <is>
          <t>33-38</t>
        </is>
      </c>
      <c r="H121" s="50" t="inlineStr">
        <is>
          <t>6 个样品</t>
        </is>
      </c>
      <c r="I121" s="50" t="inlineStr">
        <is>
          <t>72 h</t>
        </is>
      </c>
      <c r="J121" s="50" t="inlineStr">
        <is>
          <t>按样品数量</t>
        </is>
      </c>
      <c r="K121" s="50" t="inlineStr">
        <is>
          <t>700/个</t>
        </is>
      </c>
      <c r="L121" s="51" t="n">
        <v>4200</v>
      </c>
      <c r="M121" s="50" t="inlineStr">
        <is>
          <t>6个 × 700/个 = 4,200</t>
        </is>
      </c>
      <c r="N121" s="50" t="n"/>
    </row>
    <row r="122" ht="20" customHeight="1" s="4">
      <c r="A122" s="50" t="inlineStr">
        <is>
          <t>Group D-1</t>
        </is>
      </c>
      <c r="B122" s="50" t="n">
        <v>3</v>
      </c>
      <c r="C122" s="50" t="inlineStr">
        <is>
          <t>PV</t>
        </is>
      </c>
      <c r="D122" s="50" t="inlineStr">
        <is>
          <t>Group D Parallel Tests / D-1 Corrosive Gases</t>
        </is>
      </c>
      <c r="E122" s="50" t="inlineStr">
        <is>
          <t>K21</t>
        </is>
      </c>
      <c r="F122" s="50" t="inlineStr">
        <is>
          <t>K21 Corrosive Gases</t>
        </is>
      </c>
      <c r="G122" s="50" t="inlineStr">
        <is>
          <t>33-38</t>
        </is>
      </c>
      <c r="H122" s="50" t="inlineStr">
        <is>
          <t>336 h</t>
        </is>
      </c>
      <c r="I122" s="50" t="inlineStr">
        <is>
          <t>336 h</t>
        </is>
      </c>
      <c r="J122" s="50" t="inlineStr">
        <is>
          <t>按小时</t>
        </is>
      </c>
      <c r="K122" s="50" t="inlineStr">
        <is>
          <t>120/h</t>
        </is>
      </c>
      <c r="L122" s="51" t="n">
        <v>40320</v>
      </c>
      <c r="M122" s="50" t="inlineStr">
        <is>
          <t>336h × 120/h = 40,320</t>
        </is>
      </c>
      <c r="N122" s="50" t="n"/>
    </row>
    <row r="123" ht="20" customHeight="1" s="4">
      <c r="A123" s="50" t="inlineStr">
        <is>
          <t>Group D-1</t>
        </is>
      </c>
      <c r="B123" s="50" t="n">
        <v>4</v>
      </c>
      <c r="C123" s="50" t="inlineStr">
        <is>
          <t>PV</t>
        </is>
      </c>
      <c r="D123" s="50" t="inlineStr">
        <is>
          <t>Group D Parallel Tests / D-1 Corrosive Gases</t>
        </is>
      </c>
      <c r="E123" s="50" t="inlineStr">
        <is>
          <t>L1&amp;L4</t>
        </is>
      </c>
      <c r="F123" s="50" t="inlineStr">
        <is>
          <t>L1&amp;L4 Performance Evaluation &amp; Functional Evaluation</t>
        </is>
      </c>
      <c r="G123" s="50" t="inlineStr">
        <is>
          <t>33-38</t>
        </is>
      </c>
      <c r="H123" s="50" t="inlineStr">
        <is>
          <t>6 个样品</t>
        </is>
      </c>
      <c r="I123" s="50" t="inlineStr">
        <is>
          <t>48 h</t>
        </is>
      </c>
      <c r="J123" s="50" t="inlineStr">
        <is>
          <t>按样品数量</t>
        </is>
      </c>
      <c r="K123" s="50" t="inlineStr">
        <is>
          <t>700/个</t>
        </is>
      </c>
      <c r="L123" s="51" t="n">
        <v>4200</v>
      </c>
      <c r="M123" s="50" t="inlineStr">
        <is>
          <t>6个 × 700/个 = 4,200</t>
        </is>
      </c>
      <c r="N123" s="50" t="n"/>
    </row>
    <row r="124" ht="24" customHeight="1" s="4">
      <c r="A124" s="54" t="inlineStr">
        <is>
          <t>Group D-2：PV / Group D Parallel Tests / D-2 Solar Radiation</t>
        </is>
      </c>
    </row>
    <row r="125" ht="24" customHeight="1" s="4">
      <c r="A125" s="56" t="inlineStr">
        <is>
          <t>组别顺序</t>
        </is>
      </c>
      <c r="B125" s="56" t="inlineStr">
        <is>
          <t>组内顺序</t>
        </is>
      </c>
      <c r="C125" s="56" t="inlineStr">
        <is>
          <t>Phase</t>
        </is>
      </c>
      <c r="D125" s="56" t="inlineStr">
        <is>
          <t>Group</t>
        </is>
      </c>
      <c r="E125" s="56" t="inlineStr">
        <is>
          <t>测试编号</t>
        </is>
      </c>
      <c r="F125" s="56" t="inlineStr">
        <is>
          <t>测试项目</t>
        </is>
      </c>
      <c r="G125" s="56" t="inlineStr">
        <is>
          <t>样品范围</t>
        </is>
      </c>
      <c r="H125" s="56" t="inlineStr">
        <is>
          <t>计费基数</t>
        </is>
      </c>
      <c r="I125" s="56" t="inlineStr">
        <is>
          <t>测试时间</t>
        </is>
      </c>
      <c r="J125" s="56" t="inlineStr">
        <is>
          <t>计费方式</t>
        </is>
      </c>
      <c r="K125" s="56" t="inlineStr">
        <is>
          <t>单价</t>
        </is>
      </c>
      <c r="L125" s="57" t="inlineStr">
        <is>
          <t>委外费用</t>
        </is>
      </c>
      <c r="M125" s="56" t="inlineStr">
        <is>
          <t>费用计算公式</t>
        </is>
      </c>
      <c r="N125" s="56" t="inlineStr">
        <is>
          <t>备注</t>
        </is>
      </c>
    </row>
    <row r="126" ht="20" customHeight="1" s="4">
      <c r="A126" s="50" t="inlineStr">
        <is>
          <t>Group D-2</t>
        </is>
      </c>
      <c r="B126" s="50" t="n">
        <v>2</v>
      </c>
      <c r="C126" s="50" t="inlineStr">
        <is>
          <t>PV</t>
        </is>
      </c>
      <c r="D126" s="50" t="inlineStr">
        <is>
          <t>Group D Parallel Tests / D-2 Solar Radiation</t>
        </is>
      </c>
      <c r="E126" s="50" t="inlineStr">
        <is>
          <t>L1&amp;L4</t>
        </is>
      </c>
      <c r="F126" s="50" t="inlineStr">
        <is>
          <t>L1&amp;L4 Performance Evaluation &amp; Functional Evaluation</t>
        </is>
      </c>
      <c r="G126" s="50" t="inlineStr">
        <is>
          <t>39-44</t>
        </is>
      </c>
      <c r="H126" s="50" t="inlineStr">
        <is>
          <t>6 个样品</t>
        </is>
      </c>
      <c r="I126" s="50" t="inlineStr">
        <is>
          <t>72 h</t>
        </is>
      </c>
      <c r="J126" s="50" t="inlineStr">
        <is>
          <t>按样品数量</t>
        </is>
      </c>
      <c r="K126" s="50" t="inlineStr">
        <is>
          <t>700/个</t>
        </is>
      </c>
      <c r="L126" s="51" t="n">
        <v>4200</v>
      </c>
      <c r="M126" s="50" t="inlineStr">
        <is>
          <t>6个 × 700/个 = 4,200</t>
        </is>
      </c>
      <c r="N126" s="50" t="n"/>
    </row>
    <row r="127" ht="20" customHeight="1" s="4">
      <c r="A127" s="50" t="inlineStr">
        <is>
          <t>Group D-2</t>
        </is>
      </c>
      <c r="B127" s="50" t="n">
        <v>3</v>
      </c>
      <c r="C127" s="50" t="inlineStr">
        <is>
          <t>PV</t>
        </is>
      </c>
      <c r="D127" s="50" t="inlineStr">
        <is>
          <t>Group D Parallel Tests / D-2 Solar Radiation</t>
        </is>
      </c>
      <c r="E127" s="50" t="inlineStr">
        <is>
          <t>K20</t>
        </is>
      </c>
      <c r="F127" s="50" t="inlineStr">
        <is>
          <t>K20 Solar Radiation</t>
        </is>
      </c>
      <c r="G127" s="50" t="inlineStr">
        <is>
          <t>39-44</t>
        </is>
      </c>
      <c r="H127" s="50" t="inlineStr">
        <is>
          <t>720 h</t>
        </is>
      </c>
      <c r="I127" s="50" t="inlineStr">
        <is>
          <t>720 h</t>
        </is>
      </c>
      <c r="J127" s="50" t="inlineStr">
        <is>
          <t>按小时</t>
        </is>
      </c>
      <c r="K127" s="50" t="inlineStr">
        <is>
          <t>400/h</t>
        </is>
      </c>
      <c r="L127" s="51" t="n">
        <v>288000</v>
      </c>
      <c r="M127" s="50" t="inlineStr">
        <is>
          <t>720h × 400/h = 288,000</t>
        </is>
      </c>
      <c r="N127" s="50" t="n"/>
    </row>
    <row r="128" ht="20" customHeight="1" s="4">
      <c r="A128" s="50" t="inlineStr">
        <is>
          <t>Group D-2</t>
        </is>
      </c>
      <c r="B128" s="50" t="n">
        <v>4</v>
      </c>
      <c r="C128" s="50" t="inlineStr">
        <is>
          <t>PV</t>
        </is>
      </c>
      <c r="D128" s="50" t="inlineStr">
        <is>
          <t>Group D Parallel Tests / D-2 Solar Radiation</t>
        </is>
      </c>
      <c r="E128" s="50" t="inlineStr">
        <is>
          <t>L1&amp;L4</t>
        </is>
      </c>
      <c r="F128" s="50" t="inlineStr">
        <is>
          <t>L1&amp;L4 Performance Evaluation &amp; Functional Evaluation</t>
        </is>
      </c>
      <c r="G128" s="50" t="inlineStr">
        <is>
          <t>39-44</t>
        </is>
      </c>
      <c r="H128" s="50" t="inlineStr">
        <is>
          <t>6 个样品</t>
        </is>
      </c>
      <c r="I128" s="50" t="inlineStr">
        <is>
          <t>48 h</t>
        </is>
      </c>
      <c r="J128" s="50" t="inlineStr">
        <is>
          <t>按样品数量</t>
        </is>
      </c>
      <c r="K128" s="50" t="inlineStr">
        <is>
          <t>700/个</t>
        </is>
      </c>
      <c r="L128" s="51" t="n">
        <v>4200</v>
      </c>
      <c r="M128" s="50" t="inlineStr">
        <is>
          <t>6个 × 700/个 = 4,200</t>
        </is>
      </c>
      <c r="N128" s="50" t="n"/>
    </row>
    <row r="129" ht="24" customHeight="1" s="4">
      <c r="A129" s="54" t="inlineStr">
        <is>
          <t>Group D-3：PV / Group D Parallel Tests / D-3 PCBA</t>
        </is>
      </c>
    </row>
    <row r="130" ht="24" customHeight="1" s="4">
      <c r="A130" s="56" t="inlineStr">
        <is>
          <t>组别顺序</t>
        </is>
      </c>
      <c r="B130" s="56" t="inlineStr">
        <is>
          <t>组内顺序</t>
        </is>
      </c>
      <c r="C130" s="56" t="inlineStr">
        <is>
          <t>Phase</t>
        </is>
      </c>
      <c r="D130" s="56" t="inlineStr">
        <is>
          <t>Group</t>
        </is>
      </c>
      <c r="E130" s="56" t="inlineStr">
        <is>
          <t>测试编号</t>
        </is>
      </c>
      <c r="F130" s="56" t="inlineStr">
        <is>
          <t>测试项目</t>
        </is>
      </c>
      <c r="G130" s="56" t="inlineStr">
        <is>
          <t>样品范围</t>
        </is>
      </c>
      <c r="H130" s="56" t="inlineStr">
        <is>
          <t>计费基数</t>
        </is>
      </c>
      <c r="I130" s="56" t="inlineStr">
        <is>
          <t>测试时间</t>
        </is>
      </c>
      <c r="J130" s="56" t="inlineStr">
        <is>
          <t>计费方式</t>
        </is>
      </c>
      <c r="K130" s="56" t="inlineStr">
        <is>
          <t>单价</t>
        </is>
      </c>
      <c r="L130" s="57" t="inlineStr">
        <is>
          <t>委外费用</t>
        </is>
      </c>
      <c r="M130" s="56" t="inlineStr">
        <is>
          <t>费用计算公式</t>
        </is>
      </c>
      <c r="N130" s="56" t="inlineStr">
        <is>
          <t>备注</t>
        </is>
      </c>
    </row>
    <row r="131" ht="20" customHeight="1" s="4">
      <c r="A131" s="50" t="inlineStr">
        <is>
          <t>Group D-3</t>
        </is>
      </c>
      <c r="B131" s="50" t="n">
        <v>2</v>
      </c>
      <c r="C131" s="50" t="inlineStr">
        <is>
          <t>PV</t>
        </is>
      </c>
      <c r="D131" s="50" t="inlineStr">
        <is>
          <t>Group D Parallel Tests / D-3 PCBA</t>
        </is>
      </c>
      <c r="E131" s="50" t="inlineStr">
        <is>
          <t>L1&amp;L4</t>
        </is>
      </c>
      <c r="F131" s="50" t="inlineStr">
        <is>
          <t>L1&amp;L4 Performance Evaluation &amp; Functional Evaluation</t>
        </is>
      </c>
      <c r="G131" s="50" t="inlineStr">
        <is>
          <t>45-52</t>
        </is>
      </c>
      <c r="H131" s="50" t="inlineStr">
        <is>
          <t>6 个样品</t>
        </is>
      </c>
      <c r="I131" s="50" t="inlineStr">
        <is>
          <t>72 h</t>
        </is>
      </c>
      <c r="J131" s="50" t="inlineStr">
        <is>
          <t>按样品数量</t>
        </is>
      </c>
      <c r="K131" s="50" t="inlineStr">
        <is>
          <t>700/个</t>
        </is>
      </c>
      <c r="L131" s="51" t="n">
        <v>4200</v>
      </c>
      <c r="M131" s="50" t="inlineStr">
        <is>
          <t>6个 × 700/个 = 4,200</t>
        </is>
      </c>
      <c r="N131" s="50" t="n"/>
    </row>
    <row r="132" ht="20" customHeight="1" s="4">
      <c r="A132" s="50" t="inlineStr">
        <is>
          <t>Group D-3</t>
        </is>
      </c>
      <c r="B132" s="50" t="n">
        <v>3</v>
      </c>
      <c r="C132" s="50" t="inlineStr">
        <is>
          <t>PV</t>
        </is>
      </c>
      <c r="D132" s="50" t="inlineStr">
        <is>
          <t>Group D Parallel Tests / D-3 PCBA</t>
        </is>
      </c>
      <c r="E132" s="50" t="inlineStr">
        <is>
          <t>K23</t>
        </is>
      </c>
      <c r="F132" s="50" t="inlineStr">
        <is>
          <t>K23 Thermal Shock Endurance</t>
        </is>
      </c>
      <c r="G132" s="50" t="inlineStr">
        <is>
          <t>45-52</t>
        </is>
      </c>
      <c r="H132" s="50" t="inlineStr">
        <is>
          <t>1017 h</t>
        </is>
      </c>
      <c r="I132" s="50" t="inlineStr">
        <is>
          <t>1017 h</t>
        </is>
      </c>
      <c r="J132" s="50" t="inlineStr">
        <is>
          <t>按小时</t>
        </is>
      </c>
      <c r="K132" s="50" t="inlineStr">
        <is>
          <t>50/h</t>
        </is>
      </c>
      <c r="L132" s="51" t="n">
        <v>50850</v>
      </c>
      <c r="M132" s="50" t="inlineStr">
        <is>
          <t>1,017h × 50/h = 50,850</t>
        </is>
      </c>
      <c r="N132" s="50" t="n"/>
    </row>
    <row r="133" ht="20" customHeight="1" s="4">
      <c r="A133" s="50" t="inlineStr">
        <is>
          <t>Group D-3</t>
        </is>
      </c>
      <c r="B133" s="50" t="n">
        <v>4</v>
      </c>
      <c r="C133" s="50" t="inlineStr">
        <is>
          <t>PV</t>
        </is>
      </c>
      <c r="D133" s="50" t="inlineStr">
        <is>
          <t>Group D Parallel Tests / D-3 PCBA</t>
        </is>
      </c>
      <c r="E133" s="50" t="inlineStr">
        <is>
          <t>L1&amp;L4</t>
        </is>
      </c>
      <c r="F133" s="50" t="inlineStr">
        <is>
          <t>L1&amp;L4 Performance Evaluation &amp; Functional Evaluation</t>
        </is>
      </c>
      <c r="G133" s="50" t="inlineStr">
        <is>
          <t>45-52</t>
        </is>
      </c>
      <c r="H133" s="50" t="inlineStr">
        <is>
          <t>6 个样品</t>
        </is>
      </c>
      <c r="I133" s="50" t="inlineStr">
        <is>
          <t>48 h</t>
        </is>
      </c>
      <c r="J133" s="50" t="inlineStr">
        <is>
          <t>按样品数量</t>
        </is>
      </c>
      <c r="K133" s="50" t="inlineStr">
        <is>
          <t>700/个</t>
        </is>
      </c>
      <c r="L133" s="51" t="n">
        <v>4200</v>
      </c>
      <c r="M133" s="50" t="inlineStr">
        <is>
          <t>6个 × 700/个 = 4,200</t>
        </is>
      </c>
      <c r="N133" s="50" t="n"/>
    </row>
    <row r="134" ht="20" customHeight="1" s="4">
      <c r="A134" s="50" t="inlineStr">
        <is>
          <t>Group D-3</t>
        </is>
      </c>
      <c r="B134" s="50" t="n">
        <v>6</v>
      </c>
      <c r="C134" s="50" t="inlineStr">
        <is>
          <t>PV</t>
        </is>
      </c>
      <c r="D134" s="50" t="inlineStr">
        <is>
          <t>Group D Parallel Tests / D-3 PCBA</t>
        </is>
      </c>
      <c r="E134" s="50" t="inlineStr">
        <is>
          <t>L6-SEM&amp;SECTION</t>
        </is>
      </c>
      <c r="F134" s="50" t="inlineStr">
        <is>
          <t>L6-SEM&amp;SECTION</t>
        </is>
      </c>
      <c r="G134" s="50" t="inlineStr">
        <is>
          <t>45-52</t>
        </is>
      </c>
      <c r="H134" s="50" t="inlineStr">
        <is>
          <t>33 个样品</t>
        </is>
      </c>
      <c r="I134" s="50" t="inlineStr">
        <is>
          <t>480 h</t>
        </is>
      </c>
      <c r="J134" s="50" t="inlineStr">
        <is>
          <t>按样品数量</t>
        </is>
      </c>
      <c r="K134" s="50" t="inlineStr">
        <is>
          <t>500/个</t>
        </is>
      </c>
      <c r="L134" s="51" t="n">
        <v>16500</v>
      </c>
      <c r="M134" s="50" t="inlineStr">
        <is>
          <t>33个 × 500/个 = 16,500</t>
        </is>
      </c>
      <c r="N134" s="50" t="inlineStr">
        <is>
          <t>L6-SEM&amp;SECTION 委外组合报价：SEM &amp; Sectioning 按 33 个测试点位采用当前实验室总价</t>
        </is>
      </c>
    </row>
    <row r="135" ht="24" customHeight="1" s="4">
      <c r="A135" s="54" t="inlineStr">
        <is>
          <t>Group D-4：PV / Group D Parallel Tests / D-4 Dewing Test</t>
        </is>
      </c>
    </row>
    <row r="136" ht="24" customHeight="1" s="4">
      <c r="A136" s="56" t="inlineStr">
        <is>
          <t>组别顺序</t>
        </is>
      </c>
      <c r="B136" s="56" t="inlineStr">
        <is>
          <t>组内顺序</t>
        </is>
      </c>
      <c r="C136" s="56" t="inlineStr">
        <is>
          <t>Phase</t>
        </is>
      </c>
      <c r="D136" s="56" t="inlineStr">
        <is>
          <t>Group</t>
        </is>
      </c>
      <c r="E136" s="56" t="inlineStr">
        <is>
          <t>测试编号</t>
        </is>
      </c>
      <c r="F136" s="56" t="inlineStr">
        <is>
          <t>测试项目</t>
        </is>
      </c>
      <c r="G136" s="56" t="inlineStr">
        <is>
          <t>样品范围</t>
        </is>
      </c>
      <c r="H136" s="56" t="inlineStr">
        <is>
          <t>计费基数</t>
        </is>
      </c>
      <c r="I136" s="56" t="inlineStr">
        <is>
          <t>测试时间</t>
        </is>
      </c>
      <c r="J136" s="56" t="inlineStr">
        <is>
          <t>计费方式</t>
        </is>
      </c>
      <c r="K136" s="56" t="inlineStr">
        <is>
          <t>单价</t>
        </is>
      </c>
      <c r="L136" s="57" t="inlineStr">
        <is>
          <t>委外费用</t>
        </is>
      </c>
      <c r="M136" s="56" t="inlineStr">
        <is>
          <t>费用计算公式</t>
        </is>
      </c>
      <c r="N136" s="56" t="inlineStr">
        <is>
          <t>备注</t>
        </is>
      </c>
    </row>
    <row r="137" ht="20" customHeight="1" s="4">
      <c r="A137" s="50" t="inlineStr">
        <is>
          <t>Group D-4</t>
        </is>
      </c>
      <c r="B137" s="50" t="n">
        <v>2</v>
      </c>
      <c r="C137" s="50" t="inlineStr">
        <is>
          <t>PV</t>
        </is>
      </c>
      <c r="D137" s="50" t="inlineStr">
        <is>
          <t>Group D Parallel Tests / D-4 Dewing Test</t>
        </is>
      </c>
      <c r="E137" s="50" t="inlineStr">
        <is>
          <t>L1&amp;L4</t>
        </is>
      </c>
      <c r="F137" s="50" t="inlineStr">
        <is>
          <t>L1&amp;L4 Performance Evaluation &amp; Functional Evaluation</t>
        </is>
      </c>
      <c r="G137" s="50" t="inlineStr">
        <is>
          <t>53-58</t>
        </is>
      </c>
      <c r="H137" s="50" t="inlineStr">
        <is>
          <t>6 个样品</t>
        </is>
      </c>
      <c r="I137" s="50" t="inlineStr">
        <is>
          <t>72 h</t>
        </is>
      </c>
      <c r="J137" s="50" t="inlineStr">
        <is>
          <t>按样品数量</t>
        </is>
      </c>
      <c r="K137" s="50" t="inlineStr">
        <is>
          <t>700/个</t>
        </is>
      </c>
      <c r="L137" s="51" t="n">
        <v>4200</v>
      </c>
      <c r="M137" s="50" t="inlineStr">
        <is>
          <t>6个 × 700/个 = 4,200</t>
        </is>
      </c>
      <c r="N137" s="50" t="n"/>
    </row>
    <row r="138" ht="20" customHeight="1" s="4">
      <c r="A138" s="50" t="inlineStr">
        <is>
          <t>Group D-4</t>
        </is>
      </c>
      <c r="B138" s="50" t="n">
        <v>3</v>
      </c>
      <c r="C138" s="50" t="inlineStr">
        <is>
          <t>PV</t>
        </is>
      </c>
      <c r="D138" s="50" t="inlineStr">
        <is>
          <t>Group D Parallel Tests / D-4 Dewing Test</t>
        </is>
      </c>
      <c r="E138" s="50" t="inlineStr">
        <is>
          <t>K8</t>
        </is>
      </c>
      <c r="F138" s="50" t="inlineStr">
        <is>
          <t>K8 Dewing Test</t>
        </is>
      </c>
      <c r="G138" s="50" t="inlineStr">
        <is>
          <t>53-58</t>
        </is>
      </c>
      <c r="H138" s="50" t="inlineStr">
        <is>
          <t>1 批</t>
        </is>
      </c>
      <c r="I138" s="50" t="inlineStr">
        <is>
          <t>48 h</t>
        </is>
      </c>
      <c r="J138" s="50" t="inlineStr">
        <is>
          <t>按批次</t>
        </is>
      </c>
      <c r="K138" s="50" t="inlineStr">
        <is>
          <t>5,000/批</t>
        </is>
      </c>
      <c r="L138" s="51" t="n">
        <v>5000</v>
      </c>
      <c r="M138" s="50" t="inlineStr">
        <is>
          <t>1批 × 5,000/批 = 5,000</t>
        </is>
      </c>
      <c r="N138" s="50" t="n"/>
    </row>
    <row r="139" ht="20" customHeight="1" s="4">
      <c r="A139" s="50" t="inlineStr">
        <is>
          <t>Group D-4</t>
        </is>
      </c>
      <c r="B139" s="50" t="n">
        <v>4</v>
      </c>
      <c r="C139" s="50" t="inlineStr">
        <is>
          <t>PV</t>
        </is>
      </c>
      <c r="D139" s="50" t="inlineStr">
        <is>
          <t>Group D Parallel Tests / D-4 Dewing Test</t>
        </is>
      </c>
      <c r="E139" s="50" t="inlineStr">
        <is>
          <t>L1&amp;L4</t>
        </is>
      </c>
      <c r="F139" s="50" t="inlineStr">
        <is>
          <t>L1&amp;L4 Performance Evaluation &amp; Functional Evaluation</t>
        </is>
      </c>
      <c r="G139" s="50" t="inlineStr">
        <is>
          <t>53-58</t>
        </is>
      </c>
      <c r="H139" s="50" t="inlineStr">
        <is>
          <t>6 个样品</t>
        </is>
      </c>
      <c r="I139" s="50" t="inlineStr">
        <is>
          <t>48 h</t>
        </is>
      </c>
      <c r="J139" s="50" t="inlineStr">
        <is>
          <t>按样品数量</t>
        </is>
      </c>
      <c r="K139" s="50" t="inlineStr">
        <is>
          <t>700/个</t>
        </is>
      </c>
      <c r="L139" s="51" t="n">
        <v>4200</v>
      </c>
      <c r="M139" s="50" t="inlineStr">
        <is>
          <t>6个 × 700/个 = 4,200</t>
        </is>
      </c>
      <c r="N139" s="50" t="n"/>
    </row>
    <row r="140" ht="24" customHeight="1" s="4">
      <c r="A140" s="54" t="inlineStr">
        <is>
          <t>Group D-5：PV / Group D Parallel Tests / D-5 Life Test-1</t>
        </is>
      </c>
    </row>
    <row r="141" ht="24" customHeight="1" s="4">
      <c r="A141" s="56" t="inlineStr">
        <is>
          <t>组别顺序</t>
        </is>
      </c>
      <c r="B141" s="56" t="inlineStr">
        <is>
          <t>组内顺序</t>
        </is>
      </c>
      <c r="C141" s="56" t="inlineStr">
        <is>
          <t>Phase</t>
        </is>
      </c>
      <c r="D141" s="56" t="inlineStr">
        <is>
          <t>Group</t>
        </is>
      </c>
      <c r="E141" s="56" t="inlineStr">
        <is>
          <t>测试编号</t>
        </is>
      </c>
      <c r="F141" s="56" t="inlineStr">
        <is>
          <t>测试项目</t>
        </is>
      </c>
      <c r="G141" s="56" t="inlineStr">
        <is>
          <t>样品范围</t>
        </is>
      </c>
      <c r="H141" s="56" t="inlineStr">
        <is>
          <t>计费基数</t>
        </is>
      </c>
      <c r="I141" s="56" t="inlineStr">
        <is>
          <t>测试时间</t>
        </is>
      </c>
      <c r="J141" s="56" t="inlineStr">
        <is>
          <t>计费方式</t>
        </is>
      </c>
      <c r="K141" s="56" t="inlineStr">
        <is>
          <t>单价</t>
        </is>
      </c>
      <c r="L141" s="57" t="inlineStr">
        <is>
          <t>委外费用</t>
        </is>
      </c>
      <c r="M141" s="56" t="inlineStr">
        <is>
          <t>费用计算公式</t>
        </is>
      </c>
      <c r="N141" s="56" t="inlineStr">
        <is>
          <t>备注</t>
        </is>
      </c>
    </row>
    <row r="142" ht="20" customHeight="1" s="4">
      <c r="A142" s="50" t="inlineStr">
        <is>
          <t>Group D-5</t>
        </is>
      </c>
      <c r="B142" s="50" t="n">
        <v>2</v>
      </c>
      <c r="C142" s="50" t="inlineStr">
        <is>
          <t>PV</t>
        </is>
      </c>
      <c r="D142" s="50" t="inlineStr">
        <is>
          <t>Group D Parallel Tests / D-5 Life Test-1</t>
        </is>
      </c>
      <c r="E142" s="50" t="inlineStr">
        <is>
          <t>L1&amp;L4</t>
        </is>
      </c>
      <c r="F142" s="50" t="inlineStr">
        <is>
          <t>L1&amp;L4 Performance Evaluation &amp; Functional Evaluation</t>
        </is>
      </c>
      <c r="G142" s="50" t="inlineStr">
        <is>
          <t>59-64</t>
        </is>
      </c>
      <c r="H142" s="50" t="inlineStr">
        <is>
          <t>6 个样品</t>
        </is>
      </c>
      <c r="I142" s="50" t="inlineStr">
        <is>
          <t>72 h</t>
        </is>
      </c>
      <c r="J142" s="50" t="inlineStr">
        <is>
          <t>按样品数量</t>
        </is>
      </c>
      <c r="K142" s="50" t="inlineStr">
        <is>
          <t>700/个</t>
        </is>
      </c>
      <c r="L142" s="51" t="n">
        <v>4200</v>
      </c>
      <c r="M142" s="50" t="inlineStr">
        <is>
          <t>6个 × 700/个 = 4,200</t>
        </is>
      </c>
      <c r="N142" s="50" t="n"/>
    </row>
    <row r="143" ht="20" customHeight="1" s="4">
      <c r="A143" s="50" t="inlineStr">
        <is>
          <t>Group D-5</t>
        </is>
      </c>
      <c r="B143" s="50" t="n">
        <v>3</v>
      </c>
      <c r="C143" s="50" t="inlineStr">
        <is>
          <t>PV</t>
        </is>
      </c>
      <c r="D143" s="50" t="inlineStr">
        <is>
          <t>Group D Parallel Tests / D-5 Life Test-1</t>
        </is>
      </c>
      <c r="E143" s="50" t="inlineStr">
        <is>
          <t>K24</t>
        </is>
      </c>
      <c r="F143" s="50" t="inlineStr">
        <is>
          <t>K24 High Temperature Endurance</t>
        </is>
      </c>
      <c r="G143" s="50" t="inlineStr">
        <is>
          <t>59-64</t>
        </is>
      </c>
      <c r="H143" s="50" t="inlineStr">
        <is>
          <t>1000 h</t>
        </is>
      </c>
      <c r="I143" s="50" t="inlineStr">
        <is>
          <t>1000 h</t>
        </is>
      </c>
      <c r="J143" s="50" t="inlineStr">
        <is>
          <t>按小时</t>
        </is>
      </c>
      <c r="K143" s="50" t="inlineStr">
        <is>
          <t>15/h</t>
        </is>
      </c>
      <c r="L143" s="51" t="n">
        <v>15000</v>
      </c>
      <c r="M143" s="50" t="inlineStr">
        <is>
          <t>1,000h × 15/h = 15,000</t>
        </is>
      </c>
      <c r="N143" s="50" t="n"/>
    </row>
    <row r="144" ht="20" customHeight="1" s="4">
      <c r="A144" s="50" t="inlineStr">
        <is>
          <t>Group D-5</t>
        </is>
      </c>
      <c r="B144" s="50" t="n">
        <v>4</v>
      </c>
      <c r="C144" s="50" t="inlineStr">
        <is>
          <t>PV</t>
        </is>
      </c>
      <c r="D144" s="50" t="inlineStr">
        <is>
          <t>Group D Parallel Tests / D-5 Life Test-1</t>
        </is>
      </c>
      <c r="E144" s="50" t="inlineStr">
        <is>
          <t>L1&amp;L4</t>
        </is>
      </c>
      <c r="F144" s="50" t="inlineStr">
        <is>
          <t>L1&amp;L4 Performance Evaluation &amp; Functional Evaluation</t>
        </is>
      </c>
      <c r="G144" s="50" t="inlineStr">
        <is>
          <t>59-64</t>
        </is>
      </c>
      <c r="H144" s="50" t="inlineStr">
        <is>
          <t>6 个样品</t>
        </is>
      </c>
      <c r="I144" s="50" t="inlineStr">
        <is>
          <t>48 h</t>
        </is>
      </c>
      <c r="J144" s="50" t="inlineStr">
        <is>
          <t>按样品数量</t>
        </is>
      </c>
      <c r="K144" s="50" t="inlineStr">
        <is>
          <t>700/个</t>
        </is>
      </c>
      <c r="L144" s="51" t="n">
        <v>4200</v>
      </c>
      <c r="M144" s="50" t="inlineStr">
        <is>
          <t>6个 × 700/个 = 4,200</t>
        </is>
      </c>
      <c r="N144" s="50" t="n"/>
    </row>
    <row r="145" ht="24" customHeight="1" s="4">
      <c r="A145" s="54" t="inlineStr">
        <is>
          <t>Group D-6：PV / Group D Parallel Tests / D-6 Life Test-2-1</t>
        </is>
      </c>
    </row>
    <row r="146" ht="24" customHeight="1" s="4">
      <c r="A146" s="56" t="inlineStr">
        <is>
          <t>组别顺序</t>
        </is>
      </c>
      <c r="B146" s="56" t="inlineStr">
        <is>
          <t>组内顺序</t>
        </is>
      </c>
      <c r="C146" s="56" t="inlineStr">
        <is>
          <t>Phase</t>
        </is>
      </c>
      <c r="D146" s="56" t="inlineStr">
        <is>
          <t>Group</t>
        </is>
      </c>
      <c r="E146" s="56" t="inlineStr">
        <is>
          <t>测试编号</t>
        </is>
      </c>
      <c r="F146" s="56" t="inlineStr">
        <is>
          <t>测试项目</t>
        </is>
      </c>
      <c r="G146" s="56" t="inlineStr">
        <is>
          <t>样品范围</t>
        </is>
      </c>
      <c r="H146" s="56" t="inlineStr">
        <is>
          <t>计费基数</t>
        </is>
      </c>
      <c r="I146" s="56" t="inlineStr">
        <is>
          <t>测试时间</t>
        </is>
      </c>
      <c r="J146" s="56" t="inlineStr">
        <is>
          <t>计费方式</t>
        </is>
      </c>
      <c r="K146" s="56" t="inlineStr">
        <is>
          <t>单价</t>
        </is>
      </c>
      <c r="L146" s="57" t="inlineStr">
        <is>
          <t>委外费用</t>
        </is>
      </c>
      <c r="M146" s="56" t="inlineStr">
        <is>
          <t>费用计算公式</t>
        </is>
      </c>
      <c r="N146" s="56" t="inlineStr">
        <is>
          <t>备注</t>
        </is>
      </c>
    </row>
    <row r="147" ht="20" customHeight="1" s="4">
      <c r="A147" s="50" t="inlineStr">
        <is>
          <t>Group D-6</t>
        </is>
      </c>
      <c r="B147" s="50" t="n">
        <v>2</v>
      </c>
      <c r="C147" s="50" t="inlineStr">
        <is>
          <t>PV</t>
        </is>
      </c>
      <c r="D147" s="50" t="inlineStr">
        <is>
          <t>Group D Parallel Tests / D-6 Life Test-2-1</t>
        </is>
      </c>
      <c r="E147" s="50" t="inlineStr">
        <is>
          <t>L1&amp;L4</t>
        </is>
      </c>
      <c r="F147" s="50" t="inlineStr">
        <is>
          <t>L1&amp;L4 Performance Evaluation &amp; Functional Evaluation</t>
        </is>
      </c>
      <c r="G147" s="50" t="inlineStr">
        <is>
          <t>65-70</t>
        </is>
      </c>
      <c r="H147" s="50" t="inlineStr">
        <is>
          <t>6 个样品</t>
        </is>
      </c>
      <c r="I147" s="50" t="inlineStr">
        <is>
          <t>72 h</t>
        </is>
      </c>
      <c r="J147" s="50" t="inlineStr">
        <is>
          <t>按样品数量</t>
        </is>
      </c>
      <c r="K147" s="50" t="inlineStr">
        <is>
          <t>700/个</t>
        </is>
      </c>
      <c r="L147" s="51" t="n">
        <v>4200</v>
      </c>
      <c r="M147" s="50" t="inlineStr">
        <is>
          <t>6个 × 700/个 = 4,200</t>
        </is>
      </c>
      <c r="N147" s="50" t="n"/>
    </row>
    <row r="148" ht="20" customHeight="1" s="4">
      <c r="A148" s="50" t="inlineStr">
        <is>
          <t>Group D-6</t>
        </is>
      </c>
      <c r="B148" s="50" t="n">
        <v>3</v>
      </c>
      <c r="C148" s="50" t="inlineStr">
        <is>
          <t>PV</t>
        </is>
      </c>
      <c r="D148" s="50" t="inlineStr">
        <is>
          <t>Group D Parallel Tests / D-6 Life Test-2-1</t>
        </is>
      </c>
      <c r="E148" s="50" t="inlineStr">
        <is>
          <t>K27</t>
        </is>
      </c>
      <c r="F148" s="50" t="inlineStr">
        <is>
          <t>K27 85/85 High Temperature -High Humidity Endurance</t>
        </is>
      </c>
      <c r="G148" s="50" t="inlineStr">
        <is>
          <t>65-70</t>
        </is>
      </c>
      <c r="H148" s="50" t="inlineStr">
        <is>
          <t>1000 h</t>
        </is>
      </c>
      <c r="I148" s="50" t="inlineStr">
        <is>
          <t>1000 h</t>
        </is>
      </c>
      <c r="J148" s="50" t="inlineStr">
        <is>
          <t>按小时</t>
        </is>
      </c>
      <c r="K148" s="50" t="inlineStr">
        <is>
          <t>20/h</t>
        </is>
      </c>
      <c r="L148" s="51" t="n">
        <v>20000</v>
      </c>
      <c r="M148" s="50" t="inlineStr">
        <is>
          <t>1,000h × 20/h = 20,000</t>
        </is>
      </c>
      <c r="N148" s="50" t="n"/>
    </row>
    <row r="149" ht="20" customHeight="1" s="4">
      <c r="A149" s="50" t="inlineStr">
        <is>
          <t>Group D-6</t>
        </is>
      </c>
      <c r="B149" s="50" t="n">
        <v>4</v>
      </c>
      <c r="C149" s="50" t="inlineStr">
        <is>
          <t>PV</t>
        </is>
      </c>
      <c r="D149" s="50" t="inlineStr">
        <is>
          <t>Group D Parallel Tests / D-6 Life Test-2-1</t>
        </is>
      </c>
      <c r="E149" s="50" t="inlineStr">
        <is>
          <t>L1&amp;L4</t>
        </is>
      </c>
      <c r="F149" s="50" t="inlineStr">
        <is>
          <t>L1&amp;L4 Performance Evaluation &amp; Functional Evaluation</t>
        </is>
      </c>
      <c r="G149" s="50" t="inlineStr">
        <is>
          <t>65-70</t>
        </is>
      </c>
      <c r="H149" s="50" t="inlineStr">
        <is>
          <t>6 个样品</t>
        </is>
      </c>
      <c r="I149" s="50" t="inlineStr">
        <is>
          <t>48 h</t>
        </is>
      </c>
      <c r="J149" s="50" t="inlineStr">
        <is>
          <t>按样品数量</t>
        </is>
      </c>
      <c r="K149" s="50" t="inlineStr">
        <is>
          <t>700/个</t>
        </is>
      </c>
      <c r="L149" s="51" t="n">
        <v>4200</v>
      </c>
      <c r="M149" s="50" t="inlineStr">
        <is>
          <t>6个 × 700/个 = 4,200</t>
        </is>
      </c>
      <c r="N149" s="50" t="n"/>
    </row>
    <row r="150" ht="24" customHeight="1" s="4">
      <c r="A150" s="54" t="inlineStr">
        <is>
          <t>Group D-7：PV / Group D Parallel Tests / D-7 Life Test-2-2</t>
        </is>
      </c>
    </row>
    <row r="151" ht="24" customHeight="1" s="4">
      <c r="A151" s="56" t="inlineStr">
        <is>
          <t>组别顺序</t>
        </is>
      </c>
      <c r="B151" s="56" t="inlineStr">
        <is>
          <t>组内顺序</t>
        </is>
      </c>
      <c r="C151" s="56" t="inlineStr">
        <is>
          <t>Phase</t>
        </is>
      </c>
      <c r="D151" s="56" t="inlineStr">
        <is>
          <t>Group</t>
        </is>
      </c>
      <c r="E151" s="56" t="inlineStr">
        <is>
          <t>测试编号</t>
        </is>
      </c>
      <c r="F151" s="56" t="inlineStr">
        <is>
          <t>测试项目</t>
        </is>
      </c>
      <c r="G151" s="56" t="inlineStr">
        <is>
          <t>样品范围</t>
        </is>
      </c>
      <c r="H151" s="56" t="inlineStr">
        <is>
          <t>计费基数</t>
        </is>
      </c>
      <c r="I151" s="56" t="inlineStr">
        <is>
          <t>测试时间</t>
        </is>
      </c>
      <c r="J151" s="56" t="inlineStr">
        <is>
          <t>计费方式</t>
        </is>
      </c>
      <c r="K151" s="56" t="inlineStr">
        <is>
          <t>单价</t>
        </is>
      </c>
      <c r="L151" s="57" t="inlineStr">
        <is>
          <t>委外费用</t>
        </is>
      </c>
      <c r="M151" s="56" t="inlineStr">
        <is>
          <t>费用计算公式</t>
        </is>
      </c>
      <c r="N151" s="56" t="inlineStr">
        <is>
          <t>备注</t>
        </is>
      </c>
    </row>
    <row r="152" ht="20" customHeight="1" s="4">
      <c r="A152" s="50" t="inlineStr">
        <is>
          <t>Group D-7</t>
        </is>
      </c>
      <c r="B152" s="50" t="n">
        <v>2</v>
      </c>
      <c r="C152" s="50" t="inlineStr">
        <is>
          <t>PV</t>
        </is>
      </c>
      <c r="D152" s="50" t="inlineStr">
        <is>
          <t>Group D Parallel Tests / D-7 Life Test-2-2</t>
        </is>
      </c>
      <c r="E152" s="50" t="inlineStr">
        <is>
          <t>L1&amp;L4</t>
        </is>
      </c>
      <c r="F152" s="50" t="inlineStr">
        <is>
          <t>L1&amp;L4 Performance Evaluation &amp; Functional Evaluation</t>
        </is>
      </c>
      <c r="G152" s="50" t="inlineStr">
        <is>
          <t>71-76</t>
        </is>
      </c>
      <c r="H152" s="50" t="inlineStr">
        <is>
          <t>6 个样品</t>
        </is>
      </c>
      <c r="I152" s="50" t="inlineStr">
        <is>
          <t>72 h</t>
        </is>
      </c>
      <c r="J152" s="50" t="inlineStr">
        <is>
          <t>按样品数量</t>
        </is>
      </c>
      <c r="K152" s="50" t="inlineStr">
        <is>
          <t>700/个</t>
        </is>
      </c>
      <c r="L152" s="51" t="n">
        <v>4200</v>
      </c>
      <c r="M152" s="50" t="inlineStr">
        <is>
          <t>6个 × 700/个 = 4,200</t>
        </is>
      </c>
      <c r="N152" s="50" t="n"/>
    </row>
    <row r="153" ht="20" customHeight="1" s="4">
      <c r="A153" s="50" t="inlineStr">
        <is>
          <t>Group D-7</t>
        </is>
      </c>
      <c r="B153" s="50" t="n">
        <v>3</v>
      </c>
      <c r="C153" s="50" t="inlineStr">
        <is>
          <t>PV</t>
        </is>
      </c>
      <c r="D153" s="50" t="inlineStr">
        <is>
          <t>Group D Parallel Tests / D-7 Life Test-2-2</t>
        </is>
      </c>
      <c r="E153" s="50" t="inlineStr">
        <is>
          <t>K27</t>
        </is>
      </c>
      <c r="F153" s="50" t="inlineStr">
        <is>
          <t>K27 60/95 High Temperature -High Humidity Endurance</t>
        </is>
      </c>
      <c r="G153" s="50" t="inlineStr">
        <is>
          <t>71-76</t>
        </is>
      </c>
      <c r="H153" s="50" t="inlineStr">
        <is>
          <t>1100 h</t>
        </is>
      </c>
      <c r="I153" s="50" t="inlineStr">
        <is>
          <t>1100 h</t>
        </is>
      </c>
      <c r="J153" s="50" t="inlineStr">
        <is>
          <t>按小时</t>
        </is>
      </c>
      <c r="K153" s="50" t="inlineStr">
        <is>
          <t>20/h</t>
        </is>
      </c>
      <c r="L153" s="51" t="n">
        <v>22000</v>
      </c>
      <c r="M153" s="50" t="inlineStr">
        <is>
          <t>1,100h × 20/h = 22,000</t>
        </is>
      </c>
      <c r="N153" s="50" t="n"/>
    </row>
    <row r="154" ht="20" customHeight="1" s="4">
      <c r="A154" s="50" t="inlineStr">
        <is>
          <t>Group D-7</t>
        </is>
      </c>
      <c r="B154" s="50" t="n">
        <v>4</v>
      </c>
      <c r="C154" s="50" t="inlineStr">
        <is>
          <t>PV</t>
        </is>
      </c>
      <c r="D154" s="50" t="inlineStr">
        <is>
          <t>Group D Parallel Tests / D-7 Life Test-2-2</t>
        </is>
      </c>
      <c r="E154" s="50" t="inlineStr">
        <is>
          <t>L1&amp;L4</t>
        </is>
      </c>
      <c r="F154" s="50" t="inlineStr">
        <is>
          <t>L1&amp;L4 Performance Evaluation &amp; Functional Evaluation</t>
        </is>
      </c>
      <c r="G154" s="50" t="inlineStr">
        <is>
          <t>71-76</t>
        </is>
      </c>
      <c r="H154" s="50" t="inlineStr">
        <is>
          <t>6 个样品</t>
        </is>
      </c>
      <c r="I154" s="50" t="inlineStr">
        <is>
          <t>48 h</t>
        </is>
      </c>
      <c r="J154" s="50" t="inlineStr">
        <is>
          <t>按样品数量</t>
        </is>
      </c>
      <c r="K154" s="50" t="inlineStr">
        <is>
          <t>700/个</t>
        </is>
      </c>
      <c r="L154" s="51" t="n">
        <v>4200</v>
      </c>
      <c r="M154" s="50" t="inlineStr">
        <is>
          <t>6个 × 700/个 = 4,200</t>
        </is>
      </c>
      <c r="N154" s="50" t="n"/>
    </row>
    <row r="155" ht="24" customHeight="1" s="4">
      <c r="A155" s="54" t="inlineStr">
        <is>
          <t>Group D-8：PV / Group D Parallel Tests / D-8</t>
        </is>
      </c>
    </row>
    <row r="156" ht="24" customHeight="1" s="4">
      <c r="A156" s="56" t="inlineStr">
        <is>
          <t>组别顺序</t>
        </is>
      </c>
      <c r="B156" s="56" t="inlineStr">
        <is>
          <t>组内顺序</t>
        </is>
      </c>
      <c r="C156" s="56" t="inlineStr">
        <is>
          <t>Phase</t>
        </is>
      </c>
      <c r="D156" s="56" t="inlineStr">
        <is>
          <t>Group</t>
        </is>
      </c>
      <c r="E156" s="56" t="inlineStr">
        <is>
          <t>测试编号</t>
        </is>
      </c>
      <c r="F156" s="56" t="inlineStr">
        <is>
          <t>测试项目</t>
        </is>
      </c>
      <c r="G156" s="56" t="inlineStr">
        <is>
          <t>样品范围</t>
        </is>
      </c>
      <c r="H156" s="56" t="inlineStr">
        <is>
          <t>计费基数</t>
        </is>
      </c>
      <c r="I156" s="56" t="inlineStr">
        <is>
          <t>测试时间</t>
        </is>
      </c>
      <c r="J156" s="56" t="inlineStr">
        <is>
          <t>计费方式</t>
        </is>
      </c>
      <c r="K156" s="56" t="inlineStr">
        <is>
          <t>单价</t>
        </is>
      </c>
      <c r="L156" s="57" t="inlineStr">
        <is>
          <t>委外费用</t>
        </is>
      </c>
      <c r="M156" s="56" t="inlineStr">
        <is>
          <t>费用计算公式</t>
        </is>
      </c>
      <c r="N156" s="56" t="inlineStr">
        <is>
          <t>备注</t>
        </is>
      </c>
    </row>
    <row r="157" ht="20" customHeight="1" s="4">
      <c r="A157" s="50" t="inlineStr">
        <is>
          <t>Group D-8</t>
        </is>
      </c>
      <c r="B157" s="50" t="n">
        <v>2</v>
      </c>
      <c r="C157" s="50" t="inlineStr">
        <is>
          <t>PV</t>
        </is>
      </c>
      <c r="D157" s="50" t="inlineStr">
        <is>
          <t>Group D Parallel Tests / D-8</t>
        </is>
      </c>
      <c r="E157" s="50" t="inlineStr">
        <is>
          <t>L1&amp;L4</t>
        </is>
      </c>
      <c r="F157" s="50" t="inlineStr">
        <is>
          <t>L1&amp;L4 Performance Evaluation &amp; Functional Evaluation</t>
        </is>
      </c>
      <c r="G157" s="50" t="inlineStr">
        <is>
          <t>77-91</t>
        </is>
      </c>
      <c r="H157" s="50" t="inlineStr">
        <is>
          <t>15 个样品</t>
        </is>
      </c>
      <c r="I157" s="50" t="inlineStr">
        <is>
          <t>72 h</t>
        </is>
      </c>
      <c r="J157" s="50" t="inlineStr">
        <is>
          <t>按样品数量</t>
        </is>
      </c>
      <c r="K157" s="50" t="inlineStr">
        <is>
          <t>700/个</t>
        </is>
      </c>
      <c r="L157" s="51" t="n">
        <v>10500</v>
      </c>
      <c r="M157" s="50" t="inlineStr">
        <is>
          <t>15个 × 700/个 = 10,500</t>
        </is>
      </c>
      <c r="N157" s="50" t="n"/>
    </row>
    <row r="158" ht="20" customHeight="1" s="4">
      <c r="A158" s="50" t="inlineStr">
        <is>
          <t>Group D-8</t>
        </is>
      </c>
      <c r="B158" s="50" t="n">
        <v>3</v>
      </c>
      <c r="C158" s="50" t="inlineStr">
        <is>
          <t>PV</t>
        </is>
      </c>
      <c r="D158" s="50" t="inlineStr">
        <is>
          <t>Group D Parallel Tests / D-8</t>
        </is>
      </c>
      <c r="E158" s="50" t="inlineStr">
        <is>
          <t>K28</t>
        </is>
      </c>
      <c r="F158" s="50" t="inlineStr">
        <is>
          <t>K28 HALT Cold</t>
        </is>
      </c>
      <c r="G158" s="50" t="inlineStr">
        <is>
          <t>77-91</t>
        </is>
      </c>
      <c r="H158" s="50" t="inlineStr">
        <is>
          <t>8 h</t>
        </is>
      </c>
      <c r="I158" s="50" t="inlineStr">
        <is>
          <t>8 h</t>
        </is>
      </c>
      <c r="J158" s="50" t="inlineStr">
        <is>
          <t>按小时</t>
        </is>
      </c>
      <c r="K158" s="50" t="inlineStr">
        <is>
          <t>600/h</t>
        </is>
      </c>
      <c r="L158" s="51" t="n">
        <v>4800</v>
      </c>
      <c r="M158" s="50" t="inlineStr">
        <is>
          <t>8h × 600/h = 4,800</t>
        </is>
      </c>
      <c r="N158" s="50" t="n"/>
    </row>
    <row r="159" ht="20" customHeight="1" s="4">
      <c r="A159" s="50" t="inlineStr">
        <is>
          <t>Group D-8</t>
        </is>
      </c>
      <c r="B159" s="50" t="n">
        <v>4</v>
      </c>
      <c r="C159" s="50" t="inlineStr">
        <is>
          <t>PV</t>
        </is>
      </c>
      <c r="D159" s="50" t="inlineStr">
        <is>
          <t>Group D Parallel Tests / D-8</t>
        </is>
      </c>
      <c r="E159" s="50" t="inlineStr">
        <is>
          <t>K28</t>
        </is>
      </c>
      <c r="F159" s="50" t="inlineStr">
        <is>
          <t>K28 HALT Hot</t>
        </is>
      </c>
      <c r="G159" s="50" t="inlineStr">
        <is>
          <t>77-91</t>
        </is>
      </c>
      <c r="H159" s="50" t="inlineStr">
        <is>
          <t>8 h</t>
        </is>
      </c>
      <c r="I159" s="50" t="inlineStr">
        <is>
          <t>8 h</t>
        </is>
      </c>
      <c r="J159" s="50" t="inlineStr">
        <is>
          <t>按小时</t>
        </is>
      </c>
      <c r="K159" s="50" t="inlineStr">
        <is>
          <t>600/h</t>
        </is>
      </c>
      <c r="L159" s="51" t="n">
        <v>4800</v>
      </c>
      <c r="M159" s="50" t="inlineStr">
        <is>
          <t>8h × 600/h = 4,800</t>
        </is>
      </c>
      <c r="N159" s="50" t="n"/>
    </row>
    <row r="160" ht="20" customHeight="1" s="4">
      <c r="A160" s="50" t="inlineStr">
        <is>
          <t>Group D-8</t>
        </is>
      </c>
      <c r="B160" s="50" t="n">
        <v>5</v>
      </c>
      <c r="C160" s="50" t="inlineStr">
        <is>
          <t>PV</t>
        </is>
      </c>
      <c r="D160" s="50" t="inlineStr">
        <is>
          <t>Group D Parallel Tests / D-8</t>
        </is>
      </c>
      <c r="E160" s="50" t="inlineStr">
        <is>
          <t>K28</t>
        </is>
      </c>
      <c r="F160" s="50" t="inlineStr">
        <is>
          <t>K28 HALT Thermal Shock</t>
        </is>
      </c>
      <c r="G160" s="50" t="inlineStr">
        <is>
          <t>77-91</t>
        </is>
      </c>
      <c r="H160" s="50" t="inlineStr">
        <is>
          <t>8 h</t>
        </is>
      </c>
      <c r="I160" s="50" t="inlineStr">
        <is>
          <t>8 h</t>
        </is>
      </c>
      <c r="J160" s="50" t="inlineStr">
        <is>
          <t>按小时</t>
        </is>
      </c>
      <c r="K160" s="50" t="inlineStr">
        <is>
          <t>600/h</t>
        </is>
      </c>
      <c r="L160" s="51" t="n">
        <v>4800</v>
      </c>
      <c r="M160" s="50" t="inlineStr">
        <is>
          <t>8h × 600/h = 4,800</t>
        </is>
      </c>
      <c r="N160" s="50" t="n"/>
    </row>
    <row r="161" ht="20" customHeight="1" s="4">
      <c r="A161" s="50" t="inlineStr">
        <is>
          <t>Group D-8</t>
        </is>
      </c>
      <c r="B161" s="50" t="n">
        <v>6</v>
      </c>
      <c r="C161" s="50" t="inlineStr">
        <is>
          <t>PV</t>
        </is>
      </c>
      <c r="D161" s="50" t="inlineStr">
        <is>
          <t>Group D Parallel Tests / D-8</t>
        </is>
      </c>
      <c r="E161" s="50" t="inlineStr">
        <is>
          <t>K28</t>
        </is>
      </c>
      <c r="F161" s="50" t="inlineStr">
        <is>
          <t>K28 HALT Vibration</t>
        </is>
      </c>
      <c r="G161" s="50" t="inlineStr">
        <is>
          <t>77-91</t>
        </is>
      </c>
      <c r="H161" s="50" t="inlineStr">
        <is>
          <t>8 h</t>
        </is>
      </c>
      <c r="I161" s="50" t="inlineStr">
        <is>
          <t>8 h</t>
        </is>
      </c>
      <c r="J161" s="50" t="inlineStr">
        <is>
          <t>按小时</t>
        </is>
      </c>
      <c r="K161" s="50" t="inlineStr">
        <is>
          <t>600/h</t>
        </is>
      </c>
      <c r="L161" s="51" t="n">
        <v>4800</v>
      </c>
      <c r="M161" s="50" t="inlineStr">
        <is>
          <t>8h × 600/h = 4,800</t>
        </is>
      </c>
      <c r="N161" s="50" t="n"/>
    </row>
    <row r="162" ht="20" customHeight="1" s="4">
      <c r="A162" s="50" t="inlineStr">
        <is>
          <t>Group D-8</t>
        </is>
      </c>
      <c r="B162" s="50" t="n">
        <v>7</v>
      </c>
      <c r="C162" s="50" t="inlineStr">
        <is>
          <t>PV</t>
        </is>
      </c>
      <c r="D162" s="50" t="inlineStr">
        <is>
          <t>Group D Parallel Tests / D-8</t>
        </is>
      </c>
      <c r="E162" s="50" t="inlineStr">
        <is>
          <t>K28</t>
        </is>
      </c>
      <c r="F162" s="50" t="inlineStr">
        <is>
          <t>K28 HALT TST &amp; Vibration</t>
        </is>
      </c>
      <c r="G162" s="50" t="inlineStr">
        <is>
          <t>77-91</t>
        </is>
      </c>
      <c r="H162" s="50" t="inlineStr">
        <is>
          <t>8 h</t>
        </is>
      </c>
      <c r="I162" s="50" t="inlineStr">
        <is>
          <t>8 h</t>
        </is>
      </c>
      <c r="J162" s="50" t="inlineStr">
        <is>
          <t>按小时</t>
        </is>
      </c>
      <c r="K162" s="50" t="inlineStr">
        <is>
          <t>600/h</t>
        </is>
      </c>
      <c r="L162" s="51" t="n">
        <v>4800</v>
      </c>
      <c r="M162" s="50" t="inlineStr">
        <is>
          <t>8h × 600/h = 4,800</t>
        </is>
      </c>
      <c r="N162" s="50" t="n"/>
    </row>
    <row r="163" ht="20" customHeight="1" s="4">
      <c r="A163" s="50" t="inlineStr">
        <is>
          <t>Group D-8</t>
        </is>
      </c>
      <c r="B163" s="50" t="n">
        <v>8</v>
      </c>
      <c r="C163" s="50" t="inlineStr">
        <is>
          <t>PV</t>
        </is>
      </c>
      <c r="D163" s="50" t="inlineStr">
        <is>
          <t>Group D Parallel Tests / D-8</t>
        </is>
      </c>
      <c r="E163" s="50" t="inlineStr">
        <is>
          <t>L1&amp;L4</t>
        </is>
      </c>
      <c r="F163" s="50" t="inlineStr">
        <is>
          <t>L1&amp;L4 Performance Evaluation &amp; Functional Evaluation</t>
        </is>
      </c>
      <c r="G163" s="50" t="inlineStr">
        <is>
          <t>77-91</t>
        </is>
      </c>
      <c r="H163" s="50" t="inlineStr">
        <is>
          <t>9 个样品</t>
        </is>
      </c>
      <c r="I163" s="50" t="inlineStr">
        <is>
          <t>72 h</t>
        </is>
      </c>
      <c r="J163" s="50" t="inlineStr">
        <is>
          <t>按样品数量</t>
        </is>
      </c>
      <c r="K163" s="50" t="inlineStr">
        <is>
          <t>700/个</t>
        </is>
      </c>
      <c r="L163" s="51" t="n">
        <v>6300</v>
      </c>
      <c r="M163" s="50" t="inlineStr">
        <is>
          <t>9个 × 700/个 = 6,300</t>
        </is>
      </c>
      <c r="N163" s="50" t="n"/>
    </row>
    <row r="164" ht="24" customHeight="1" s="4">
      <c r="A164" s="54" t="inlineStr">
        <is>
          <t>Group D-9：PV / Group D Parallel Tests / D-9</t>
        </is>
      </c>
    </row>
    <row r="165" ht="24" customHeight="1" s="4">
      <c r="A165" s="56" t="inlineStr">
        <is>
          <t>组别顺序</t>
        </is>
      </c>
      <c r="B165" s="56" t="inlineStr">
        <is>
          <t>组内顺序</t>
        </is>
      </c>
      <c r="C165" s="56" t="inlineStr">
        <is>
          <t>Phase</t>
        </is>
      </c>
      <c r="D165" s="56" t="inlineStr">
        <is>
          <t>Group</t>
        </is>
      </c>
      <c r="E165" s="56" t="inlineStr">
        <is>
          <t>测试编号</t>
        </is>
      </c>
      <c r="F165" s="56" t="inlineStr">
        <is>
          <t>测试项目</t>
        </is>
      </c>
      <c r="G165" s="56" t="inlineStr">
        <is>
          <t>样品范围</t>
        </is>
      </c>
      <c r="H165" s="56" t="inlineStr">
        <is>
          <t>计费基数</t>
        </is>
      </c>
      <c r="I165" s="56" t="inlineStr">
        <is>
          <t>测试时间</t>
        </is>
      </c>
      <c r="J165" s="56" t="inlineStr">
        <is>
          <t>计费方式</t>
        </is>
      </c>
      <c r="K165" s="56" t="inlineStr">
        <is>
          <t>单价</t>
        </is>
      </c>
      <c r="L165" s="57" t="inlineStr">
        <is>
          <t>委外费用</t>
        </is>
      </c>
      <c r="M165" s="56" t="inlineStr">
        <is>
          <t>费用计算公式</t>
        </is>
      </c>
      <c r="N165" s="56" t="inlineStr">
        <is>
          <t>备注</t>
        </is>
      </c>
    </row>
    <row r="166" ht="20" customHeight="1" s="4">
      <c r="A166" s="50" t="inlineStr">
        <is>
          <t>Group D-9</t>
        </is>
      </c>
      <c r="B166" s="50" t="n">
        <v>2</v>
      </c>
      <c r="C166" s="50" t="inlineStr">
        <is>
          <t>PV</t>
        </is>
      </c>
      <c r="D166" s="50" t="inlineStr">
        <is>
          <t>Group D Parallel Tests / D-9</t>
        </is>
      </c>
      <c r="E166" s="50" t="inlineStr">
        <is>
          <t>L1&amp;L4</t>
        </is>
      </c>
      <c r="F166" s="50" t="inlineStr">
        <is>
          <t>L1&amp;L4 Performance Evaluation &amp; Functional Evaluation</t>
        </is>
      </c>
      <c r="G166" s="50" t="inlineStr">
        <is>
          <t>92-97</t>
        </is>
      </c>
      <c r="H166" s="50" t="inlineStr">
        <is>
          <t>6 个样品</t>
        </is>
      </c>
      <c r="I166" s="50" t="inlineStr">
        <is>
          <t>72 h</t>
        </is>
      </c>
      <c r="J166" s="50" t="inlineStr">
        <is>
          <t>按样品数量</t>
        </is>
      </c>
      <c r="K166" s="50" t="inlineStr">
        <is>
          <t>700/个</t>
        </is>
      </c>
      <c r="L166" s="51" t="n">
        <v>4200</v>
      </c>
      <c r="M166" s="50" t="inlineStr">
        <is>
          <t>6个 × 700/个 = 4,200</t>
        </is>
      </c>
      <c r="N166" s="50" t="n"/>
    </row>
    <row r="167" ht="20" customHeight="1" s="4">
      <c r="A167" s="50" t="inlineStr">
        <is>
          <t>Group D-9</t>
        </is>
      </c>
      <c r="B167" s="50" t="n">
        <v>3</v>
      </c>
      <c r="C167" s="50" t="inlineStr">
        <is>
          <t>PV</t>
        </is>
      </c>
      <c r="D167" s="50" t="inlineStr">
        <is>
          <t>Group D Parallel Tests / D-9</t>
        </is>
      </c>
      <c r="E167" s="50" t="inlineStr">
        <is>
          <t>K52.351</t>
        </is>
      </c>
      <c r="F167" s="50" t="inlineStr">
        <is>
          <t>K52.351 Condensing humidity</t>
        </is>
      </c>
      <c r="G167" s="50" t="inlineStr">
        <is>
          <t>92-97</t>
        </is>
      </c>
      <c r="H167" s="50" t="inlineStr">
        <is>
          <t>120 h</t>
        </is>
      </c>
      <c r="I167" s="50" t="inlineStr">
        <is>
          <t>120 h</t>
        </is>
      </c>
      <c r="J167" s="50" t="inlineStr">
        <is>
          <t>按小时</t>
        </is>
      </c>
      <c r="K167" s="50" t="inlineStr">
        <is>
          <t>60/h</t>
        </is>
      </c>
      <c r="L167" s="51" t="n">
        <v>7200</v>
      </c>
      <c r="M167" s="50" t="inlineStr">
        <is>
          <t>120h × 60/h = 7,200</t>
        </is>
      </c>
      <c r="N167" s="50" t="n"/>
    </row>
    <row r="168" ht="20" customHeight="1" s="4">
      <c r="A168" s="50" t="inlineStr">
        <is>
          <t>Group D-9</t>
        </is>
      </c>
      <c r="B168" s="50" t="n">
        <v>4</v>
      </c>
      <c r="C168" s="50" t="inlineStr">
        <is>
          <t>PV</t>
        </is>
      </c>
      <c r="D168" s="50" t="inlineStr">
        <is>
          <t>Group D Parallel Tests / D-9</t>
        </is>
      </c>
      <c r="E168" s="50" t="inlineStr">
        <is>
          <t>L1&amp;L4</t>
        </is>
      </c>
      <c r="F168" s="50" t="inlineStr">
        <is>
          <t>L1&amp;L4 Performance Evaluation &amp; Functional Evaluation</t>
        </is>
      </c>
      <c r="G168" s="50" t="inlineStr">
        <is>
          <t>92-97</t>
        </is>
      </c>
      <c r="H168" s="50" t="inlineStr">
        <is>
          <t>6 个样品</t>
        </is>
      </c>
      <c r="I168" s="50" t="inlineStr">
        <is>
          <t>48 h</t>
        </is>
      </c>
      <c r="J168" s="50" t="inlineStr">
        <is>
          <t>按样品数量</t>
        </is>
      </c>
      <c r="K168" s="50" t="inlineStr">
        <is>
          <t>700/个</t>
        </is>
      </c>
      <c r="L168" s="51" t="n">
        <v>4200</v>
      </c>
      <c r="M168" s="50" t="inlineStr">
        <is>
          <t>6个 × 700/个 = 4,200</t>
        </is>
      </c>
      <c r="N168" s="50" t="n"/>
    </row>
  </sheetData>
  <mergeCells count="25">
    <mergeCell ref="A67:N67"/>
    <mergeCell ref="A77:N77"/>
    <mergeCell ref="A51:N51"/>
    <mergeCell ref="B6:N6"/>
    <mergeCell ref="A119:N119"/>
    <mergeCell ref="A1:N1"/>
    <mergeCell ref="A110:N110"/>
    <mergeCell ref="A124:N124"/>
    <mergeCell ref="A7:N7"/>
    <mergeCell ref="A41:N41"/>
    <mergeCell ref="A164:N164"/>
    <mergeCell ref="A46:N46"/>
    <mergeCell ref="A145:N145"/>
    <mergeCell ref="A26:N26"/>
    <mergeCell ref="A104:N104"/>
    <mergeCell ref="A57:N57"/>
    <mergeCell ref="A129:N129"/>
    <mergeCell ref="A85:N85"/>
    <mergeCell ref="A32:N32"/>
    <mergeCell ref="A135:N135"/>
    <mergeCell ref="A150:N150"/>
    <mergeCell ref="A140:N140"/>
    <mergeCell ref="A62:N62"/>
    <mergeCell ref="A72:N72"/>
    <mergeCell ref="A155:N155"/>
  </mergeCells>
  <conditionalFormatting sqref="L9:L168">
    <cfRule type="dataBar" priority="1">
      <dataBar>
        <cfvo type="min"/>
        <cfvo type="max"/>
        <color rgb="FF9EADCC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:N1"/>
    </sheetView>
  </sheetViews>
  <sheetFormatPr baseColWidth="8" defaultColWidth="9.642857142857141" defaultRowHeight="17.6"/>
  <cols>
    <col width="14" customWidth="1" style="4" min="1" max="1"/>
    <col width="10" customWidth="1" style="4" min="2" max="2"/>
    <col width="8" customWidth="1" style="4" min="3" max="3"/>
    <col width="25" customWidth="1" style="4" min="4" max="4"/>
    <col width="13" customWidth="1" style="4" min="5" max="5"/>
    <col width="38" customWidth="1" style="4" min="6" max="6"/>
    <col width="12" customWidth="1" style="4" min="7" max="7"/>
    <col width="14" customWidth="1" style="4" min="8" max="8"/>
    <col width="12" customWidth="1" style="4" min="9" max="10"/>
    <col width="22" customWidth="1" style="4" min="11" max="11"/>
    <col width="14" customWidth="1" style="4" min="12" max="12"/>
    <col width="52" customWidth="1" style="4" min="13" max="13"/>
    <col width="36" customWidth="1" style="4" min="14" max="14"/>
  </cols>
  <sheetData>
    <row r="1" ht="30" customHeight="1" s="4">
      <c r="A1" s="44" t="inlineStr">
        <is>
          <t>苏勃 实验室费用明细</t>
        </is>
      </c>
    </row>
    <row r="2" ht="20" customHeight="1" s="4">
      <c r="A2" s="46" t="inlineStr">
        <is>
          <t>OEM</t>
        </is>
      </c>
      <c r="B2" s="47" t="inlineStr">
        <is>
          <t>JLR</t>
        </is>
      </c>
      <c r="C2" s="46" t="inlineStr">
        <is>
          <t>平台</t>
        </is>
      </c>
      <c r="D2" s="47" t="inlineStr">
        <is>
          <t>MLA</t>
        </is>
      </c>
      <c r="E2" s="48" t="n"/>
      <c r="F2" s="48" t="n"/>
      <c r="G2" s="48" t="n"/>
      <c r="H2" s="48" t="n"/>
      <c r="I2" s="48" t="n"/>
      <c r="J2" s="48" t="n"/>
      <c r="K2" s="48" t="n"/>
      <c r="L2" s="49" t="n"/>
      <c r="M2" s="48" t="n"/>
      <c r="N2" s="48" t="n"/>
    </row>
    <row r="3" ht="20" customHeight="1" s="4">
      <c r="A3" s="46" t="inlineStr">
        <is>
          <t>项目名称/编号</t>
        </is>
      </c>
      <c r="B3" s="47" t="inlineStr">
        <is>
          <t>L463</t>
        </is>
      </c>
      <c r="C3" s="46" t="inlineStr">
        <is>
          <t>驾驶方向</t>
        </is>
      </c>
      <c r="D3" s="47" t="inlineStr">
        <is>
          <t>LHD</t>
        </is>
      </c>
      <c r="E3" s="48" t="n"/>
      <c r="F3" s="48" t="n"/>
      <c r="G3" s="48" t="n"/>
      <c r="H3" s="48" t="n"/>
      <c r="I3" s="48" t="n"/>
      <c r="J3" s="48" t="n"/>
      <c r="K3" s="48" t="n"/>
      <c r="L3" s="49" t="n"/>
      <c r="M3" s="48" t="n"/>
      <c r="N3" s="48" t="n"/>
    </row>
    <row r="4" ht="20" customHeight="1" s="4">
      <c r="A4" s="46" t="inlineStr">
        <is>
          <t>项目类型</t>
        </is>
      </c>
      <c r="B4" s="47" t="inlineStr">
        <is>
          <t>新增项目</t>
        </is>
      </c>
      <c r="C4" s="46" t="inlineStr">
        <is>
          <t>导出范围</t>
        </is>
      </c>
      <c r="D4" s="47" t="inlineStr">
        <is>
          <t>DV + PV</t>
        </is>
      </c>
      <c r="E4" s="48" t="n"/>
      <c r="F4" s="48" t="n"/>
      <c r="G4" s="48" t="n"/>
      <c r="H4" s="48" t="n"/>
      <c r="I4" s="48" t="n"/>
      <c r="J4" s="48" t="n"/>
      <c r="K4" s="48" t="n"/>
      <c r="L4" s="49" t="n"/>
      <c r="M4" s="48" t="n"/>
      <c r="N4" s="48" t="n"/>
    </row>
    <row r="5" ht="20" customHeight="1" s="4">
      <c r="A5" s="46" t="inlineStr">
        <is>
          <t>是否完全复用</t>
        </is>
      </c>
      <c r="B5" s="47" t="inlineStr">
        <is>
          <t>是</t>
        </is>
      </c>
      <c r="C5" s="46" t="inlineStr">
        <is>
          <t>环境模板</t>
        </is>
      </c>
      <c r="D5" s="47" t="inlineStr">
        <is>
          <t>完全复用</t>
        </is>
      </c>
      <c r="E5" s="48" t="n"/>
      <c r="F5" s="48" t="n"/>
      <c r="G5" s="48" t="n"/>
      <c r="H5" s="48" t="n"/>
      <c r="I5" s="48" t="n"/>
      <c r="J5" s="48" t="n"/>
      <c r="K5" s="48" t="n"/>
      <c r="L5" s="49" t="n"/>
      <c r="M5" s="48" t="n"/>
      <c r="N5" s="48" t="n"/>
    </row>
    <row r="6" ht="20" customHeight="1" s="4">
      <c r="A6" s="50" t="n"/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1" t="n"/>
      <c r="M6" s="50" t="n"/>
      <c r="N6" s="50" t="n"/>
    </row>
    <row r="7" ht="20" customHeight="1" s="4">
      <c r="A7" s="50" t="n"/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1" t="n"/>
      <c r="M7" s="50" t="n"/>
      <c r="N7" s="50" t="n"/>
    </row>
    <row r="8" ht="32" customHeight="1" s="4">
      <c r="A8" s="52" t="inlineStr">
        <is>
          <t>DV 组别顺序</t>
        </is>
      </c>
      <c r="B8" s="52" t="inlineStr">
        <is>
          <t>Group A -&gt; Group B -&gt; Group C -&gt; Group D-1 -&gt; Group D-2 -&gt; Group D-3 -&gt; Group D-4 -&gt; Group D-5 -&gt; Group D-6 -&gt; Group D-7 -&gt; Group D-9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3" t="n"/>
      <c r="M8" s="52" t="n"/>
      <c r="N8" s="52" t="n"/>
    </row>
    <row r="9" ht="22" customHeight="1" s="4">
      <c r="A9" s="52" t="inlineStr">
        <is>
          <t>Phase: DV</t>
        </is>
      </c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3" t="n"/>
      <c r="M9" s="52" t="n"/>
      <c r="N9" s="52" t="n"/>
    </row>
    <row r="10" ht="24" customHeight="1" s="4">
      <c r="A10" s="54" t="inlineStr">
        <is>
          <t>Group A：DV / Group A Sequence Tests</t>
        </is>
      </c>
    </row>
    <row r="11" ht="24" customHeight="1" s="4">
      <c r="A11" s="56" t="inlineStr">
        <is>
          <t>组别顺序</t>
        </is>
      </c>
      <c r="B11" s="56" t="inlineStr">
        <is>
          <t>组内顺序</t>
        </is>
      </c>
      <c r="C11" s="56" t="inlineStr">
        <is>
          <t>Phase</t>
        </is>
      </c>
      <c r="D11" s="56" t="inlineStr">
        <is>
          <t>Group</t>
        </is>
      </c>
      <c r="E11" s="56" t="inlineStr">
        <is>
          <t>测试编号</t>
        </is>
      </c>
      <c r="F11" s="56" t="inlineStr">
        <is>
          <t>测试项目</t>
        </is>
      </c>
      <c r="G11" s="56" t="inlineStr">
        <is>
          <t>样品范围</t>
        </is>
      </c>
      <c r="H11" s="56" t="inlineStr">
        <is>
          <t>计费基数</t>
        </is>
      </c>
      <c r="I11" s="56" t="inlineStr">
        <is>
          <t>测试时间</t>
        </is>
      </c>
      <c r="J11" s="56" t="inlineStr">
        <is>
          <t>计费方式</t>
        </is>
      </c>
      <c r="K11" s="56" t="inlineStr">
        <is>
          <t>单价</t>
        </is>
      </c>
      <c r="L11" s="57" t="inlineStr">
        <is>
          <t>委外费用</t>
        </is>
      </c>
      <c r="M11" s="56" t="inlineStr">
        <is>
          <t>费用计算公式</t>
        </is>
      </c>
      <c r="N11" s="56" t="inlineStr">
        <is>
          <t>备注</t>
        </is>
      </c>
    </row>
    <row r="12" ht="20" customHeight="1" s="4">
      <c r="A12" s="50" t="inlineStr">
        <is>
          <t>Group A</t>
        </is>
      </c>
      <c r="B12" s="50" t="n">
        <v>2</v>
      </c>
      <c r="C12" s="50" t="inlineStr">
        <is>
          <t>DV</t>
        </is>
      </c>
      <c r="D12" s="50" t="inlineStr">
        <is>
          <t>Group A Sequence Tests</t>
        </is>
      </c>
      <c r="E12" s="50" t="inlineStr">
        <is>
          <t>L1&amp;L4</t>
        </is>
      </c>
      <c r="F12" s="50" t="inlineStr">
        <is>
          <t>L1&amp;L4 Performance Evaluation &amp; Functional Evaluation</t>
        </is>
      </c>
      <c r="G12" s="50" t="inlineStr">
        <is>
          <t>1-14</t>
        </is>
      </c>
      <c r="H12" s="50" t="inlineStr">
        <is>
          <t>14 个样品</t>
        </is>
      </c>
      <c r="I12" s="50" t="inlineStr">
        <is>
          <t>72 h</t>
        </is>
      </c>
      <c r="J12" s="50" t="inlineStr">
        <is>
          <t>按样品数量</t>
        </is>
      </c>
      <c r="K12" s="50" t="inlineStr">
        <is>
          <t>400/个</t>
        </is>
      </c>
      <c r="L12" s="51" t="n">
        <v>5600</v>
      </c>
      <c r="M12" s="50" t="inlineStr">
        <is>
          <t>14个 × 400/个 = 5,600</t>
        </is>
      </c>
      <c r="N12" s="50" t="n"/>
    </row>
    <row r="13" ht="20" customHeight="1" s="4">
      <c r="A13" s="50" t="inlineStr">
        <is>
          <t>Group A</t>
        </is>
      </c>
      <c r="B13" s="50" t="n">
        <v>3</v>
      </c>
      <c r="C13" s="50" t="inlineStr">
        <is>
          <t>DV</t>
        </is>
      </c>
      <c r="D13" s="50" t="inlineStr">
        <is>
          <t>Group A Sequence Tests</t>
        </is>
      </c>
      <c r="E13" s="50" t="inlineStr">
        <is>
          <t>Particle</t>
        </is>
      </c>
      <c r="F13" s="50" t="inlineStr">
        <is>
          <t>Particle Exposure</t>
        </is>
      </c>
      <c r="G13" s="50" t="inlineStr">
        <is>
          <t>1-12</t>
        </is>
      </c>
      <c r="H13" s="50" t="n"/>
      <c r="I13" s="50" t="inlineStr">
        <is>
          <t>120 h</t>
        </is>
      </c>
      <c r="J13" s="50" t="inlineStr">
        <is>
          <t>按批次</t>
        </is>
      </c>
      <c r="K13" s="50" t="inlineStr">
        <is>
          <t>6,500/批；粉尘费 5,000；清洁费 0</t>
        </is>
      </c>
      <c r="L13" s="51" t="n">
        <v>31000</v>
      </c>
      <c r="M13" s="50" t="inlineStr">
        <is>
          <t>4批 × 6,500/批 + 粉尘费 5,000 + 清洁费 0 = 31,000</t>
        </is>
      </c>
      <c r="N13" s="50" t="inlineStr">
        <is>
          <t>Particle Exposure：全额报价已拆分为批次单价、粉尘费、清洁费</t>
        </is>
      </c>
    </row>
    <row r="14" ht="20" customHeight="1" s="4">
      <c r="A14" s="50" t="inlineStr">
        <is>
          <t>Group A</t>
        </is>
      </c>
      <c r="B14" s="50" t="n">
        <v>4</v>
      </c>
      <c r="C14" s="50" t="inlineStr">
        <is>
          <t>DV</t>
        </is>
      </c>
      <c r="D14" s="50" t="inlineStr">
        <is>
          <t>Group A Sequence Tests</t>
        </is>
      </c>
      <c r="E14" s="50" t="inlineStr">
        <is>
          <t>K1</t>
        </is>
      </c>
      <c r="F14" s="50" t="inlineStr">
        <is>
          <t>K1 Low Temperature Exposure</t>
        </is>
      </c>
      <c r="G14" s="50" t="inlineStr">
        <is>
          <t>1-12</t>
        </is>
      </c>
      <c r="H14" s="50" t="inlineStr">
        <is>
          <t>24 h</t>
        </is>
      </c>
      <c r="I14" s="50" t="inlineStr">
        <is>
          <t>24 h</t>
        </is>
      </c>
      <c r="J14" s="50" t="inlineStr">
        <is>
          <t>按小时</t>
        </is>
      </c>
      <c r="K14" s="50" t="inlineStr">
        <is>
          <t>40/h</t>
        </is>
      </c>
      <c r="L14" s="51" t="n">
        <v>960</v>
      </c>
      <c r="M14" s="50" t="inlineStr">
        <is>
          <t>24h × 40/h = 960（大环境箱单价）</t>
        </is>
      </c>
      <c r="N14" s="50" t="n"/>
    </row>
    <row r="15" ht="20" customHeight="1" s="4">
      <c r="A15" s="50" t="inlineStr">
        <is>
          <t>Group A</t>
        </is>
      </c>
      <c r="B15" s="50" t="n">
        <v>5</v>
      </c>
      <c r="C15" s="50" t="inlineStr">
        <is>
          <t>DV</t>
        </is>
      </c>
      <c r="D15" s="50" t="inlineStr">
        <is>
          <t>Group A Sequence Tests</t>
        </is>
      </c>
      <c r="E15" s="50" t="inlineStr">
        <is>
          <t>K2</t>
        </is>
      </c>
      <c r="F15" s="50" t="inlineStr">
        <is>
          <t>K2 High Temperature Exposure</t>
        </is>
      </c>
      <c r="G15" s="50" t="inlineStr">
        <is>
          <t>1-12</t>
        </is>
      </c>
      <c r="H15" s="50" t="inlineStr">
        <is>
          <t>24 h</t>
        </is>
      </c>
      <c r="I15" s="50" t="inlineStr">
        <is>
          <t>24 h</t>
        </is>
      </c>
      <c r="J15" s="50" t="inlineStr">
        <is>
          <t>按小时</t>
        </is>
      </c>
      <c r="K15" s="50" t="inlineStr">
        <is>
          <t>40/h</t>
        </is>
      </c>
      <c r="L15" s="51" t="n">
        <v>960</v>
      </c>
      <c r="M15" s="50" t="inlineStr">
        <is>
          <t>24h × 40/h = 960（大环境箱单价）</t>
        </is>
      </c>
      <c r="N15" s="50" t="n"/>
    </row>
    <row r="16" ht="20" customHeight="1" s="4">
      <c r="A16" s="50" t="inlineStr">
        <is>
          <t>Group A</t>
        </is>
      </c>
      <c r="B16" s="50" t="n">
        <v>6</v>
      </c>
      <c r="C16" s="50" t="inlineStr">
        <is>
          <t>DV</t>
        </is>
      </c>
      <c r="D16" s="50" t="inlineStr">
        <is>
          <t>Group A Sequence Tests</t>
        </is>
      </c>
      <c r="E16" s="50" t="inlineStr">
        <is>
          <t>K3</t>
        </is>
      </c>
      <c r="F16" s="50" t="inlineStr">
        <is>
          <t>K3 Low Temperature Operation</t>
        </is>
      </c>
      <c r="G16" s="50" t="inlineStr">
        <is>
          <t>1-12</t>
        </is>
      </c>
      <c r="H16" s="50" t="inlineStr">
        <is>
          <t>24 h</t>
        </is>
      </c>
      <c r="I16" s="50" t="inlineStr">
        <is>
          <t>24 h</t>
        </is>
      </c>
      <c r="J16" s="50" t="inlineStr">
        <is>
          <t>按小时</t>
        </is>
      </c>
      <c r="K16" s="50" t="inlineStr">
        <is>
          <t>40/h</t>
        </is>
      </c>
      <c r="L16" s="51" t="n">
        <v>960</v>
      </c>
      <c r="M16" s="50" t="inlineStr">
        <is>
          <t>24h × 40/h = 960（大环境箱单价）</t>
        </is>
      </c>
      <c r="N16" s="50" t="n"/>
    </row>
    <row r="17" ht="20" customHeight="1" s="4">
      <c r="A17" s="50" t="inlineStr">
        <is>
          <t>Group A</t>
        </is>
      </c>
      <c r="B17" s="50" t="n">
        <v>7</v>
      </c>
      <c r="C17" s="50" t="inlineStr">
        <is>
          <t>DV</t>
        </is>
      </c>
      <c r="D17" s="50" t="inlineStr">
        <is>
          <t>Group A Sequence Tests</t>
        </is>
      </c>
      <c r="E17" s="50" t="inlineStr">
        <is>
          <t>K4</t>
        </is>
      </c>
      <c r="F17" s="50" t="inlineStr">
        <is>
          <t>K4 High Temperature Operation</t>
        </is>
      </c>
      <c r="G17" s="50" t="inlineStr">
        <is>
          <t>1-12</t>
        </is>
      </c>
      <c r="H17" s="50" t="inlineStr">
        <is>
          <t>96 h</t>
        </is>
      </c>
      <c r="I17" s="50" t="inlineStr">
        <is>
          <t>96 h</t>
        </is>
      </c>
      <c r="J17" s="50" t="inlineStr">
        <is>
          <t>按小时</t>
        </is>
      </c>
      <c r="K17" s="50" t="inlineStr">
        <is>
          <t>40/h</t>
        </is>
      </c>
      <c r="L17" s="51" t="n">
        <v>3840</v>
      </c>
      <c r="M17" s="50" t="inlineStr">
        <is>
          <t>96h × 40/h = 3,840（大环境箱单价）</t>
        </is>
      </c>
      <c r="N17" s="50" t="n"/>
    </row>
    <row r="18" ht="20" customHeight="1" s="4">
      <c r="A18" s="50" t="inlineStr">
        <is>
          <t>Group A</t>
        </is>
      </c>
      <c r="B18" s="50" t="n">
        <v>8</v>
      </c>
      <c r="C18" s="50" t="inlineStr">
        <is>
          <t>DV</t>
        </is>
      </c>
      <c r="D18" s="50" t="inlineStr">
        <is>
          <t>Group A Sequence Tests</t>
        </is>
      </c>
      <c r="E18" s="50" t="inlineStr">
        <is>
          <t>K5</t>
        </is>
      </c>
      <c r="F18" s="50" t="inlineStr">
        <is>
          <t>K5 Temperature Step Test</t>
        </is>
      </c>
      <c r="G18" s="50" t="inlineStr">
        <is>
          <t>1-12</t>
        </is>
      </c>
      <c r="H18" s="50" t="inlineStr">
        <is>
          <t>1 批</t>
        </is>
      </c>
      <c r="I18" s="50" t="inlineStr">
        <is>
          <t>48 h</t>
        </is>
      </c>
      <c r="J18" s="50" t="inlineStr">
        <is>
          <t>按批次</t>
        </is>
      </c>
      <c r="K18" s="50" t="inlineStr">
        <is>
          <t>5,000/批</t>
        </is>
      </c>
      <c r="L18" s="51" t="n">
        <v>5000</v>
      </c>
      <c r="M18" s="50" t="inlineStr">
        <is>
          <t>1批 × 5,000/批 = 5,000</t>
        </is>
      </c>
      <c r="N18" s="50" t="n"/>
    </row>
    <row r="19" ht="20" customHeight="1" s="4">
      <c r="A19" s="50" t="inlineStr">
        <is>
          <t>Group A</t>
        </is>
      </c>
      <c r="B19" s="50" t="n">
        <v>9</v>
      </c>
      <c r="C19" s="50" t="inlineStr">
        <is>
          <t>DV</t>
        </is>
      </c>
      <c r="D19" s="50" t="inlineStr">
        <is>
          <t>Group A Sequence Tests</t>
        </is>
      </c>
      <c r="E19" s="50" t="inlineStr">
        <is>
          <t>K6</t>
        </is>
      </c>
      <c r="F19" s="50" t="inlineStr">
        <is>
          <t>K6 Power Thermal Cycle</t>
        </is>
      </c>
      <c r="G19" s="50" t="inlineStr">
        <is>
          <t>1-12</t>
        </is>
      </c>
      <c r="H19" s="50" t="inlineStr">
        <is>
          <t>240 h</t>
        </is>
      </c>
      <c r="I19" s="50" t="inlineStr">
        <is>
          <t>240 h</t>
        </is>
      </c>
      <c r="J19" s="50" t="inlineStr">
        <is>
          <t>按小时</t>
        </is>
      </c>
      <c r="K19" s="50" t="inlineStr">
        <is>
          <t>40/h</t>
        </is>
      </c>
      <c r="L19" s="51" t="n">
        <v>9600</v>
      </c>
      <c r="M19" s="50" t="inlineStr">
        <is>
          <t>240h × 40/h = 9,600（大环境箱单价）</t>
        </is>
      </c>
      <c r="N19" s="50" t="n"/>
    </row>
    <row r="20" ht="20" customHeight="1" s="4">
      <c r="A20" s="50" t="inlineStr">
        <is>
          <t>Group A</t>
        </is>
      </c>
      <c r="B20" s="50" t="n">
        <v>10</v>
      </c>
      <c r="C20" s="50" t="inlineStr">
        <is>
          <t>DV</t>
        </is>
      </c>
      <c r="D20" s="50" t="inlineStr">
        <is>
          <t>Group A Sequence Tests</t>
        </is>
      </c>
      <c r="E20" s="50" t="inlineStr">
        <is>
          <t>K7</t>
        </is>
      </c>
      <c r="F20" s="50" t="inlineStr">
        <is>
          <t>K7 Thermal Shock in Air</t>
        </is>
      </c>
      <c r="G20" s="50" t="inlineStr">
        <is>
          <t>1-12</t>
        </is>
      </c>
      <c r="H20" s="50" t="inlineStr">
        <is>
          <t>105 h</t>
        </is>
      </c>
      <c r="I20" s="50" t="inlineStr">
        <is>
          <t>105 h</t>
        </is>
      </c>
      <c r="J20" s="50" t="inlineStr">
        <is>
          <t>按小时</t>
        </is>
      </c>
      <c r="K20" s="50" t="inlineStr">
        <is>
          <t>100/h</t>
        </is>
      </c>
      <c r="L20" s="51" t="n">
        <v>10500</v>
      </c>
      <c r="M20" s="50" t="inlineStr">
        <is>
          <t>105h × 100/h = 10,500</t>
        </is>
      </c>
      <c r="N20" s="50" t="n"/>
    </row>
    <row r="21" ht="20" customHeight="1" s="4">
      <c r="A21" s="50" t="inlineStr">
        <is>
          <t>Group A</t>
        </is>
      </c>
      <c r="B21" s="50" t="n">
        <v>11</v>
      </c>
      <c r="C21" s="50" t="inlineStr">
        <is>
          <t>DV</t>
        </is>
      </c>
      <c r="D21" s="50" t="inlineStr">
        <is>
          <t>Group A Sequence Tests</t>
        </is>
      </c>
      <c r="E21" s="50" t="inlineStr">
        <is>
          <t>K15</t>
        </is>
      </c>
      <c r="F21" s="50" t="inlineStr">
        <is>
          <t>K15 Vibration</t>
        </is>
      </c>
      <c r="G21" s="50" t="inlineStr">
        <is>
          <t>1-12</t>
        </is>
      </c>
      <c r="H21" s="50" t="inlineStr">
        <is>
          <t>48 h</t>
        </is>
      </c>
      <c r="I21" s="50" t="inlineStr">
        <is>
          <t>48 h</t>
        </is>
      </c>
      <c r="J21" s="50" t="inlineStr">
        <is>
          <t>按小时</t>
        </is>
      </c>
      <c r="K21" s="50" t="inlineStr">
        <is>
          <t>600/h</t>
        </is>
      </c>
      <c r="L21" s="51" t="n">
        <v>28800</v>
      </c>
      <c r="M21" s="50" t="inlineStr">
        <is>
          <t>48h × 600/h = 28,800</t>
        </is>
      </c>
      <c r="N21" s="50" t="n"/>
    </row>
    <row r="22" ht="20" customHeight="1" s="4">
      <c r="A22" s="50" t="inlineStr">
        <is>
          <t>Group A</t>
        </is>
      </c>
      <c r="B22" s="50" t="n">
        <v>12</v>
      </c>
      <c r="C22" s="50" t="inlineStr">
        <is>
          <t>DV</t>
        </is>
      </c>
      <c r="D22" s="50" t="inlineStr">
        <is>
          <t>Group A Sequence Tests</t>
        </is>
      </c>
      <c r="E22" s="50" t="inlineStr">
        <is>
          <t>K16.1</t>
        </is>
      </c>
      <c r="F22" s="50" t="inlineStr">
        <is>
          <t>K16.1 Mechanical Shock Package Drop</t>
        </is>
      </c>
      <c r="G22" s="50" t="inlineStr">
        <is>
          <t>1-14</t>
        </is>
      </c>
      <c r="H22" s="50" t="inlineStr">
        <is>
          <t>14 个样品</t>
        </is>
      </c>
      <c r="I22" s="50" t="inlineStr">
        <is>
          <t>48 h</t>
        </is>
      </c>
      <c r="J22" s="50" t="inlineStr">
        <is>
          <t>按样品数量</t>
        </is>
      </c>
      <c r="K22" s="50" t="inlineStr">
        <is>
          <t>300/个</t>
        </is>
      </c>
      <c r="L22" s="51" t="n">
        <v>4200</v>
      </c>
      <c r="M22" s="50" t="inlineStr">
        <is>
          <t>14个 × 300/个 = 4,200</t>
        </is>
      </c>
      <c r="N22" s="50" t="n"/>
    </row>
    <row r="23" ht="20" customHeight="1" s="4">
      <c r="A23" s="50" t="inlineStr">
        <is>
          <t>Group A</t>
        </is>
      </c>
      <c r="B23" s="50" t="n">
        <v>13</v>
      </c>
      <c r="C23" s="50" t="inlineStr">
        <is>
          <t>DV</t>
        </is>
      </c>
      <c r="D23" s="50" t="inlineStr">
        <is>
          <t>Group A Sequence Tests</t>
        </is>
      </c>
      <c r="E23" s="50" t="inlineStr">
        <is>
          <t>K16.4</t>
        </is>
      </c>
      <c r="F23" s="50" t="inlineStr">
        <is>
          <t>K16.4 Mechanical Shock Low</t>
        </is>
      </c>
      <c r="G23" s="50" t="inlineStr">
        <is>
          <t>1-12</t>
        </is>
      </c>
      <c r="H23" s="50" t="inlineStr">
        <is>
          <t>12 个样品</t>
        </is>
      </c>
      <c r="I23" s="50" t="inlineStr">
        <is>
          <t>48 h</t>
        </is>
      </c>
      <c r="J23" s="50" t="inlineStr">
        <is>
          <t>按样品数量</t>
        </is>
      </c>
      <c r="K23" s="50" t="inlineStr">
        <is>
          <t>300/个</t>
        </is>
      </c>
      <c r="L23" s="51" t="n">
        <v>3600</v>
      </c>
      <c r="M23" s="50" t="inlineStr">
        <is>
          <t>12个 × 300/个 = 3,600</t>
        </is>
      </c>
      <c r="N23" s="50" t="n"/>
    </row>
    <row r="24" ht="20" customHeight="1" s="4">
      <c r="A24" s="50" t="inlineStr">
        <is>
          <t>Group A</t>
        </is>
      </c>
      <c r="B24" s="50" t="n">
        <v>14</v>
      </c>
      <c r="C24" s="50" t="inlineStr">
        <is>
          <t>DV</t>
        </is>
      </c>
      <c r="D24" s="50" t="inlineStr">
        <is>
          <t>Group A Sequence Tests</t>
        </is>
      </c>
      <c r="E24" s="50" t="inlineStr">
        <is>
          <t>K17</t>
        </is>
      </c>
      <c r="F24" s="50" t="inlineStr">
        <is>
          <t>K17 Audible Noise</t>
        </is>
      </c>
      <c r="G24" s="50" t="inlineStr">
        <is>
          <t>1-12</t>
        </is>
      </c>
      <c r="H24" s="50" t="inlineStr">
        <is>
          <t>12 个样品</t>
        </is>
      </c>
      <c r="I24" s="50" t="inlineStr">
        <is>
          <t>240 h</t>
        </is>
      </c>
      <c r="J24" s="50" t="inlineStr">
        <is>
          <t>按样品数量</t>
        </is>
      </c>
      <c r="K24" s="50" t="inlineStr">
        <is>
          <t>3,000/个</t>
        </is>
      </c>
      <c r="L24" s="51" t="n">
        <v>36000</v>
      </c>
      <c r="M24" s="50" t="inlineStr">
        <is>
          <t>12个 × 3,000/个 = 36,000</t>
        </is>
      </c>
      <c r="N24" s="50" t="inlineStr">
        <is>
          <t>K17 Audible Noise 按 MLA 三个方向的组合单价 × 样机数计算</t>
        </is>
      </c>
    </row>
    <row r="25" ht="20" customHeight="1" s="4">
      <c r="A25" s="50" t="inlineStr">
        <is>
          <t>Group A</t>
        </is>
      </c>
      <c r="B25" s="50" t="n">
        <v>15</v>
      </c>
      <c r="C25" s="50" t="inlineStr">
        <is>
          <t>DV</t>
        </is>
      </c>
      <c r="D25" s="50" t="inlineStr">
        <is>
          <t>Group A Sequence Tests</t>
        </is>
      </c>
      <c r="E25" s="50" t="inlineStr">
        <is>
          <t>K9</t>
        </is>
      </c>
      <c r="F25" s="50" t="inlineStr">
        <is>
          <t>K9 Temperature/Humidity Cycle</t>
        </is>
      </c>
      <c r="G25" s="50" t="inlineStr">
        <is>
          <t>1-12</t>
        </is>
      </c>
      <c r="H25" s="50" t="inlineStr">
        <is>
          <t>264 h</t>
        </is>
      </c>
      <c r="I25" s="50" t="inlineStr">
        <is>
          <t>264 h</t>
        </is>
      </c>
      <c r="J25" s="50" t="inlineStr">
        <is>
          <t>按小时</t>
        </is>
      </c>
      <c r="K25" s="50" t="inlineStr">
        <is>
          <t>40/h</t>
        </is>
      </c>
      <c r="L25" s="51" t="n">
        <v>10560</v>
      </c>
      <c r="M25" s="50" t="inlineStr">
        <is>
          <t>264h × 40/h = 10,560（大环境箱单价）</t>
        </is>
      </c>
      <c r="N25" s="50" t="n"/>
    </row>
    <row r="26" ht="20" customHeight="1" s="4">
      <c r="A26" s="50" t="inlineStr">
        <is>
          <t>Group A</t>
        </is>
      </c>
      <c r="B26" s="50" t="n">
        <v>16</v>
      </c>
      <c r="C26" s="50" t="inlineStr">
        <is>
          <t>DV</t>
        </is>
      </c>
      <c r="D26" s="50" t="inlineStr">
        <is>
          <t>Group A Sequence Tests</t>
        </is>
      </c>
      <c r="E26" s="50" t="inlineStr">
        <is>
          <t>K10</t>
        </is>
      </c>
      <c r="F26" s="50" t="inlineStr">
        <is>
          <t>K10 Water/Fluid Ingress Test</t>
        </is>
      </c>
      <c r="G26" s="50" t="inlineStr">
        <is>
          <t>1-12</t>
        </is>
      </c>
      <c r="H26" s="50" t="inlineStr">
        <is>
          <t>12 个样品</t>
        </is>
      </c>
      <c r="I26" s="50" t="inlineStr">
        <is>
          <t>72 h</t>
        </is>
      </c>
      <c r="J26" s="50" t="inlineStr">
        <is>
          <t>按样品数量</t>
        </is>
      </c>
      <c r="K26" s="50" t="inlineStr">
        <is>
          <t>500/个</t>
        </is>
      </c>
      <c r="L26" s="51" t="n">
        <v>6000</v>
      </c>
      <c r="M26" s="50" t="inlineStr">
        <is>
          <t>12个 × 500/个 = 6,000</t>
        </is>
      </c>
      <c r="N26" s="50" t="n"/>
    </row>
    <row r="27" ht="20" customHeight="1" s="4">
      <c r="A27" s="50" t="inlineStr">
        <is>
          <t>Group A</t>
        </is>
      </c>
      <c r="B27" s="50" t="n">
        <v>17</v>
      </c>
      <c r="C27" s="50" t="inlineStr">
        <is>
          <t>DV</t>
        </is>
      </c>
      <c r="D27" s="50" t="inlineStr">
        <is>
          <t>Group A Sequence Tests</t>
        </is>
      </c>
      <c r="E27" s="50" t="inlineStr">
        <is>
          <t>K13</t>
        </is>
      </c>
      <c r="F27" s="50" t="inlineStr">
        <is>
          <t>K13 Dust Ingress</t>
        </is>
      </c>
      <c r="G27" s="50" t="inlineStr">
        <is>
          <t>1-12</t>
        </is>
      </c>
      <c r="H27" s="50" t="inlineStr">
        <is>
          <t>4 批</t>
        </is>
      </c>
      <c r="I27" s="50" t="inlineStr">
        <is>
          <t>120 h</t>
        </is>
      </c>
      <c r="J27" s="50" t="inlineStr">
        <is>
          <t>按批次</t>
        </is>
      </c>
      <c r="K27" s="50" t="inlineStr">
        <is>
          <t>1,800/批</t>
        </is>
      </c>
      <c r="L27" s="51" t="n">
        <v>7200</v>
      </c>
      <c r="M27" s="50" t="inlineStr">
        <is>
          <t>4批 × 1,800/批 = 7,200</t>
        </is>
      </c>
      <c r="N27" s="50" t="n"/>
    </row>
    <row r="28" ht="20" customHeight="1" s="4">
      <c r="A28" s="50" t="inlineStr">
        <is>
          <t>Group A</t>
        </is>
      </c>
      <c r="B28" s="50" t="n">
        <v>19</v>
      </c>
      <c r="C28" s="50" t="inlineStr">
        <is>
          <t>DV</t>
        </is>
      </c>
      <c r="D28" s="50" t="inlineStr">
        <is>
          <t>Group A Sequence Tests</t>
        </is>
      </c>
      <c r="E28" s="50" t="inlineStr">
        <is>
          <t>L1&amp;L4</t>
        </is>
      </c>
      <c r="F28" s="50" t="inlineStr">
        <is>
          <t>L1&amp;L4 Performance Evaluation &amp; Functional Evaluation</t>
        </is>
      </c>
      <c r="G28" s="50" t="inlineStr">
        <is>
          <t>1-14</t>
        </is>
      </c>
      <c r="H28" s="50" t="inlineStr">
        <is>
          <t>14 个样品</t>
        </is>
      </c>
      <c r="I28" s="50" t="inlineStr">
        <is>
          <t>72 h</t>
        </is>
      </c>
      <c r="J28" s="50" t="inlineStr">
        <is>
          <t>按样品数量</t>
        </is>
      </c>
      <c r="K28" s="50" t="inlineStr">
        <is>
          <t>400/个</t>
        </is>
      </c>
      <c r="L28" s="51" t="n">
        <v>5600</v>
      </c>
      <c r="M28" s="50" t="inlineStr">
        <is>
          <t>14个 × 400/个 = 5,600</t>
        </is>
      </c>
      <c r="N28" s="50" t="n"/>
    </row>
    <row r="29" ht="24" customHeight="1" s="4">
      <c r="A29" s="54" t="inlineStr">
        <is>
          <t>Group B：DV / Group B Sequence Tests</t>
        </is>
      </c>
    </row>
    <row r="30" ht="24" customHeight="1" s="4">
      <c r="A30" s="56" t="inlineStr">
        <is>
          <t>组别顺序</t>
        </is>
      </c>
      <c r="B30" s="56" t="inlineStr">
        <is>
          <t>组内顺序</t>
        </is>
      </c>
      <c r="C30" s="56" t="inlineStr">
        <is>
          <t>Phase</t>
        </is>
      </c>
      <c r="D30" s="56" t="inlineStr">
        <is>
          <t>Group</t>
        </is>
      </c>
      <c r="E30" s="56" t="inlineStr">
        <is>
          <t>测试编号</t>
        </is>
      </c>
      <c r="F30" s="56" t="inlineStr">
        <is>
          <t>测试项目</t>
        </is>
      </c>
      <c r="G30" s="56" t="inlineStr">
        <is>
          <t>样品范围</t>
        </is>
      </c>
      <c r="H30" s="56" t="inlineStr">
        <is>
          <t>计费基数</t>
        </is>
      </c>
      <c r="I30" s="56" t="inlineStr">
        <is>
          <t>测试时间</t>
        </is>
      </c>
      <c r="J30" s="56" t="inlineStr">
        <is>
          <t>计费方式</t>
        </is>
      </c>
      <c r="K30" s="56" t="inlineStr">
        <is>
          <t>单价</t>
        </is>
      </c>
      <c r="L30" s="57" t="inlineStr">
        <is>
          <t>委外费用</t>
        </is>
      </c>
      <c r="M30" s="56" t="inlineStr">
        <is>
          <t>费用计算公式</t>
        </is>
      </c>
      <c r="N30" s="56" t="inlineStr">
        <is>
          <t>备注</t>
        </is>
      </c>
    </row>
    <row r="31" ht="20" customHeight="1" s="4">
      <c r="A31" s="50" t="inlineStr">
        <is>
          <t>Group B</t>
        </is>
      </c>
      <c r="B31" s="50" t="n">
        <v>2</v>
      </c>
      <c r="C31" s="50" t="inlineStr">
        <is>
          <t>DV</t>
        </is>
      </c>
      <c r="D31" s="50" t="inlineStr">
        <is>
          <t>Group B Sequence Tests</t>
        </is>
      </c>
      <c r="E31" s="50" t="inlineStr">
        <is>
          <t>L1&amp;L4</t>
        </is>
      </c>
      <c r="F31" s="50" t="inlineStr">
        <is>
          <t>L1&amp;L4 Performance Evaluation &amp; Functional Evaluation</t>
        </is>
      </c>
      <c r="G31" s="50" t="inlineStr">
        <is>
          <t>15-26</t>
        </is>
      </c>
      <c r="H31" s="50" t="inlineStr">
        <is>
          <t>12 个样品</t>
        </is>
      </c>
      <c r="I31" s="50" t="inlineStr">
        <is>
          <t>72 h</t>
        </is>
      </c>
      <c r="J31" s="50" t="inlineStr">
        <is>
          <t>按样品数量</t>
        </is>
      </c>
      <c r="K31" s="50" t="inlineStr">
        <is>
          <t>400/个</t>
        </is>
      </c>
      <c r="L31" s="51" t="n">
        <v>4800</v>
      </c>
      <c r="M31" s="50" t="inlineStr">
        <is>
          <t>12个 × 400/个 = 4,800</t>
        </is>
      </c>
      <c r="N31" s="50" t="n"/>
    </row>
    <row r="32" ht="20" customHeight="1" s="4">
      <c r="A32" s="50" t="inlineStr">
        <is>
          <t>Group B</t>
        </is>
      </c>
      <c r="B32" s="50" t="n">
        <v>3</v>
      </c>
      <c r="C32" s="50" t="inlineStr">
        <is>
          <t>DV</t>
        </is>
      </c>
      <c r="D32" s="50" t="inlineStr">
        <is>
          <t>Group B Sequence Tests</t>
        </is>
      </c>
      <c r="E32" s="50" t="inlineStr">
        <is>
          <t>K22</t>
        </is>
      </c>
      <c r="F32" s="50" t="inlineStr">
        <is>
          <t>K22 Chemical Resistance</t>
        </is>
      </c>
      <c r="G32" s="50" t="inlineStr">
        <is>
          <t>15-26</t>
        </is>
      </c>
      <c r="H32" s="50" t="inlineStr">
        <is>
          <t>72 h</t>
        </is>
      </c>
      <c r="I32" s="50" t="inlineStr">
        <is>
          <t>72 h</t>
        </is>
      </c>
      <c r="J32" s="50" t="inlineStr">
        <is>
          <t>按小时</t>
        </is>
      </c>
      <c r="K32" s="50" t="inlineStr">
        <is>
          <t>组合总价（见费用规则）</t>
        </is>
      </c>
      <c r="L32" s="51" t="n">
        <v>6660</v>
      </c>
      <c r="M32" s="50" t="inlineStr">
        <is>
          <t>特殊组合计费，按规则表总价 = 6,660</t>
        </is>
      </c>
      <c r="N32" s="50" t="inlineStr">
        <is>
          <t>K22 Chemical Resistance 按 MLA 条件 1 的 15 种试剂；试剂数量 × 各实验室试剂单价 + 测试时间 × 时间单价 计算</t>
        </is>
      </c>
    </row>
    <row r="33" ht="20" customHeight="1" s="4">
      <c r="A33" s="50" t="inlineStr">
        <is>
          <t>Group B</t>
        </is>
      </c>
      <c r="B33" s="50" t="n">
        <v>4</v>
      </c>
      <c r="C33" s="50" t="inlineStr">
        <is>
          <t>DV</t>
        </is>
      </c>
      <c r="D33" s="50" t="inlineStr">
        <is>
          <t>Group B Sequence Tests</t>
        </is>
      </c>
      <c r="E33" s="50" t="inlineStr">
        <is>
          <t>K18</t>
        </is>
      </c>
      <c r="F33" s="50" t="inlineStr">
        <is>
          <t>K18 Connector and lead/lock strength</t>
        </is>
      </c>
      <c r="G33" s="50" t="inlineStr">
        <is>
          <t>15-26</t>
        </is>
      </c>
      <c r="H33" s="50" t="inlineStr">
        <is>
          <t>12 个样品</t>
        </is>
      </c>
      <c r="I33" s="50" t="inlineStr">
        <is>
          <t>168 h</t>
        </is>
      </c>
      <c r="J33" s="50" t="inlineStr">
        <is>
          <t>按样品数量</t>
        </is>
      </c>
      <c r="K33" s="50" t="inlineStr">
        <is>
          <t>组合总价（见费用规则）</t>
        </is>
      </c>
      <c r="L33" s="51" t="n">
        <v>9500</v>
      </c>
      <c r="M33" s="50" t="inlineStr">
        <is>
          <t>特殊组合计费，按规则表总价 = 9,500</t>
        </is>
      </c>
      <c r="N33" s="50" t="inlineStr">
        <is>
          <t>K18.1-K18.4 四项 × 12 台样机 × 单价 + K18.1 微应力费用</t>
        </is>
      </c>
    </row>
    <row r="34" ht="20" customHeight="1" s="4">
      <c r="A34" s="50" t="inlineStr">
        <is>
          <t>Group B</t>
        </is>
      </c>
      <c r="B34" s="50" t="n">
        <v>5</v>
      </c>
      <c r="C34" s="50" t="inlineStr">
        <is>
          <t>DV</t>
        </is>
      </c>
      <c r="D34" s="50" t="inlineStr">
        <is>
          <t>Group B Sequence Tests</t>
        </is>
      </c>
      <c r="E34" s="50" t="inlineStr">
        <is>
          <t>L1&amp;L4</t>
        </is>
      </c>
      <c r="F34" s="50" t="inlineStr">
        <is>
          <t>L1&amp;L4 Performance Evaluation &amp; Functional Evaluation</t>
        </is>
      </c>
      <c r="G34" s="50" t="inlineStr">
        <is>
          <t>15-26</t>
        </is>
      </c>
      <c r="H34" s="50" t="inlineStr">
        <is>
          <t>12 个样品</t>
        </is>
      </c>
      <c r="I34" s="50" t="inlineStr">
        <is>
          <t>72 h</t>
        </is>
      </c>
      <c r="J34" s="50" t="inlineStr">
        <is>
          <t>按样品数量</t>
        </is>
      </c>
      <c r="K34" s="50" t="inlineStr">
        <is>
          <t>400/个</t>
        </is>
      </c>
      <c r="L34" s="51" t="n">
        <v>4800</v>
      </c>
      <c r="M34" s="50" t="inlineStr">
        <is>
          <t>12个 × 400/个 = 4,800</t>
        </is>
      </c>
      <c r="N34" s="50" t="n"/>
    </row>
    <row r="35" ht="24" customHeight="1" s="4">
      <c r="A35" s="54" t="inlineStr">
        <is>
          <t>Group C：DV / Group C Sequence Tests</t>
        </is>
      </c>
    </row>
    <row r="36" ht="24" customHeight="1" s="4">
      <c r="A36" s="56" t="inlineStr">
        <is>
          <t>组别顺序</t>
        </is>
      </c>
      <c r="B36" s="56" t="inlineStr">
        <is>
          <t>组内顺序</t>
        </is>
      </c>
      <c r="C36" s="56" t="inlineStr">
        <is>
          <t>Phase</t>
        </is>
      </c>
      <c r="D36" s="56" t="inlineStr">
        <is>
          <t>Group</t>
        </is>
      </c>
      <c r="E36" s="56" t="inlineStr">
        <is>
          <t>测试编号</t>
        </is>
      </c>
      <c r="F36" s="56" t="inlineStr">
        <is>
          <t>测试项目</t>
        </is>
      </c>
      <c r="G36" s="56" t="inlineStr">
        <is>
          <t>样品范围</t>
        </is>
      </c>
      <c r="H36" s="56" t="inlineStr">
        <is>
          <t>计费基数</t>
        </is>
      </c>
      <c r="I36" s="56" t="inlineStr">
        <is>
          <t>测试时间</t>
        </is>
      </c>
      <c r="J36" s="56" t="inlineStr">
        <is>
          <t>计费方式</t>
        </is>
      </c>
      <c r="K36" s="56" t="inlineStr">
        <is>
          <t>单价</t>
        </is>
      </c>
      <c r="L36" s="57" t="inlineStr">
        <is>
          <t>委外费用</t>
        </is>
      </c>
      <c r="M36" s="56" t="inlineStr">
        <is>
          <t>费用计算公式</t>
        </is>
      </c>
      <c r="N36" s="56" t="inlineStr">
        <is>
          <t>备注</t>
        </is>
      </c>
    </row>
    <row r="37" ht="20" customHeight="1" s="4">
      <c r="A37" s="50" t="inlineStr">
        <is>
          <t>Group C</t>
        </is>
      </c>
      <c r="B37" s="50" t="n">
        <v>2</v>
      </c>
      <c r="C37" s="50" t="inlineStr">
        <is>
          <t>DV</t>
        </is>
      </c>
      <c r="D37" s="50" t="inlineStr">
        <is>
          <t>Group C Sequence Tests</t>
        </is>
      </c>
      <c r="E37" s="50" t="inlineStr">
        <is>
          <t>L1&amp;L4</t>
        </is>
      </c>
      <c r="F37" s="50" t="inlineStr">
        <is>
          <t>L1&amp;L4 Performance Evaluation &amp; Functional Evaluation</t>
        </is>
      </c>
      <c r="G37" s="50" t="inlineStr">
        <is>
          <t>27-32</t>
        </is>
      </c>
      <c r="H37" s="50" t="inlineStr">
        <is>
          <t>6 个样品</t>
        </is>
      </c>
      <c r="I37" s="50" t="inlineStr">
        <is>
          <t>72 h</t>
        </is>
      </c>
      <c r="J37" s="50" t="inlineStr">
        <is>
          <t>按样品数量</t>
        </is>
      </c>
      <c r="K37" s="50" t="inlineStr">
        <is>
          <t>400/个</t>
        </is>
      </c>
      <c r="L37" s="51" t="n">
        <v>2400</v>
      </c>
      <c r="M37" s="50" t="inlineStr">
        <is>
          <t>6个 × 400/个 = 2,400</t>
        </is>
      </c>
      <c r="N37" s="50" t="n"/>
    </row>
    <row r="38" ht="20" customHeight="1" s="4">
      <c r="A38" s="50" t="inlineStr">
        <is>
          <t>Group C</t>
        </is>
      </c>
      <c r="B38" s="50" t="n">
        <v>3</v>
      </c>
      <c r="C38" s="50" t="inlineStr">
        <is>
          <t>DV</t>
        </is>
      </c>
      <c r="D38" s="50" t="inlineStr">
        <is>
          <t>Group C Sequence Tests</t>
        </is>
      </c>
      <c r="E38" s="50" t="inlineStr">
        <is>
          <t>K7</t>
        </is>
      </c>
      <c r="F38" s="50" t="inlineStr">
        <is>
          <t>K7 Thermal Shock in Air</t>
        </is>
      </c>
      <c r="G38" s="50" t="inlineStr">
        <is>
          <t>27-32</t>
        </is>
      </c>
      <c r="H38" s="50" t="inlineStr">
        <is>
          <t>105 h</t>
        </is>
      </c>
      <c r="I38" s="50" t="inlineStr">
        <is>
          <t>105 h</t>
        </is>
      </c>
      <c r="J38" s="50" t="inlineStr">
        <is>
          <t>按小时</t>
        </is>
      </c>
      <c r="K38" s="50" t="inlineStr">
        <is>
          <t>100/h</t>
        </is>
      </c>
      <c r="L38" s="51" t="n">
        <v>10500</v>
      </c>
      <c r="M38" s="50" t="inlineStr">
        <is>
          <t>105h × 100/h = 10,500</t>
        </is>
      </c>
      <c r="N38" s="50" t="n"/>
    </row>
    <row r="39" ht="20" customHeight="1" s="4">
      <c r="A39" s="50" t="inlineStr">
        <is>
          <t>Group C</t>
        </is>
      </c>
      <c r="B39" s="50" t="n">
        <v>4</v>
      </c>
      <c r="C39" s="50" t="inlineStr">
        <is>
          <t>DV</t>
        </is>
      </c>
      <c r="D39" s="50" t="inlineStr">
        <is>
          <t>Group C Sequence Tests</t>
        </is>
      </c>
      <c r="E39" s="50" t="inlineStr">
        <is>
          <t>Particle</t>
        </is>
      </c>
      <c r="F39" s="50" t="inlineStr">
        <is>
          <t>Particle Exposure</t>
        </is>
      </c>
      <c r="G39" s="50" t="inlineStr">
        <is>
          <t>27-32</t>
        </is>
      </c>
      <c r="H39" s="50" t="n"/>
      <c r="I39" s="50" t="inlineStr">
        <is>
          <t>48 h</t>
        </is>
      </c>
      <c r="J39" s="50" t="inlineStr">
        <is>
          <t>按批次</t>
        </is>
      </c>
      <c r="K39" s="50" t="inlineStr">
        <is>
          <t>6,500/批</t>
        </is>
      </c>
      <c r="L39" s="51" t="n">
        <v>13000</v>
      </c>
      <c r="M39" s="50" t="inlineStr">
        <is>
          <t>A组已计入粉尘费/清洁费，当前仅计批次费：2批 × 6,500/批 = 13,000</t>
        </is>
      </c>
      <c r="N39" s="50" t="inlineStr">
        <is>
          <t>Particle Exposure：A组已覆盖粉尘/清洁，当前只计新增批次费</t>
        </is>
      </c>
    </row>
    <row r="40" ht="20" customHeight="1" s="4">
      <c r="A40" s="50" t="inlineStr">
        <is>
          <t>Group C</t>
        </is>
      </c>
      <c r="B40" s="50" t="n">
        <v>5</v>
      </c>
      <c r="C40" s="50" t="inlineStr">
        <is>
          <t>DV</t>
        </is>
      </c>
      <c r="D40" s="50" t="inlineStr">
        <is>
          <t>Group C Sequence Tests</t>
        </is>
      </c>
      <c r="E40" s="50" t="inlineStr">
        <is>
          <t>K15</t>
        </is>
      </c>
      <c r="F40" s="50" t="inlineStr">
        <is>
          <t>K15 Vibartion</t>
        </is>
      </c>
      <c r="G40" s="50" t="inlineStr">
        <is>
          <t>27-32</t>
        </is>
      </c>
      <c r="H40" s="50" t="inlineStr">
        <is>
          <t>24 h</t>
        </is>
      </c>
      <c r="I40" s="50" t="inlineStr">
        <is>
          <t>24 h</t>
        </is>
      </c>
      <c r="J40" s="50" t="inlineStr">
        <is>
          <t>按小时</t>
        </is>
      </c>
      <c r="K40" s="50" t="inlineStr">
        <is>
          <t>600/h</t>
        </is>
      </c>
      <c r="L40" s="51" t="n">
        <v>14400</v>
      </c>
      <c r="M40" s="50" t="inlineStr">
        <is>
          <t>24h × 600/h = 14,400</t>
        </is>
      </c>
      <c r="N40" s="50" t="n"/>
    </row>
    <row r="41" ht="20" customHeight="1" s="4">
      <c r="A41" s="50" t="inlineStr">
        <is>
          <t>Group C</t>
        </is>
      </c>
      <c r="B41" s="50" t="n">
        <v>6</v>
      </c>
      <c r="C41" s="50" t="inlineStr">
        <is>
          <t>DV</t>
        </is>
      </c>
      <c r="D41" s="50" t="inlineStr">
        <is>
          <t>Group C Sequence Tests</t>
        </is>
      </c>
      <c r="E41" s="50" t="inlineStr">
        <is>
          <t>K13</t>
        </is>
      </c>
      <c r="F41" s="50" t="inlineStr">
        <is>
          <t>K13 Dust Ingress</t>
        </is>
      </c>
      <c r="G41" s="50" t="inlineStr">
        <is>
          <t>27-32</t>
        </is>
      </c>
      <c r="H41" s="50" t="inlineStr">
        <is>
          <t>2 批</t>
        </is>
      </c>
      <c r="I41" s="50" t="inlineStr">
        <is>
          <t>48 h</t>
        </is>
      </c>
      <c r="J41" s="50" t="inlineStr">
        <is>
          <t>按批次</t>
        </is>
      </c>
      <c r="K41" s="50" t="inlineStr">
        <is>
          <t>1,800/批</t>
        </is>
      </c>
      <c r="L41" s="51" t="n">
        <v>3600</v>
      </c>
      <c r="M41" s="50" t="inlineStr">
        <is>
          <t>2批 × 1,800/批 = 3,600</t>
        </is>
      </c>
      <c r="N41" s="50" t="n"/>
    </row>
    <row r="42" ht="20" customHeight="1" s="4">
      <c r="A42" s="50" t="inlineStr">
        <is>
          <t>Group C</t>
        </is>
      </c>
      <c r="B42" s="50" t="n">
        <v>8</v>
      </c>
      <c r="C42" s="50" t="inlineStr">
        <is>
          <t>DV</t>
        </is>
      </c>
      <c r="D42" s="50" t="inlineStr">
        <is>
          <t>Group C Sequence Tests</t>
        </is>
      </c>
      <c r="E42" s="50" t="inlineStr">
        <is>
          <t>K26</t>
        </is>
      </c>
      <c r="F42" s="50" t="inlineStr">
        <is>
          <t>K26 Mechanical Wear-Out</t>
        </is>
      </c>
      <c r="G42" s="50" t="inlineStr">
        <is>
          <t>27-32</t>
        </is>
      </c>
      <c r="H42" s="50" t="inlineStr">
        <is>
          <t>500 h</t>
        </is>
      </c>
      <c r="I42" s="50" t="inlineStr">
        <is>
          <t>500 h</t>
        </is>
      </c>
      <c r="J42" s="50" t="inlineStr">
        <is>
          <t>按小时</t>
        </is>
      </c>
      <c r="K42" s="50" t="inlineStr">
        <is>
          <t>组合总价（见费用规则）</t>
        </is>
      </c>
      <c r="L42" s="51" t="n">
        <v>11660</v>
      </c>
      <c r="M42" s="50" t="inlineStr">
        <is>
          <t>特殊组合计费，按规则表总价 = 11,660</t>
        </is>
      </c>
      <c r="N42" s="50" t="inlineStr">
        <is>
          <t>K26 Mechanical Wear-Out 按 334h 常温 + 83h 低温 + 83h 高温分别计费，采用当前实验室总价</t>
        </is>
      </c>
    </row>
    <row r="43" ht="20" customHeight="1" s="4">
      <c r="A43" s="50" t="inlineStr">
        <is>
          <t>Group C</t>
        </is>
      </c>
      <c r="B43" s="50" t="n">
        <v>9</v>
      </c>
      <c r="C43" s="50" t="inlineStr">
        <is>
          <t>DV</t>
        </is>
      </c>
      <c r="D43" s="50" t="inlineStr">
        <is>
          <t>Group C Sequence Tests</t>
        </is>
      </c>
      <c r="E43" s="50" t="inlineStr">
        <is>
          <t>L1&amp;L4</t>
        </is>
      </c>
      <c r="F43" s="50" t="inlineStr">
        <is>
          <t>L1&amp;L4 Performance Evaluation &amp; Functional Evaluation</t>
        </is>
      </c>
      <c r="G43" s="50" t="inlineStr">
        <is>
          <t>27-32</t>
        </is>
      </c>
      <c r="H43" s="50" t="inlineStr">
        <is>
          <t>6 个样品</t>
        </is>
      </c>
      <c r="I43" s="50" t="inlineStr">
        <is>
          <t>48 h</t>
        </is>
      </c>
      <c r="J43" s="50" t="inlineStr">
        <is>
          <t>按样品数量</t>
        </is>
      </c>
      <c r="K43" s="50" t="inlineStr">
        <is>
          <t>400/个</t>
        </is>
      </c>
      <c r="L43" s="51" t="n">
        <v>2400</v>
      </c>
      <c r="M43" s="50" t="inlineStr">
        <is>
          <t>6个 × 400/个 = 2,400</t>
        </is>
      </c>
      <c r="N43" s="50" t="n"/>
    </row>
    <row r="44" ht="24" customHeight="1" s="4">
      <c r="A44" s="54" t="inlineStr">
        <is>
          <t>Group D-1：DV / Group D Parallel Tests / D-1 Corrosive Gases</t>
        </is>
      </c>
    </row>
    <row r="45" ht="24" customHeight="1" s="4">
      <c r="A45" s="56" t="inlineStr">
        <is>
          <t>组别顺序</t>
        </is>
      </c>
      <c r="B45" s="56" t="inlineStr">
        <is>
          <t>组内顺序</t>
        </is>
      </c>
      <c r="C45" s="56" t="inlineStr">
        <is>
          <t>Phase</t>
        </is>
      </c>
      <c r="D45" s="56" t="inlineStr">
        <is>
          <t>Group</t>
        </is>
      </c>
      <c r="E45" s="56" t="inlineStr">
        <is>
          <t>测试编号</t>
        </is>
      </c>
      <c r="F45" s="56" t="inlineStr">
        <is>
          <t>测试项目</t>
        </is>
      </c>
      <c r="G45" s="56" t="inlineStr">
        <is>
          <t>样品范围</t>
        </is>
      </c>
      <c r="H45" s="56" t="inlineStr">
        <is>
          <t>计费基数</t>
        </is>
      </c>
      <c r="I45" s="56" t="inlineStr">
        <is>
          <t>测试时间</t>
        </is>
      </c>
      <c r="J45" s="56" t="inlineStr">
        <is>
          <t>计费方式</t>
        </is>
      </c>
      <c r="K45" s="56" t="inlineStr">
        <is>
          <t>单价</t>
        </is>
      </c>
      <c r="L45" s="57" t="inlineStr">
        <is>
          <t>委外费用</t>
        </is>
      </c>
      <c r="M45" s="56" t="inlineStr">
        <is>
          <t>费用计算公式</t>
        </is>
      </c>
      <c r="N45" s="56" t="inlineStr">
        <is>
          <t>备注</t>
        </is>
      </c>
    </row>
    <row r="46" ht="20" customHeight="1" s="4">
      <c r="A46" s="50" t="inlineStr">
        <is>
          <t>Group D-1</t>
        </is>
      </c>
      <c r="B46" s="50" t="n">
        <v>2</v>
      </c>
      <c r="C46" s="50" t="inlineStr">
        <is>
          <t>DV</t>
        </is>
      </c>
      <c r="D46" s="50" t="inlineStr">
        <is>
          <t>Group D Parallel Tests / D-1 Corrosive Gases</t>
        </is>
      </c>
      <c r="E46" s="50" t="inlineStr">
        <is>
          <t>L1&amp;L4</t>
        </is>
      </c>
      <c r="F46" s="50" t="inlineStr">
        <is>
          <t>L1&amp;L4 Performance Evaluation &amp; Functional Evaluation</t>
        </is>
      </c>
      <c r="G46" s="50" t="inlineStr">
        <is>
          <t>33-38</t>
        </is>
      </c>
      <c r="H46" s="50" t="inlineStr">
        <is>
          <t>6 个样品</t>
        </is>
      </c>
      <c r="I46" s="50" t="inlineStr">
        <is>
          <t>72 h</t>
        </is>
      </c>
      <c r="J46" s="50" t="inlineStr">
        <is>
          <t>按样品数量</t>
        </is>
      </c>
      <c r="K46" s="50" t="inlineStr">
        <is>
          <t>400/个</t>
        </is>
      </c>
      <c r="L46" s="51" t="n">
        <v>2400</v>
      </c>
      <c r="M46" s="50" t="inlineStr">
        <is>
          <t>6个 × 400/个 = 2,400</t>
        </is>
      </c>
      <c r="N46" s="50" t="n"/>
    </row>
    <row r="47" ht="20" customHeight="1" s="4">
      <c r="A47" s="50" t="inlineStr">
        <is>
          <t>Group D-1</t>
        </is>
      </c>
      <c r="B47" s="50" t="n">
        <v>3</v>
      </c>
      <c r="C47" s="50" t="inlineStr">
        <is>
          <t>DV</t>
        </is>
      </c>
      <c r="D47" s="50" t="inlineStr">
        <is>
          <t>Group D Parallel Tests / D-1 Corrosive Gases</t>
        </is>
      </c>
      <c r="E47" s="50" t="inlineStr">
        <is>
          <t>K21</t>
        </is>
      </c>
      <c r="F47" s="50" t="inlineStr">
        <is>
          <t>K21 Corrosive Gases</t>
        </is>
      </c>
      <c r="G47" s="50" t="inlineStr">
        <is>
          <t>33-38</t>
        </is>
      </c>
      <c r="H47" s="50" t="inlineStr">
        <is>
          <t>336 h</t>
        </is>
      </c>
      <c r="I47" s="50" t="inlineStr">
        <is>
          <t>336 h</t>
        </is>
      </c>
      <c r="J47" s="50" t="inlineStr">
        <is>
          <t>按小时</t>
        </is>
      </c>
      <c r="K47" s="50" t="inlineStr">
        <is>
          <t>150/h</t>
        </is>
      </c>
      <c r="L47" s="51" t="n">
        <v>50400</v>
      </c>
      <c r="M47" s="50" t="inlineStr">
        <is>
          <t>336h × 150/h = 50,400</t>
        </is>
      </c>
      <c r="N47" s="50" t="n"/>
    </row>
    <row r="48" ht="20" customHeight="1" s="4">
      <c r="A48" s="50" t="inlineStr">
        <is>
          <t>Group D-1</t>
        </is>
      </c>
      <c r="B48" s="50" t="n">
        <v>4</v>
      </c>
      <c r="C48" s="50" t="inlineStr">
        <is>
          <t>DV</t>
        </is>
      </c>
      <c r="D48" s="50" t="inlineStr">
        <is>
          <t>Group D Parallel Tests / D-1 Corrosive Gases</t>
        </is>
      </c>
      <c r="E48" s="50" t="inlineStr">
        <is>
          <t>L1&amp;L4</t>
        </is>
      </c>
      <c r="F48" s="50" t="inlineStr">
        <is>
          <t>L1&amp;L4 Performance Evaluation &amp; Functional Evaluation</t>
        </is>
      </c>
      <c r="G48" s="50" t="inlineStr">
        <is>
          <t>33-38</t>
        </is>
      </c>
      <c r="H48" s="50" t="inlineStr">
        <is>
          <t>6 个样品</t>
        </is>
      </c>
      <c r="I48" s="50" t="inlineStr">
        <is>
          <t>48 h</t>
        </is>
      </c>
      <c r="J48" s="50" t="inlineStr">
        <is>
          <t>按样品数量</t>
        </is>
      </c>
      <c r="K48" s="50" t="inlineStr">
        <is>
          <t>400/个</t>
        </is>
      </c>
      <c r="L48" s="51" t="n">
        <v>2400</v>
      </c>
      <c r="M48" s="50" t="inlineStr">
        <is>
          <t>6个 × 400/个 = 2,400</t>
        </is>
      </c>
      <c r="N48" s="50" t="n"/>
    </row>
    <row r="49" ht="24" customHeight="1" s="4">
      <c r="A49" s="54" t="inlineStr">
        <is>
          <t>Group D-2：DV / Group D Parallel Tests / D-2 Solar Radiation</t>
        </is>
      </c>
    </row>
    <row r="50" ht="24" customHeight="1" s="4">
      <c r="A50" s="56" t="inlineStr">
        <is>
          <t>组别顺序</t>
        </is>
      </c>
      <c r="B50" s="56" t="inlineStr">
        <is>
          <t>组内顺序</t>
        </is>
      </c>
      <c r="C50" s="56" t="inlineStr">
        <is>
          <t>Phase</t>
        </is>
      </c>
      <c r="D50" s="56" t="inlineStr">
        <is>
          <t>Group</t>
        </is>
      </c>
      <c r="E50" s="56" t="inlineStr">
        <is>
          <t>测试编号</t>
        </is>
      </c>
      <c r="F50" s="56" t="inlineStr">
        <is>
          <t>测试项目</t>
        </is>
      </c>
      <c r="G50" s="56" t="inlineStr">
        <is>
          <t>样品范围</t>
        </is>
      </c>
      <c r="H50" s="56" t="inlineStr">
        <is>
          <t>计费基数</t>
        </is>
      </c>
      <c r="I50" s="56" t="inlineStr">
        <is>
          <t>测试时间</t>
        </is>
      </c>
      <c r="J50" s="56" t="inlineStr">
        <is>
          <t>计费方式</t>
        </is>
      </c>
      <c r="K50" s="56" t="inlineStr">
        <is>
          <t>单价</t>
        </is>
      </c>
      <c r="L50" s="57" t="inlineStr">
        <is>
          <t>委外费用</t>
        </is>
      </c>
      <c r="M50" s="56" t="inlineStr">
        <is>
          <t>费用计算公式</t>
        </is>
      </c>
      <c r="N50" s="56" t="inlineStr">
        <is>
          <t>备注</t>
        </is>
      </c>
    </row>
    <row r="51" ht="20" customHeight="1" s="4">
      <c r="A51" s="50" t="inlineStr">
        <is>
          <t>Group D-2</t>
        </is>
      </c>
      <c r="B51" s="50" t="n">
        <v>2</v>
      </c>
      <c r="C51" s="50" t="inlineStr">
        <is>
          <t>DV</t>
        </is>
      </c>
      <c r="D51" s="50" t="inlineStr">
        <is>
          <t>Group D Parallel Tests / D-2 Solar Radiation</t>
        </is>
      </c>
      <c r="E51" s="50" t="inlineStr">
        <is>
          <t>L1&amp;L4</t>
        </is>
      </c>
      <c r="F51" s="50" t="inlineStr">
        <is>
          <t>L1&amp;L4 Performance Evaluation &amp; Functional Evaluation</t>
        </is>
      </c>
      <c r="G51" s="50" t="inlineStr">
        <is>
          <t>39-44</t>
        </is>
      </c>
      <c r="H51" s="50" t="inlineStr">
        <is>
          <t>6 个样品</t>
        </is>
      </c>
      <c r="I51" s="50" t="inlineStr">
        <is>
          <t>72 h</t>
        </is>
      </c>
      <c r="J51" s="50" t="inlineStr">
        <is>
          <t>按样品数量</t>
        </is>
      </c>
      <c r="K51" s="50" t="inlineStr">
        <is>
          <t>400/个</t>
        </is>
      </c>
      <c r="L51" s="51" t="n">
        <v>2400</v>
      </c>
      <c r="M51" s="50" t="inlineStr">
        <is>
          <t>6个 × 400/个 = 2,400</t>
        </is>
      </c>
      <c r="N51" s="50" t="n"/>
    </row>
    <row r="52" ht="20" customHeight="1" s="4">
      <c r="A52" s="50" t="inlineStr">
        <is>
          <t>Group D-2</t>
        </is>
      </c>
      <c r="B52" s="50" t="n">
        <v>3</v>
      </c>
      <c r="C52" s="50" t="inlineStr">
        <is>
          <t>DV</t>
        </is>
      </c>
      <c r="D52" s="50" t="inlineStr">
        <is>
          <t>Group D Parallel Tests / D-2 Solar Radiation</t>
        </is>
      </c>
      <c r="E52" s="50" t="inlineStr">
        <is>
          <t>K20</t>
        </is>
      </c>
      <c r="F52" s="50" t="inlineStr">
        <is>
          <t>K20 Solar Radiation</t>
        </is>
      </c>
      <c r="G52" s="50" t="inlineStr">
        <is>
          <t>39-44</t>
        </is>
      </c>
      <c r="H52" s="50" t="inlineStr">
        <is>
          <t>720 h</t>
        </is>
      </c>
      <c r="I52" s="50" t="inlineStr">
        <is>
          <t>720 h</t>
        </is>
      </c>
      <c r="J52" s="50" t="inlineStr">
        <is>
          <t>按小时</t>
        </is>
      </c>
      <c r="K52" s="50" t="inlineStr">
        <is>
          <t>80/h</t>
        </is>
      </c>
      <c r="L52" s="51" t="n">
        <v>57600</v>
      </c>
      <c r="M52" s="50" t="inlineStr">
        <is>
          <t>720h × 80/h = 57,600</t>
        </is>
      </c>
      <c r="N52" s="50" t="n"/>
    </row>
    <row r="53" ht="20" customHeight="1" s="4">
      <c r="A53" s="50" t="inlineStr">
        <is>
          <t>Group D-2</t>
        </is>
      </c>
      <c r="B53" s="50" t="n">
        <v>4</v>
      </c>
      <c r="C53" s="50" t="inlineStr">
        <is>
          <t>DV</t>
        </is>
      </c>
      <c r="D53" s="50" t="inlineStr">
        <is>
          <t>Group D Parallel Tests / D-2 Solar Radiation</t>
        </is>
      </c>
      <c r="E53" s="50" t="inlineStr">
        <is>
          <t>L1&amp;L4</t>
        </is>
      </c>
      <c r="F53" s="50" t="inlineStr">
        <is>
          <t>L1&amp;L4 Performance Evaluation &amp; Functional Evaluation</t>
        </is>
      </c>
      <c r="G53" s="50" t="inlineStr">
        <is>
          <t>39-44</t>
        </is>
      </c>
      <c r="H53" s="50" t="inlineStr">
        <is>
          <t>6 个样品</t>
        </is>
      </c>
      <c r="I53" s="50" t="inlineStr">
        <is>
          <t>48 h</t>
        </is>
      </c>
      <c r="J53" s="50" t="inlineStr">
        <is>
          <t>按样品数量</t>
        </is>
      </c>
      <c r="K53" s="50" t="inlineStr">
        <is>
          <t>400/个</t>
        </is>
      </c>
      <c r="L53" s="51" t="n">
        <v>2400</v>
      </c>
      <c r="M53" s="50" t="inlineStr">
        <is>
          <t>6个 × 400/个 = 2,400</t>
        </is>
      </c>
      <c r="N53" s="50" t="n"/>
    </row>
    <row r="54" ht="24" customHeight="1" s="4">
      <c r="A54" s="54" t="inlineStr">
        <is>
          <t>Group D-3：DV / Group D Parallel Tests / D-3 PCBA</t>
        </is>
      </c>
    </row>
    <row r="55" ht="24" customHeight="1" s="4">
      <c r="A55" s="56" t="inlineStr">
        <is>
          <t>组别顺序</t>
        </is>
      </c>
      <c r="B55" s="56" t="inlineStr">
        <is>
          <t>组内顺序</t>
        </is>
      </c>
      <c r="C55" s="56" t="inlineStr">
        <is>
          <t>Phase</t>
        </is>
      </c>
      <c r="D55" s="56" t="inlineStr">
        <is>
          <t>Group</t>
        </is>
      </c>
      <c r="E55" s="56" t="inlineStr">
        <is>
          <t>测试编号</t>
        </is>
      </c>
      <c r="F55" s="56" t="inlineStr">
        <is>
          <t>测试项目</t>
        </is>
      </c>
      <c r="G55" s="56" t="inlineStr">
        <is>
          <t>样品范围</t>
        </is>
      </c>
      <c r="H55" s="56" t="inlineStr">
        <is>
          <t>计费基数</t>
        </is>
      </c>
      <c r="I55" s="56" t="inlineStr">
        <is>
          <t>测试时间</t>
        </is>
      </c>
      <c r="J55" s="56" t="inlineStr">
        <is>
          <t>计费方式</t>
        </is>
      </c>
      <c r="K55" s="56" t="inlineStr">
        <is>
          <t>单价</t>
        </is>
      </c>
      <c r="L55" s="57" t="inlineStr">
        <is>
          <t>委外费用</t>
        </is>
      </c>
      <c r="M55" s="56" t="inlineStr">
        <is>
          <t>费用计算公式</t>
        </is>
      </c>
      <c r="N55" s="56" t="inlineStr">
        <is>
          <t>备注</t>
        </is>
      </c>
    </row>
    <row r="56" ht="20" customHeight="1" s="4">
      <c r="A56" s="50" t="inlineStr">
        <is>
          <t>Group D-3</t>
        </is>
      </c>
      <c r="B56" s="50" t="n">
        <v>2</v>
      </c>
      <c r="C56" s="50" t="inlineStr">
        <is>
          <t>DV</t>
        </is>
      </c>
      <c r="D56" s="50" t="inlineStr">
        <is>
          <t>Group D Parallel Tests / D-3 PCBA</t>
        </is>
      </c>
      <c r="E56" s="50" t="inlineStr">
        <is>
          <t>L1&amp;L4</t>
        </is>
      </c>
      <c r="F56" s="50" t="inlineStr">
        <is>
          <t>L1&amp;L4 Performance Evaluation &amp; Functional Evaluation</t>
        </is>
      </c>
      <c r="G56" s="50" t="inlineStr">
        <is>
          <t>45-52</t>
        </is>
      </c>
      <c r="H56" s="50" t="inlineStr">
        <is>
          <t>6 个样品</t>
        </is>
      </c>
      <c r="I56" s="50" t="inlineStr">
        <is>
          <t>72 h</t>
        </is>
      </c>
      <c r="J56" s="50" t="inlineStr">
        <is>
          <t>按样品数量</t>
        </is>
      </c>
      <c r="K56" s="50" t="inlineStr">
        <is>
          <t>400/个</t>
        </is>
      </c>
      <c r="L56" s="51" t="n">
        <v>2400</v>
      </c>
      <c r="M56" s="50" t="inlineStr">
        <is>
          <t>6个 × 400/个 = 2,400</t>
        </is>
      </c>
      <c r="N56" s="50" t="n"/>
    </row>
    <row r="57" ht="20" customHeight="1" s="4">
      <c r="A57" s="50" t="inlineStr">
        <is>
          <t>Group D-3</t>
        </is>
      </c>
      <c r="B57" s="50" t="n">
        <v>3</v>
      </c>
      <c r="C57" s="50" t="inlineStr">
        <is>
          <t>DV</t>
        </is>
      </c>
      <c r="D57" s="50" t="inlineStr">
        <is>
          <t>Group D Parallel Tests / D-3 PCBA</t>
        </is>
      </c>
      <c r="E57" s="50" t="inlineStr">
        <is>
          <t>K23</t>
        </is>
      </c>
      <c r="F57" s="50" t="inlineStr">
        <is>
          <t>K23 Thermal Shock Endurance</t>
        </is>
      </c>
      <c r="G57" s="50" t="inlineStr">
        <is>
          <t>45-52</t>
        </is>
      </c>
      <c r="H57" s="50" t="inlineStr">
        <is>
          <t>1017 h</t>
        </is>
      </c>
      <c r="I57" s="50" t="inlineStr">
        <is>
          <t>1017 h</t>
        </is>
      </c>
      <c r="J57" s="50" t="inlineStr">
        <is>
          <t>按小时</t>
        </is>
      </c>
      <c r="K57" s="50" t="inlineStr">
        <is>
          <t>55/h</t>
        </is>
      </c>
      <c r="L57" s="51" t="n">
        <v>55935</v>
      </c>
      <c r="M57" s="50" t="inlineStr">
        <is>
          <t>1,017h × 55/h = 55,935</t>
        </is>
      </c>
      <c r="N57" s="50" t="n"/>
    </row>
    <row r="58" ht="20" customHeight="1" s="4">
      <c r="A58" s="50" t="inlineStr">
        <is>
          <t>Group D-3</t>
        </is>
      </c>
      <c r="B58" s="50" t="n">
        <v>4</v>
      </c>
      <c r="C58" s="50" t="inlineStr">
        <is>
          <t>DV</t>
        </is>
      </c>
      <c r="D58" s="50" t="inlineStr">
        <is>
          <t>Group D Parallel Tests / D-3 PCBA</t>
        </is>
      </c>
      <c r="E58" s="50" t="inlineStr">
        <is>
          <t>L1&amp;L4</t>
        </is>
      </c>
      <c r="F58" s="50" t="inlineStr">
        <is>
          <t>L1&amp;L4 Performance Evaluation &amp; Functional Evaluation</t>
        </is>
      </c>
      <c r="G58" s="50" t="inlineStr">
        <is>
          <t>45-52</t>
        </is>
      </c>
      <c r="H58" s="50" t="inlineStr">
        <is>
          <t>6 个样品</t>
        </is>
      </c>
      <c r="I58" s="50" t="inlineStr">
        <is>
          <t>48 h</t>
        </is>
      </c>
      <c r="J58" s="50" t="inlineStr">
        <is>
          <t>按样品数量</t>
        </is>
      </c>
      <c r="K58" s="50" t="inlineStr">
        <is>
          <t>400/个</t>
        </is>
      </c>
      <c r="L58" s="51" t="n">
        <v>2400</v>
      </c>
      <c r="M58" s="50" t="inlineStr">
        <is>
          <t>6个 × 400/个 = 2,400</t>
        </is>
      </c>
      <c r="N58" s="50" t="n"/>
    </row>
    <row r="59" ht="20" customHeight="1" s="4">
      <c r="A59" s="50" t="inlineStr">
        <is>
          <t>Group D-3</t>
        </is>
      </c>
      <c r="B59" s="50" t="n">
        <v>6</v>
      </c>
      <c r="C59" s="50" t="inlineStr">
        <is>
          <t>DV</t>
        </is>
      </c>
      <c r="D59" s="50" t="inlineStr">
        <is>
          <t>Group D Parallel Tests / D-3 PCBA</t>
        </is>
      </c>
      <c r="E59" s="50" t="inlineStr">
        <is>
          <t>L6-SEM&amp;SECTION</t>
        </is>
      </c>
      <c r="F59" s="50" t="inlineStr">
        <is>
          <t>L6-SEM&amp;SECTION</t>
        </is>
      </c>
      <c r="G59" s="50" t="inlineStr">
        <is>
          <t>45-52</t>
        </is>
      </c>
      <c r="H59" s="50" t="inlineStr">
        <is>
          <t>33 个样品</t>
        </is>
      </c>
      <c r="I59" s="50" t="inlineStr">
        <is>
          <t>480 h</t>
        </is>
      </c>
      <c r="J59" s="50" t="inlineStr">
        <is>
          <t>按样品数量</t>
        </is>
      </c>
      <c r="K59" s="50" t="inlineStr">
        <is>
          <t>700/个</t>
        </is>
      </c>
      <c r="L59" s="51" t="n">
        <v>23100</v>
      </c>
      <c r="M59" s="50" t="inlineStr">
        <is>
          <t>33个 × 700/个 = 23,100</t>
        </is>
      </c>
      <c r="N59" s="50" t="inlineStr">
        <is>
          <t>L6-SEM&amp;SECTION 委外组合报价：SEM &amp; Sectioning 按 33 个测试点位采用当前实验室总价</t>
        </is>
      </c>
    </row>
    <row r="60" ht="24" customHeight="1" s="4">
      <c r="A60" s="54" t="inlineStr">
        <is>
          <t>Group D-4：DV / Group D Parallel Tests / D-4 Dewing Test</t>
        </is>
      </c>
    </row>
    <row r="61" ht="24" customHeight="1" s="4">
      <c r="A61" s="56" t="inlineStr">
        <is>
          <t>组别顺序</t>
        </is>
      </c>
      <c r="B61" s="56" t="inlineStr">
        <is>
          <t>组内顺序</t>
        </is>
      </c>
      <c r="C61" s="56" t="inlineStr">
        <is>
          <t>Phase</t>
        </is>
      </c>
      <c r="D61" s="56" t="inlineStr">
        <is>
          <t>Group</t>
        </is>
      </c>
      <c r="E61" s="56" t="inlineStr">
        <is>
          <t>测试编号</t>
        </is>
      </c>
      <c r="F61" s="56" t="inlineStr">
        <is>
          <t>测试项目</t>
        </is>
      </c>
      <c r="G61" s="56" t="inlineStr">
        <is>
          <t>样品范围</t>
        </is>
      </c>
      <c r="H61" s="56" t="inlineStr">
        <is>
          <t>计费基数</t>
        </is>
      </c>
      <c r="I61" s="56" t="inlineStr">
        <is>
          <t>测试时间</t>
        </is>
      </c>
      <c r="J61" s="56" t="inlineStr">
        <is>
          <t>计费方式</t>
        </is>
      </c>
      <c r="K61" s="56" t="inlineStr">
        <is>
          <t>单价</t>
        </is>
      </c>
      <c r="L61" s="57" t="inlineStr">
        <is>
          <t>委外费用</t>
        </is>
      </c>
      <c r="M61" s="56" t="inlineStr">
        <is>
          <t>费用计算公式</t>
        </is>
      </c>
      <c r="N61" s="56" t="inlineStr">
        <is>
          <t>备注</t>
        </is>
      </c>
    </row>
    <row r="62" ht="20" customHeight="1" s="4">
      <c r="A62" s="50" t="inlineStr">
        <is>
          <t>Group D-4</t>
        </is>
      </c>
      <c r="B62" s="50" t="n">
        <v>2</v>
      </c>
      <c r="C62" s="50" t="inlineStr">
        <is>
          <t>DV</t>
        </is>
      </c>
      <c r="D62" s="50" t="inlineStr">
        <is>
          <t>Group D Parallel Tests / D-4 Dewing Test</t>
        </is>
      </c>
      <c r="E62" s="50" t="inlineStr">
        <is>
          <t>L1&amp;L4</t>
        </is>
      </c>
      <c r="F62" s="50" t="inlineStr">
        <is>
          <t>L1&amp;L4 Performance Evaluation &amp; Functional Evaluation</t>
        </is>
      </c>
      <c r="G62" s="50" t="inlineStr">
        <is>
          <t>53-58</t>
        </is>
      </c>
      <c r="H62" s="50" t="inlineStr">
        <is>
          <t>6 个样品</t>
        </is>
      </c>
      <c r="I62" s="50" t="inlineStr">
        <is>
          <t>72 h</t>
        </is>
      </c>
      <c r="J62" s="50" t="inlineStr">
        <is>
          <t>按样品数量</t>
        </is>
      </c>
      <c r="K62" s="50" t="inlineStr">
        <is>
          <t>400/个</t>
        </is>
      </c>
      <c r="L62" s="51" t="n">
        <v>2400</v>
      </c>
      <c r="M62" s="50" t="inlineStr">
        <is>
          <t>6个 × 400/个 = 2,400</t>
        </is>
      </c>
      <c r="N62" s="50" t="n"/>
    </row>
    <row r="63" ht="20" customHeight="1" s="4">
      <c r="A63" s="50" t="inlineStr">
        <is>
          <t>Group D-4</t>
        </is>
      </c>
      <c r="B63" s="50" t="n">
        <v>3</v>
      </c>
      <c r="C63" s="50" t="inlineStr">
        <is>
          <t>DV</t>
        </is>
      </c>
      <c r="D63" s="50" t="inlineStr">
        <is>
          <t>Group D Parallel Tests / D-4 Dewing Test</t>
        </is>
      </c>
      <c r="E63" s="50" t="inlineStr">
        <is>
          <t>K8</t>
        </is>
      </c>
      <c r="F63" s="50" t="inlineStr">
        <is>
          <t>K8 Dewing Test</t>
        </is>
      </c>
      <c r="G63" s="50" t="inlineStr">
        <is>
          <t>53-58</t>
        </is>
      </c>
      <c r="H63" s="50" t="inlineStr">
        <is>
          <t>1 批</t>
        </is>
      </c>
      <c r="I63" s="50" t="inlineStr">
        <is>
          <t>48 h</t>
        </is>
      </c>
      <c r="J63" s="50" t="inlineStr">
        <is>
          <t>按批次</t>
        </is>
      </c>
      <c r="K63" s="50" t="inlineStr">
        <is>
          <t>5,000/批</t>
        </is>
      </c>
      <c r="L63" s="51" t="n">
        <v>5000</v>
      </c>
      <c r="M63" s="50" t="inlineStr">
        <is>
          <t>1批 × 5,000/批 = 5,000</t>
        </is>
      </c>
      <c r="N63" s="50" t="n"/>
    </row>
    <row r="64" ht="20" customHeight="1" s="4">
      <c r="A64" s="50" t="inlineStr">
        <is>
          <t>Group D-4</t>
        </is>
      </c>
      <c r="B64" s="50" t="n">
        <v>4</v>
      </c>
      <c r="C64" s="50" t="inlineStr">
        <is>
          <t>DV</t>
        </is>
      </c>
      <c r="D64" s="50" t="inlineStr">
        <is>
          <t>Group D Parallel Tests / D-4 Dewing Test</t>
        </is>
      </c>
      <c r="E64" s="50" t="inlineStr">
        <is>
          <t>L1&amp;L4</t>
        </is>
      </c>
      <c r="F64" s="50" t="inlineStr">
        <is>
          <t>L1&amp;L4 Performance Evaluation &amp; Functional Evaluation</t>
        </is>
      </c>
      <c r="G64" s="50" t="inlineStr">
        <is>
          <t>53-58</t>
        </is>
      </c>
      <c r="H64" s="50" t="inlineStr">
        <is>
          <t>6 个样品</t>
        </is>
      </c>
      <c r="I64" s="50" t="inlineStr">
        <is>
          <t>48 h</t>
        </is>
      </c>
      <c r="J64" s="50" t="inlineStr">
        <is>
          <t>按样品数量</t>
        </is>
      </c>
      <c r="K64" s="50" t="inlineStr">
        <is>
          <t>400/个</t>
        </is>
      </c>
      <c r="L64" s="51" t="n">
        <v>2400</v>
      </c>
      <c r="M64" s="50" t="inlineStr">
        <is>
          <t>6个 × 400/个 = 2,400</t>
        </is>
      </c>
      <c r="N64" s="50" t="n"/>
    </row>
    <row r="65" ht="24" customHeight="1" s="4">
      <c r="A65" s="54" t="inlineStr">
        <is>
          <t>Group D-5：DV / Group D Parallel Tests / D-5 Life Test-1</t>
        </is>
      </c>
    </row>
    <row r="66" ht="24" customHeight="1" s="4">
      <c r="A66" s="56" t="inlineStr">
        <is>
          <t>组别顺序</t>
        </is>
      </c>
      <c r="B66" s="56" t="inlineStr">
        <is>
          <t>组内顺序</t>
        </is>
      </c>
      <c r="C66" s="56" t="inlineStr">
        <is>
          <t>Phase</t>
        </is>
      </c>
      <c r="D66" s="56" t="inlineStr">
        <is>
          <t>Group</t>
        </is>
      </c>
      <c r="E66" s="56" t="inlineStr">
        <is>
          <t>测试编号</t>
        </is>
      </c>
      <c r="F66" s="56" t="inlineStr">
        <is>
          <t>测试项目</t>
        </is>
      </c>
      <c r="G66" s="56" t="inlineStr">
        <is>
          <t>样品范围</t>
        </is>
      </c>
      <c r="H66" s="56" t="inlineStr">
        <is>
          <t>计费基数</t>
        </is>
      </c>
      <c r="I66" s="56" t="inlineStr">
        <is>
          <t>测试时间</t>
        </is>
      </c>
      <c r="J66" s="56" t="inlineStr">
        <is>
          <t>计费方式</t>
        </is>
      </c>
      <c r="K66" s="56" t="inlineStr">
        <is>
          <t>单价</t>
        </is>
      </c>
      <c r="L66" s="57" t="inlineStr">
        <is>
          <t>委外费用</t>
        </is>
      </c>
      <c r="M66" s="56" t="inlineStr">
        <is>
          <t>费用计算公式</t>
        </is>
      </c>
      <c r="N66" s="56" t="inlineStr">
        <is>
          <t>备注</t>
        </is>
      </c>
    </row>
    <row r="67" ht="20" customHeight="1" s="4">
      <c r="A67" s="50" t="inlineStr">
        <is>
          <t>Group D-5</t>
        </is>
      </c>
      <c r="B67" s="50" t="n">
        <v>2</v>
      </c>
      <c r="C67" s="50" t="inlineStr">
        <is>
          <t>DV</t>
        </is>
      </c>
      <c r="D67" s="50" t="inlineStr">
        <is>
          <t>Group D Parallel Tests / D-5 Life Test-1</t>
        </is>
      </c>
      <c r="E67" s="50" t="inlineStr">
        <is>
          <t>L1&amp;L4</t>
        </is>
      </c>
      <c r="F67" s="50" t="inlineStr">
        <is>
          <t>L1&amp;L4 Performance Evaluation &amp; Functional Evaluation</t>
        </is>
      </c>
      <c r="G67" s="50" t="inlineStr">
        <is>
          <t>59-64</t>
        </is>
      </c>
      <c r="H67" s="50" t="inlineStr">
        <is>
          <t>6 个样品</t>
        </is>
      </c>
      <c r="I67" s="50" t="inlineStr">
        <is>
          <t>72 h</t>
        </is>
      </c>
      <c r="J67" s="50" t="inlineStr">
        <is>
          <t>按样品数量</t>
        </is>
      </c>
      <c r="K67" s="50" t="inlineStr">
        <is>
          <t>400/个</t>
        </is>
      </c>
      <c r="L67" s="51" t="n">
        <v>2400</v>
      </c>
      <c r="M67" s="50" t="inlineStr">
        <is>
          <t>6个 × 400/个 = 2,400</t>
        </is>
      </c>
      <c r="N67" s="50" t="n"/>
    </row>
    <row r="68" ht="20" customHeight="1" s="4">
      <c r="A68" s="50" t="inlineStr">
        <is>
          <t>Group D-5</t>
        </is>
      </c>
      <c r="B68" s="50" t="n">
        <v>3</v>
      </c>
      <c r="C68" s="50" t="inlineStr">
        <is>
          <t>DV</t>
        </is>
      </c>
      <c r="D68" s="50" t="inlineStr">
        <is>
          <t>Group D Parallel Tests / D-5 Life Test-1</t>
        </is>
      </c>
      <c r="E68" s="50" t="inlineStr">
        <is>
          <t>K24</t>
        </is>
      </c>
      <c r="F68" s="50" t="inlineStr">
        <is>
          <t>K24 High Temperature Endurance</t>
        </is>
      </c>
      <c r="G68" s="50" t="inlineStr">
        <is>
          <t>59-64</t>
        </is>
      </c>
      <c r="H68" s="50" t="inlineStr">
        <is>
          <t>1000 h</t>
        </is>
      </c>
      <c r="I68" s="50" t="inlineStr">
        <is>
          <t>1000 h</t>
        </is>
      </c>
      <c r="J68" s="50" t="inlineStr">
        <is>
          <t>按小时</t>
        </is>
      </c>
      <c r="K68" s="50" t="inlineStr">
        <is>
          <t>30/h</t>
        </is>
      </c>
      <c r="L68" s="51" t="n">
        <v>30000</v>
      </c>
      <c r="M68" s="50" t="inlineStr">
        <is>
          <t>1,000h × 30/h = 30,000</t>
        </is>
      </c>
      <c r="N68" s="50" t="n"/>
    </row>
    <row r="69" ht="20" customHeight="1" s="4">
      <c r="A69" s="50" t="inlineStr">
        <is>
          <t>Group D-5</t>
        </is>
      </c>
      <c r="B69" s="50" t="n">
        <v>4</v>
      </c>
      <c r="C69" s="50" t="inlineStr">
        <is>
          <t>DV</t>
        </is>
      </c>
      <c r="D69" s="50" t="inlineStr">
        <is>
          <t>Group D Parallel Tests / D-5 Life Test-1</t>
        </is>
      </c>
      <c r="E69" s="50" t="inlineStr">
        <is>
          <t>L1&amp;L4</t>
        </is>
      </c>
      <c r="F69" s="50" t="inlineStr">
        <is>
          <t>L1&amp;L4 Performance Evaluation &amp; Functional Evaluation</t>
        </is>
      </c>
      <c r="G69" s="50" t="inlineStr">
        <is>
          <t>59-64</t>
        </is>
      </c>
      <c r="H69" s="50" t="inlineStr">
        <is>
          <t>6 个样品</t>
        </is>
      </c>
      <c r="I69" s="50" t="inlineStr">
        <is>
          <t>48 h</t>
        </is>
      </c>
      <c r="J69" s="50" t="inlineStr">
        <is>
          <t>按样品数量</t>
        </is>
      </c>
      <c r="K69" s="50" t="inlineStr">
        <is>
          <t>400/个</t>
        </is>
      </c>
      <c r="L69" s="51" t="n">
        <v>2400</v>
      </c>
      <c r="M69" s="50" t="inlineStr">
        <is>
          <t>6个 × 400/个 = 2,400</t>
        </is>
      </c>
      <c r="N69" s="50" t="n"/>
    </row>
    <row r="70" ht="24" customHeight="1" s="4">
      <c r="A70" s="54" t="inlineStr">
        <is>
          <t>Group D-6：DV / Group D Parallel Tests / D-6 Life Test-2-1</t>
        </is>
      </c>
    </row>
    <row r="71" ht="24" customHeight="1" s="4">
      <c r="A71" s="56" t="inlineStr">
        <is>
          <t>组别顺序</t>
        </is>
      </c>
      <c r="B71" s="56" t="inlineStr">
        <is>
          <t>组内顺序</t>
        </is>
      </c>
      <c r="C71" s="56" t="inlineStr">
        <is>
          <t>Phase</t>
        </is>
      </c>
      <c r="D71" s="56" t="inlineStr">
        <is>
          <t>Group</t>
        </is>
      </c>
      <c r="E71" s="56" t="inlineStr">
        <is>
          <t>测试编号</t>
        </is>
      </c>
      <c r="F71" s="56" t="inlineStr">
        <is>
          <t>测试项目</t>
        </is>
      </c>
      <c r="G71" s="56" t="inlineStr">
        <is>
          <t>样品范围</t>
        </is>
      </c>
      <c r="H71" s="56" t="inlineStr">
        <is>
          <t>计费基数</t>
        </is>
      </c>
      <c r="I71" s="56" t="inlineStr">
        <is>
          <t>测试时间</t>
        </is>
      </c>
      <c r="J71" s="56" t="inlineStr">
        <is>
          <t>计费方式</t>
        </is>
      </c>
      <c r="K71" s="56" t="inlineStr">
        <is>
          <t>单价</t>
        </is>
      </c>
      <c r="L71" s="57" t="inlineStr">
        <is>
          <t>委外费用</t>
        </is>
      </c>
      <c r="M71" s="56" t="inlineStr">
        <is>
          <t>费用计算公式</t>
        </is>
      </c>
      <c r="N71" s="56" t="inlineStr">
        <is>
          <t>备注</t>
        </is>
      </c>
    </row>
    <row r="72" ht="20" customHeight="1" s="4">
      <c r="A72" s="50" t="inlineStr">
        <is>
          <t>Group D-6</t>
        </is>
      </c>
      <c r="B72" s="50" t="n">
        <v>2</v>
      </c>
      <c r="C72" s="50" t="inlineStr">
        <is>
          <t>DV</t>
        </is>
      </c>
      <c r="D72" s="50" t="inlineStr">
        <is>
          <t>Group D Parallel Tests / D-6 Life Test-2-1</t>
        </is>
      </c>
      <c r="E72" s="50" t="inlineStr">
        <is>
          <t>L1&amp;L4</t>
        </is>
      </c>
      <c r="F72" s="50" t="inlineStr">
        <is>
          <t>L1&amp;L4 Performance Evaluation &amp; Functional Evaluation</t>
        </is>
      </c>
      <c r="G72" s="50" t="inlineStr">
        <is>
          <t>65-70</t>
        </is>
      </c>
      <c r="H72" s="50" t="inlineStr">
        <is>
          <t>6 个样品</t>
        </is>
      </c>
      <c r="I72" s="50" t="inlineStr">
        <is>
          <t>72 h</t>
        </is>
      </c>
      <c r="J72" s="50" t="inlineStr">
        <is>
          <t>按样品数量</t>
        </is>
      </c>
      <c r="K72" s="50" t="inlineStr">
        <is>
          <t>400/个</t>
        </is>
      </c>
      <c r="L72" s="51" t="n">
        <v>2400</v>
      </c>
      <c r="M72" s="50" t="inlineStr">
        <is>
          <t>6个 × 400/个 = 2,400</t>
        </is>
      </c>
      <c r="N72" s="50" t="n"/>
    </row>
    <row r="73" ht="20" customHeight="1" s="4">
      <c r="A73" s="50" t="inlineStr">
        <is>
          <t>Group D-6</t>
        </is>
      </c>
      <c r="B73" s="50" t="n">
        <v>3</v>
      </c>
      <c r="C73" s="50" t="inlineStr">
        <is>
          <t>DV</t>
        </is>
      </c>
      <c r="D73" s="50" t="inlineStr">
        <is>
          <t>Group D Parallel Tests / D-6 Life Test-2-1</t>
        </is>
      </c>
      <c r="E73" s="50" t="inlineStr">
        <is>
          <t>K27</t>
        </is>
      </c>
      <c r="F73" s="50" t="inlineStr">
        <is>
          <t>K27 85/85 High Temperature -High Humidity Endurance</t>
        </is>
      </c>
      <c r="G73" s="50" t="inlineStr">
        <is>
          <t>65-70</t>
        </is>
      </c>
      <c r="H73" s="50" t="inlineStr">
        <is>
          <t>1000 h</t>
        </is>
      </c>
      <c r="I73" s="50" t="inlineStr">
        <is>
          <t>1000 h</t>
        </is>
      </c>
      <c r="J73" s="50" t="inlineStr">
        <is>
          <t>按小时</t>
        </is>
      </c>
      <c r="K73" s="50" t="inlineStr">
        <is>
          <t>30/h</t>
        </is>
      </c>
      <c r="L73" s="51" t="n">
        <v>30000</v>
      </c>
      <c r="M73" s="50" t="inlineStr">
        <is>
          <t>1,000h × 30/h = 30,000</t>
        </is>
      </c>
      <c r="N73" s="50" t="n"/>
    </row>
    <row r="74" ht="20" customHeight="1" s="4">
      <c r="A74" s="50" t="inlineStr">
        <is>
          <t>Group D-6</t>
        </is>
      </c>
      <c r="B74" s="50" t="n">
        <v>4</v>
      </c>
      <c r="C74" s="50" t="inlineStr">
        <is>
          <t>DV</t>
        </is>
      </c>
      <c r="D74" s="50" t="inlineStr">
        <is>
          <t>Group D Parallel Tests / D-6 Life Test-2-1</t>
        </is>
      </c>
      <c r="E74" s="50" t="inlineStr">
        <is>
          <t>L1&amp;L4</t>
        </is>
      </c>
      <c r="F74" s="50" t="inlineStr">
        <is>
          <t>L1&amp;L4 Performance Evaluation &amp; Functional Evaluation</t>
        </is>
      </c>
      <c r="G74" s="50" t="inlineStr">
        <is>
          <t>65-70</t>
        </is>
      </c>
      <c r="H74" s="50" t="inlineStr">
        <is>
          <t>6 个样品</t>
        </is>
      </c>
      <c r="I74" s="50" t="inlineStr">
        <is>
          <t>48 h</t>
        </is>
      </c>
      <c r="J74" s="50" t="inlineStr">
        <is>
          <t>按样品数量</t>
        </is>
      </c>
      <c r="K74" s="50" t="inlineStr">
        <is>
          <t>400/个</t>
        </is>
      </c>
      <c r="L74" s="51" t="n">
        <v>2400</v>
      </c>
      <c r="M74" s="50" t="inlineStr">
        <is>
          <t>6个 × 400/个 = 2,400</t>
        </is>
      </c>
      <c r="N74" s="50" t="n"/>
    </row>
    <row r="75" ht="24" customHeight="1" s="4">
      <c r="A75" s="54" t="inlineStr">
        <is>
          <t>Group D-7：DV / Group D Parallel Tests / D-7 Life Test-2-2</t>
        </is>
      </c>
    </row>
    <row r="76" ht="24" customHeight="1" s="4">
      <c r="A76" s="56" t="inlineStr">
        <is>
          <t>组别顺序</t>
        </is>
      </c>
      <c r="B76" s="56" t="inlineStr">
        <is>
          <t>组内顺序</t>
        </is>
      </c>
      <c r="C76" s="56" t="inlineStr">
        <is>
          <t>Phase</t>
        </is>
      </c>
      <c r="D76" s="56" t="inlineStr">
        <is>
          <t>Group</t>
        </is>
      </c>
      <c r="E76" s="56" t="inlineStr">
        <is>
          <t>测试编号</t>
        </is>
      </c>
      <c r="F76" s="56" t="inlineStr">
        <is>
          <t>测试项目</t>
        </is>
      </c>
      <c r="G76" s="56" t="inlineStr">
        <is>
          <t>样品范围</t>
        </is>
      </c>
      <c r="H76" s="56" t="inlineStr">
        <is>
          <t>计费基数</t>
        </is>
      </c>
      <c r="I76" s="56" t="inlineStr">
        <is>
          <t>测试时间</t>
        </is>
      </c>
      <c r="J76" s="56" t="inlineStr">
        <is>
          <t>计费方式</t>
        </is>
      </c>
      <c r="K76" s="56" t="inlineStr">
        <is>
          <t>单价</t>
        </is>
      </c>
      <c r="L76" s="57" t="inlineStr">
        <is>
          <t>委外费用</t>
        </is>
      </c>
      <c r="M76" s="56" t="inlineStr">
        <is>
          <t>费用计算公式</t>
        </is>
      </c>
      <c r="N76" s="56" t="inlineStr">
        <is>
          <t>备注</t>
        </is>
      </c>
    </row>
    <row r="77" ht="20" customHeight="1" s="4">
      <c r="A77" s="50" t="inlineStr">
        <is>
          <t>Group D-7</t>
        </is>
      </c>
      <c r="B77" s="50" t="n">
        <v>2</v>
      </c>
      <c r="C77" s="50" t="inlineStr">
        <is>
          <t>DV</t>
        </is>
      </c>
      <c r="D77" s="50" t="inlineStr">
        <is>
          <t>Group D Parallel Tests / D-7 Life Test-2-2</t>
        </is>
      </c>
      <c r="E77" s="50" t="inlineStr">
        <is>
          <t>L1&amp;L4</t>
        </is>
      </c>
      <c r="F77" s="50" t="inlineStr">
        <is>
          <t>L1&amp;L4 Performance Evaluation &amp; Functional Evaluation</t>
        </is>
      </c>
      <c r="G77" s="50" t="inlineStr">
        <is>
          <t>71-76</t>
        </is>
      </c>
      <c r="H77" s="50" t="inlineStr">
        <is>
          <t>6 个样品</t>
        </is>
      </c>
      <c r="I77" s="50" t="inlineStr">
        <is>
          <t>72 h</t>
        </is>
      </c>
      <c r="J77" s="50" t="inlineStr">
        <is>
          <t>按样品数量</t>
        </is>
      </c>
      <c r="K77" s="50" t="inlineStr">
        <is>
          <t>400/个</t>
        </is>
      </c>
      <c r="L77" s="51" t="n">
        <v>2400</v>
      </c>
      <c r="M77" s="50" t="inlineStr">
        <is>
          <t>6个 × 400/个 = 2,400</t>
        </is>
      </c>
      <c r="N77" s="50" t="n"/>
    </row>
    <row r="78" ht="20" customHeight="1" s="4">
      <c r="A78" s="50" t="inlineStr">
        <is>
          <t>Group D-7</t>
        </is>
      </c>
      <c r="B78" s="50" t="n">
        <v>3</v>
      </c>
      <c r="C78" s="50" t="inlineStr">
        <is>
          <t>DV</t>
        </is>
      </c>
      <c r="D78" s="50" t="inlineStr">
        <is>
          <t>Group D Parallel Tests / D-7 Life Test-2-2</t>
        </is>
      </c>
      <c r="E78" s="50" t="inlineStr">
        <is>
          <t>K27</t>
        </is>
      </c>
      <c r="F78" s="50" t="inlineStr">
        <is>
          <t>K27 60/95 High Temperature -High Humidity Endurance</t>
        </is>
      </c>
      <c r="G78" s="50" t="inlineStr">
        <is>
          <t>71-76</t>
        </is>
      </c>
      <c r="H78" s="50" t="inlineStr">
        <is>
          <t>1100 h</t>
        </is>
      </c>
      <c r="I78" s="50" t="inlineStr">
        <is>
          <t>1100 h</t>
        </is>
      </c>
      <c r="J78" s="50" t="inlineStr">
        <is>
          <t>按小时</t>
        </is>
      </c>
      <c r="K78" s="50" t="inlineStr">
        <is>
          <t>30/h</t>
        </is>
      </c>
      <c r="L78" s="51" t="n">
        <v>33000</v>
      </c>
      <c r="M78" s="50" t="inlineStr">
        <is>
          <t>1,100h × 30/h = 33,000</t>
        </is>
      </c>
      <c r="N78" s="50" t="n"/>
    </row>
    <row r="79" ht="20" customHeight="1" s="4">
      <c r="A79" s="50" t="inlineStr">
        <is>
          <t>Group D-7</t>
        </is>
      </c>
      <c r="B79" s="50" t="n">
        <v>4</v>
      </c>
      <c r="C79" s="50" t="inlineStr">
        <is>
          <t>DV</t>
        </is>
      </c>
      <c r="D79" s="50" t="inlineStr">
        <is>
          <t>Group D Parallel Tests / D-7 Life Test-2-2</t>
        </is>
      </c>
      <c r="E79" s="50" t="inlineStr">
        <is>
          <t>L1&amp;L4</t>
        </is>
      </c>
      <c r="F79" s="50" t="inlineStr">
        <is>
          <t>L1&amp;L4 Performance Evaluation &amp; Functional Evaluation</t>
        </is>
      </c>
      <c r="G79" s="50" t="inlineStr">
        <is>
          <t>71-76</t>
        </is>
      </c>
      <c r="H79" s="50" t="inlineStr">
        <is>
          <t>6 个样品</t>
        </is>
      </c>
      <c r="I79" s="50" t="inlineStr">
        <is>
          <t>48 h</t>
        </is>
      </c>
      <c r="J79" s="50" t="inlineStr">
        <is>
          <t>按样品数量</t>
        </is>
      </c>
      <c r="K79" s="50" t="inlineStr">
        <is>
          <t>400/个</t>
        </is>
      </c>
      <c r="L79" s="51" t="n">
        <v>2400</v>
      </c>
      <c r="M79" s="50" t="inlineStr">
        <is>
          <t>6个 × 400/个 = 2,400</t>
        </is>
      </c>
      <c r="N79" s="50" t="n"/>
    </row>
    <row r="80" ht="24" customHeight="1" s="4">
      <c r="A80" s="54" t="inlineStr">
        <is>
          <t>Group D-9：DV / Group D Parallel Tests / D-9</t>
        </is>
      </c>
    </row>
    <row r="81" ht="24" customHeight="1" s="4">
      <c r="A81" s="56" t="inlineStr">
        <is>
          <t>组别顺序</t>
        </is>
      </c>
      <c r="B81" s="56" t="inlineStr">
        <is>
          <t>组内顺序</t>
        </is>
      </c>
      <c r="C81" s="56" t="inlineStr">
        <is>
          <t>Phase</t>
        </is>
      </c>
      <c r="D81" s="56" t="inlineStr">
        <is>
          <t>Group</t>
        </is>
      </c>
      <c r="E81" s="56" t="inlineStr">
        <is>
          <t>测试编号</t>
        </is>
      </c>
      <c r="F81" s="56" t="inlineStr">
        <is>
          <t>测试项目</t>
        </is>
      </c>
      <c r="G81" s="56" t="inlineStr">
        <is>
          <t>样品范围</t>
        </is>
      </c>
      <c r="H81" s="56" t="inlineStr">
        <is>
          <t>计费基数</t>
        </is>
      </c>
      <c r="I81" s="56" t="inlineStr">
        <is>
          <t>测试时间</t>
        </is>
      </c>
      <c r="J81" s="56" t="inlineStr">
        <is>
          <t>计费方式</t>
        </is>
      </c>
      <c r="K81" s="56" t="inlineStr">
        <is>
          <t>单价</t>
        </is>
      </c>
      <c r="L81" s="57" t="inlineStr">
        <is>
          <t>委外费用</t>
        </is>
      </c>
      <c r="M81" s="56" t="inlineStr">
        <is>
          <t>费用计算公式</t>
        </is>
      </c>
      <c r="N81" s="56" t="inlineStr">
        <is>
          <t>备注</t>
        </is>
      </c>
    </row>
    <row r="82" ht="20" customHeight="1" s="4">
      <c r="A82" s="50" t="inlineStr">
        <is>
          <t>Group D-9</t>
        </is>
      </c>
      <c r="B82" s="50" t="n">
        <v>2</v>
      </c>
      <c r="C82" s="50" t="inlineStr">
        <is>
          <t>DV</t>
        </is>
      </c>
      <c r="D82" s="50" t="inlineStr">
        <is>
          <t>Group D Parallel Tests / D-9</t>
        </is>
      </c>
      <c r="E82" s="50" t="inlineStr">
        <is>
          <t>L1&amp;L4</t>
        </is>
      </c>
      <c r="F82" s="50" t="inlineStr">
        <is>
          <t>L1&amp;L4 Performance Evaluation &amp; Functional Evaluation</t>
        </is>
      </c>
      <c r="G82" s="50" t="inlineStr">
        <is>
          <t>77-82</t>
        </is>
      </c>
      <c r="H82" s="50" t="inlineStr">
        <is>
          <t>6 个样品</t>
        </is>
      </c>
      <c r="I82" s="50" t="inlineStr">
        <is>
          <t>72 h</t>
        </is>
      </c>
      <c r="J82" s="50" t="inlineStr">
        <is>
          <t>按样品数量</t>
        </is>
      </c>
      <c r="K82" s="50" t="inlineStr">
        <is>
          <t>400/个</t>
        </is>
      </c>
      <c r="L82" s="51" t="n">
        <v>2400</v>
      </c>
      <c r="M82" s="50" t="inlineStr">
        <is>
          <t>6个 × 400/个 = 2,400</t>
        </is>
      </c>
      <c r="N82" s="50" t="n"/>
    </row>
    <row r="83" ht="20" customHeight="1" s="4">
      <c r="A83" s="50" t="inlineStr">
        <is>
          <t>Group D-9</t>
        </is>
      </c>
      <c r="B83" s="50" t="n">
        <v>3</v>
      </c>
      <c r="C83" s="50" t="inlineStr">
        <is>
          <t>DV</t>
        </is>
      </c>
      <c r="D83" s="50" t="inlineStr">
        <is>
          <t>Group D Parallel Tests / D-9</t>
        </is>
      </c>
      <c r="E83" s="50" t="inlineStr">
        <is>
          <t>K52.351</t>
        </is>
      </c>
      <c r="F83" s="50" t="inlineStr">
        <is>
          <t>K52.351 Condensing humidity</t>
        </is>
      </c>
      <c r="G83" s="50" t="inlineStr">
        <is>
          <t>77-82</t>
        </is>
      </c>
      <c r="H83" s="50" t="inlineStr">
        <is>
          <t>120 h</t>
        </is>
      </c>
      <c r="I83" s="50" t="inlineStr">
        <is>
          <t>120 h</t>
        </is>
      </c>
      <c r="J83" s="50" t="inlineStr">
        <is>
          <t>按小时</t>
        </is>
      </c>
      <c r="K83" s="50" t="inlineStr">
        <is>
          <t>55/h</t>
        </is>
      </c>
      <c r="L83" s="51" t="n">
        <v>6600</v>
      </c>
      <c r="M83" s="50" t="inlineStr">
        <is>
          <t>120h × 55/h = 6,600</t>
        </is>
      </c>
      <c r="N83" s="50" t="n"/>
    </row>
    <row r="84" ht="20" customHeight="1" s="4">
      <c r="A84" s="50" t="inlineStr">
        <is>
          <t>Group D-9</t>
        </is>
      </c>
      <c r="B84" s="50" t="n">
        <v>4</v>
      </c>
      <c r="C84" s="50" t="inlineStr">
        <is>
          <t>DV</t>
        </is>
      </c>
      <c r="D84" s="50" t="inlineStr">
        <is>
          <t>Group D Parallel Tests / D-9</t>
        </is>
      </c>
      <c r="E84" s="50" t="inlineStr">
        <is>
          <t>L1&amp;L4</t>
        </is>
      </c>
      <c r="F84" s="50" t="inlineStr">
        <is>
          <t>L1&amp;L4 Performance Evaluation &amp; Functional Evaluation</t>
        </is>
      </c>
      <c r="G84" s="50" t="inlineStr">
        <is>
          <t>77-82</t>
        </is>
      </c>
      <c r="H84" s="50" t="inlineStr">
        <is>
          <t>6 个样品</t>
        </is>
      </c>
      <c r="I84" s="50" t="inlineStr">
        <is>
          <t>48 h</t>
        </is>
      </c>
      <c r="J84" s="50" t="inlineStr">
        <is>
          <t>按样品数量</t>
        </is>
      </c>
      <c r="K84" s="50" t="inlineStr">
        <is>
          <t>400/个</t>
        </is>
      </c>
      <c r="L84" s="51" t="n">
        <v>2400</v>
      </c>
      <c r="M84" s="50" t="inlineStr">
        <is>
          <t>6个 × 400/个 = 2,400</t>
        </is>
      </c>
      <c r="N84" s="50" t="n"/>
    </row>
    <row r="85" ht="20" customHeight="1" s="4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1" t="n"/>
      <c r="M85" s="50" t="n"/>
      <c r="N85" s="50" t="n"/>
    </row>
    <row r="86" ht="32" customHeight="1" s="4">
      <c r="A86" s="52" t="inlineStr">
        <is>
          <t>PV 组别顺序</t>
        </is>
      </c>
      <c r="B86" s="52" t="inlineStr">
        <is>
          <t>Group A -&gt; Group B -&gt; Group C -&gt; Group D-1 -&gt; Group D-2 -&gt; Group D-3 -&gt; Group D-4 -&gt; Group D-5 -&gt; Group D-6 -&gt; Group D-7 -&gt; Group D-8 -&gt; Group D-9</t>
        </is>
      </c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3" t="n"/>
      <c r="M86" s="52" t="n"/>
      <c r="N86" s="52" t="n"/>
    </row>
    <row r="87" ht="22" customHeight="1" s="4">
      <c r="A87" s="52" t="inlineStr">
        <is>
          <t>Phase: PV</t>
        </is>
      </c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3" t="n"/>
      <c r="M87" s="52" t="n"/>
      <c r="N87" s="52" t="n"/>
    </row>
    <row r="88" ht="24" customHeight="1" s="4">
      <c r="A88" s="54" t="inlineStr">
        <is>
          <t>Group A：PV / Group A Sequence Tests</t>
        </is>
      </c>
    </row>
    <row r="89" ht="24" customHeight="1" s="4">
      <c r="A89" s="56" t="inlineStr">
        <is>
          <t>组别顺序</t>
        </is>
      </c>
      <c r="B89" s="56" t="inlineStr">
        <is>
          <t>组内顺序</t>
        </is>
      </c>
      <c r="C89" s="56" t="inlineStr">
        <is>
          <t>Phase</t>
        </is>
      </c>
      <c r="D89" s="56" t="inlineStr">
        <is>
          <t>Group</t>
        </is>
      </c>
      <c r="E89" s="56" t="inlineStr">
        <is>
          <t>测试编号</t>
        </is>
      </c>
      <c r="F89" s="56" t="inlineStr">
        <is>
          <t>测试项目</t>
        </is>
      </c>
      <c r="G89" s="56" t="inlineStr">
        <is>
          <t>样品范围</t>
        </is>
      </c>
      <c r="H89" s="56" t="inlineStr">
        <is>
          <t>计费基数</t>
        </is>
      </c>
      <c r="I89" s="56" t="inlineStr">
        <is>
          <t>测试时间</t>
        </is>
      </c>
      <c r="J89" s="56" t="inlineStr">
        <is>
          <t>计费方式</t>
        </is>
      </c>
      <c r="K89" s="56" t="inlineStr">
        <is>
          <t>单价</t>
        </is>
      </c>
      <c r="L89" s="57" t="inlineStr">
        <is>
          <t>委外费用</t>
        </is>
      </c>
      <c r="M89" s="56" t="inlineStr">
        <is>
          <t>费用计算公式</t>
        </is>
      </c>
      <c r="N89" s="56" t="inlineStr">
        <is>
          <t>备注</t>
        </is>
      </c>
    </row>
    <row r="90" ht="20" customHeight="1" s="4">
      <c r="A90" s="50" t="inlineStr">
        <is>
          <t>Group A</t>
        </is>
      </c>
      <c r="B90" s="50" t="n">
        <v>2</v>
      </c>
      <c r="C90" s="50" t="inlineStr">
        <is>
          <t>PV</t>
        </is>
      </c>
      <c r="D90" s="50" t="inlineStr">
        <is>
          <t>Group A Sequence Tests</t>
        </is>
      </c>
      <c r="E90" s="50" t="inlineStr">
        <is>
          <t>L1&amp;L4</t>
        </is>
      </c>
      <c r="F90" s="50" t="inlineStr">
        <is>
          <t>L1&amp;L4 Performance Evaluation &amp; Functional Evaluation</t>
        </is>
      </c>
      <c r="G90" s="50" t="inlineStr">
        <is>
          <t>1-14</t>
        </is>
      </c>
      <c r="H90" s="50" t="inlineStr">
        <is>
          <t>14 个样品</t>
        </is>
      </c>
      <c r="I90" s="50" t="inlineStr">
        <is>
          <t>72 h</t>
        </is>
      </c>
      <c r="J90" s="50" t="inlineStr">
        <is>
          <t>按样品数量</t>
        </is>
      </c>
      <c r="K90" s="50" t="inlineStr">
        <is>
          <t>400/个</t>
        </is>
      </c>
      <c r="L90" s="51" t="n">
        <v>5600</v>
      </c>
      <c r="M90" s="50" t="inlineStr">
        <is>
          <t>14个 × 400/个 = 5,600</t>
        </is>
      </c>
      <c r="N90" s="50" t="n"/>
    </row>
    <row r="91" ht="20" customHeight="1" s="4">
      <c r="A91" s="50" t="inlineStr">
        <is>
          <t>Group A</t>
        </is>
      </c>
      <c r="B91" s="50" t="n">
        <v>3</v>
      </c>
      <c r="C91" s="50" t="inlineStr">
        <is>
          <t>PV</t>
        </is>
      </c>
      <c r="D91" s="50" t="inlineStr">
        <is>
          <t>Group A Sequence Tests</t>
        </is>
      </c>
      <c r="E91" s="50" t="inlineStr">
        <is>
          <t>Particle</t>
        </is>
      </c>
      <c r="F91" s="50" t="inlineStr">
        <is>
          <t>Particle Exposure</t>
        </is>
      </c>
      <c r="G91" s="50" t="inlineStr">
        <is>
          <t>1-12</t>
        </is>
      </c>
      <c r="H91" s="50" t="n"/>
      <c r="I91" s="50" t="inlineStr">
        <is>
          <t>120 h</t>
        </is>
      </c>
      <c r="J91" s="50" t="inlineStr">
        <is>
          <t>按批次</t>
        </is>
      </c>
      <c r="K91" s="50" t="inlineStr">
        <is>
          <t>6,500/批；粉尘费 5,000；清洁费 0</t>
        </is>
      </c>
      <c r="L91" s="51" t="n">
        <v>31000</v>
      </c>
      <c r="M91" s="50" t="inlineStr">
        <is>
          <t>4批 × 6,500/批 + 粉尘费 5,000 + 清洁费 0 = 31,000</t>
        </is>
      </c>
      <c r="N91" s="50" t="inlineStr">
        <is>
          <t>Particle Exposure：全额报价已拆分为批次单价、粉尘费、清洁费</t>
        </is>
      </c>
    </row>
    <row r="92" ht="20" customHeight="1" s="4">
      <c r="A92" s="50" t="inlineStr">
        <is>
          <t>Group A</t>
        </is>
      </c>
      <c r="B92" s="50" t="n">
        <v>4</v>
      </c>
      <c r="C92" s="50" t="inlineStr">
        <is>
          <t>PV</t>
        </is>
      </c>
      <c r="D92" s="50" t="inlineStr">
        <is>
          <t>Group A Sequence Tests</t>
        </is>
      </c>
      <c r="E92" s="50" t="inlineStr">
        <is>
          <t>K1</t>
        </is>
      </c>
      <c r="F92" s="50" t="inlineStr">
        <is>
          <t>K1 Low Temperature Exposure</t>
        </is>
      </c>
      <c r="G92" s="50" t="inlineStr">
        <is>
          <t>1-12</t>
        </is>
      </c>
      <c r="H92" s="50" t="inlineStr">
        <is>
          <t>24 h</t>
        </is>
      </c>
      <c r="I92" s="50" t="inlineStr">
        <is>
          <t>24 h</t>
        </is>
      </c>
      <c r="J92" s="50" t="inlineStr">
        <is>
          <t>按小时</t>
        </is>
      </c>
      <c r="K92" s="50" t="inlineStr">
        <is>
          <t>40/h</t>
        </is>
      </c>
      <c r="L92" s="51" t="n">
        <v>960</v>
      </c>
      <c r="M92" s="50" t="inlineStr">
        <is>
          <t>24h × 40/h = 960（大环境箱单价）</t>
        </is>
      </c>
      <c r="N92" s="50" t="n"/>
    </row>
    <row r="93" ht="20" customHeight="1" s="4">
      <c r="A93" s="50" t="inlineStr">
        <is>
          <t>Group A</t>
        </is>
      </c>
      <c r="B93" s="50" t="n">
        <v>5</v>
      </c>
      <c r="C93" s="50" t="inlineStr">
        <is>
          <t>PV</t>
        </is>
      </c>
      <c r="D93" s="50" t="inlineStr">
        <is>
          <t>Group A Sequence Tests</t>
        </is>
      </c>
      <c r="E93" s="50" t="inlineStr">
        <is>
          <t>K2</t>
        </is>
      </c>
      <c r="F93" s="50" t="inlineStr">
        <is>
          <t>K2 High Temperature Exposure</t>
        </is>
      </c>
      <c r="G93" s="50" t="inlineStr">
        <is>
          <t>1-12</t>
        </is>
      </c>
      <c r="H93" s="50" t="inlineStr">
        <is>
          <t>24 h</t>
        </is>
      </c>
      <c r="I93" s="50" t="inlineStr">
        <is>
          <t>24 h</t>
        </is>
      </c>
      <c r="J93" s="50" t="inlineStr">
        <is>
          <t>按小时</t>
        </is>
      </c>
      <c r="K93" s="50" t="inlineStr">
        <is>
          <t>40/h</t>
        </is>
      </c>
      <c r="L93" s="51" t="n">
        <v>960</v>
      </c>
      <c r="M93" s="50" t="inlineStr">
        <is>
          <t>24h × 40/h = 960（大环境箱单价）</t>
        </is>
      </c>
      <c r="N93" s="50" t="n"/>
    </row>
    <row r="94" ht="20" customHeight="1" s="4">
      <c r="A94" s="50" t="inlineStr">
        <is>
          <t>Group A</t>
        </is>
      </c>
      <c r="B94" s="50" t="n">
        <v>6</v>
      </c>
      <c r="C94" s="50" t="inlineStr">
        <is>
          <t>PV</t>
        </is>
      </c>
      <c r="D94" s="50" t="inlineStr">
        <is>
          <t>Group A Sequence Tests</t>
        </is>
      </c>
      <c r="E94" s="50" t="inlineStr">
        <is>
          <t>K3</t>
        </is>
      </c>
      <c r="F94" s="50" t="inlineStr">
        <is>
          <t>K3 Low Temperature Operation</t>
        </is>
      </c>
      <c r="G94" s="50" t="inlineStr">
        <is>
          <t>1-12</t>
        </is>
      </c>
      <c r="H94" s="50" t="inlineStr">
        <is>
          <t>24 h</t>
        </is>
      </c>
      <c r="I94" s="50" t="inlineStr">
        <is>
          <t>24 h</t>
        </is>
      </c>
      <c r="J94" s="50" t="inlineStr">
        <is>
          <t>按小时</t>
        </is>
      </c>
      <c r="K94" s="50" t="inlineStr">
        <is>
          <t>40/h</t>
        </is>
      </c>
      <c r="L94" s="51" t="n">
        <v>960</v>
      </c>
      <c r="M94" s="50" t="inlineStr">
        <is>
          <t>24h × 40/h = 960（大环境箱单价）</t>
        </is>
      </c>
      <c r="N94" s="50" t="n"/>
    </row>
    <row r="95" ht="20" customHeight="1" s="4">
      <c r="A95" s="50" t="inlineStr">
        <is>
          <t>Group A</t>
        </is>
      </c>
      <c r="B95" s="50" t="n">
        <v>7</v>
      </c>
      <c r="C95" s="50" t="inlineStr">
        <is>
          <t>PV</t>
        </is>
      </c>
      <c r="D95" s="50" t="inlineStr">
        <is>
          <t>Group A Sequence Tests</t>
        </is>
      </c>
      <c r="E95" s="50" t="inlineStr">
        <is>
          <t>K4</t>
        </is>
      </c>
      <c r="F95" s="50" t="inlineStr">
        <is>
          <t>K4 High Temperature Operation</t>
        </is>
      </c>
      <c r="G95" s="50" t="inlineStr">
        <is>
          <t>1-12</t>
        </is>
      </c>
      <c r="H95" s="50" t="inlineStr">
        <is>
          <t>96 h</t>
        </is>
      </c>
      <c r="I95" s="50" t="inlineStr">
        <is>
          <t>96 h</t>
        </is>
      </c>
      <c r="J95" s="50" t="inlineStr">
        <is>
          <t>按小时</t>
        </is>
      </c>
      <c r="K95" s="50" t="inlineStr">
        <is>
          <t>40/h</t>
        </is>
      </c>
      <c r="L95" s="51" t="n">
        <v>3840</v>
      </c>
      <c r="M95" s="50" t="inlineStr">
        <is>
          <t>96h × 40/h = 3,840（大环境箱单价）</t>
        </is>
      </c>
      <c r="N95" s="50" t="n"/>
    </row>
    <row r="96" ht="20" customHeight="1" s="4">
      <c r="A96" s="50" t="inlineStr">
        <is>
          <t>Group A</t>
        </is>
      </c>
      <c r="B96" s="50" t="n">
        <v>8</v>
      </c>
      <c r="C96" s="50" t="inlineStr">
        <is>
          <t>PV</t>
        </is>
      </c>
      <c r="D96" s="50" t="inlineStr">
        <is>
          <t>Group A Sequence Tests</t>
        </is>
      </c>
      <c r="E96" s="50" t="inlineStr">
        <is>
          <t>K5</t>
        </is>
      </c>
      <c r="F96" s="50" t="inlineStr">
        <is>
          <t>K5 Temperature Step Test</t>
        </is>
      </c>
      <c r="G96" s="50" t="inlineStr">
        <is>
          <t>1-12</t>
        </is>
      </c>
      <c r="H96" s="50" t="inlineStr">
        <is>
          <t>1 批</t>
        </is>
      </c>
      <c r="I96" s="50" t="inlineStr">
        <is>
          <t>48 h</t>
        </is>
      </c>
      <c r="J96" s="50" t="inlineStr">
        <is>
          <t>按批次</t>
        </is>
      </c>
      <c r="K96" s="50" t="inlineStr">
        <is>
          <t>5,000/批</t>
        </is>
      </c>
      <c r="L96" s="51" t="n">
        <v>5000</v>
      </c>
      <c r="M96" s="50" t="inlineStr">
        <is>
          <t>1批 × 5,000/批 = 5,000</t>
        </is>
      </c>
      <c r="N96" s="50" t="n"/>
    </row>
    <row r="97" ht="20" customHeight="1" s="4">
      <c r="A97" s="50" t="inlineStr">
        <is>
          <t>Group A</t>
        </is>
      </c>
      <c r="B97" s="50" t="n">
        <v>9</v>
      </c>
      <c r="C97" s="50" t="inlineStr">
        <is>
          <t>PV</t>
        </is>
      </c>
      <c r="D97" s="50" t="inlineStr">
        <is>
          <t>Group A Sequence Tests</t>
        </is>
      </c>
      <c r="E97" s="50" t="inlineStr">
        <is>
          <t>K6</t>
        </is>
      </c>
      <c r="F97" s="50" t="inlineStr">
        <is>
          <t>K6 Power Thermal Cycle</t>
        </is>
      </c>
      <c r="G97" s="50" t="inlineStr">
        <is>
          <t>1-12</t>
        </is>
      </c>
      <c r="H97" s="50" t="inlineStr">
        <is>
          <t>240 h</t>
        </is>
      </c>
      <c r="I97" s="50" t="inlineStr">
        <is>
          <t>240 h</t>
        </is>
      </c>
      <c r="J97" s="50" t="inlineStr">
        <is>
          <t>按小时</t>
        </is>
      </c>
      <c r="K97" s="50" t="inlineStr">
        <is>
          <t>40/h</t>
        </is>
      </c>
      <c r="L97" s="51" t="n">
        <v>9600</v>
      </c>
      <c r="M97" s="50" t="inlineStr">
        <is>
          <t>240h × 40/h = 9,600（大环境箱单价）</t>
        </is>
      </c>
      <c r="N97" s="50" t="n"/>
    </row>
    <row r="98" ht="20" customHeight="1" s="4">
      <c r="A98" s="50" t="inlineStr">
        <is>
          <t>Group A</t>
        </is>
      </c>
      <c r="B98" s="50" t="n">
        <v>10</v>
      </c>
      <c r="C98" s="50" t="inlineStr">
        <is>
          <t>PV</t>
        </is>
      </c>
      <c r="D98" s="50" t="inlineStr">
        <is>
          <t>Group A Sequence Tests</t>
        </is>
      </c>
      <c r="E98" s="50" t="inlineStr">
        <is>
          <t>K7</t>
        </is>
      </c>
      <c r="F98" s="50" t="inlineStr">
        <is>
          <t>K7 Thermal Shock in Air</t>
        </is>
      </c>
      <c r="G98" s="50" t="inlineStr">
        <is>
          <t>1-12</t>
        </is>
      </c>
      <c r="H98" s="50" t="inlineStr">
        <is>
          <t>105 h</t>
        </is>
      </c>
      <c r="I98" s="50" t="inlineStr">
        <is>
          <t>105 h</t>
        </is>
      </c>
      <c r="J98" s="50" t="inlineStr">
        <is>
          <t>按小时</t>
        </is>
      </c>
      <c r="K98" s="50" t="inlineStr">
        <is>
          <t>100/h</t>
        </is>
      </c>
      <c r="L98" s="51" t="n">
        <v>10500</v>
      </c>
      <c r="M98" s="50" t="inlineStr">
        <is>
          <t>105h × 100/h = 10,500</t>
        </is>
      </c>
      <c r="N98" s="50" t="n"/>
    </row>
    <row r="99" ht="20" customHeight="1" s="4">
      <c r="A99" s="50" t="inlineStr">
        <is>
          <t>Group A</t>
        </is>
      </c>
      <c r="B99" s="50" t="n">
        <v>11</v>
      </c>
      <c r="C99" s="50" t="inlineStr">
        <is>
          <t>PV</t>
        </is>
      </c>
      <c r="D99" s="50" t="inlineStr">
        <is>
          <t>Group A Sequence Tests</t>
        </is>
      </c>
      <c r="E99" s="50" t="inlineStr">
        <is>
          <t>K15</t>
        </is>
      </c>
      <c r="F99" s="50" t="inlineStr">
        <is>
          <t>K15 Vibration</t>
        </is>
      </c>
      <c r="G99" s="50" t="inlineStr">
        <is>
          <t>1-12</t>
        </is>
      </c>
      <c r="H99" s="50" t="inlineStr">
        <is>
          <t>48 h</t>
        </is>
      </c>
      <c r="I99" s="50" t="inlineStr">
        <is>
          <t>48 h</t>
        </is>
      </c>
      <c r="J99" s="50" t="inlineStr">
        <is>
          <t>按小时</t>
        </is>
      </c>
      <c r="K99" s="50" t="inlineStr">
        <is>
          <t>600/h</t>
        </is>
      </c>
      <c r="L99" s="51" t="n">
        <v>28800</v>
      </c>
      <c r="M99" s="50" t="inlineStr">
        <is>
          <t>48h × 600/h = 28,800</t>
        </is>
      </c>
      <c r="N99" s="50" t="n"/>
    </row>
    <row r="100" ht="20" customHeight="1" s="4">
      <c r="A100" s="50" t="inlineStr">
        <is>
          <t>Group A</t>
        </is>
      </c>
      <c r="B100" s="50" t="n">
        <v>12</v>
      </c>
      <c r="C100" s="50" t="inlineStr">
        <is>
          <t>PV</t>
        </is>
      </c>
      <c r="D100" s="50" t="inlineStr">
        <is>
          <t>Group A Sequence Tests</t>
        </is>
      </c>
      <c r="E100" s="50" t="inlineStr">
        <is>
          <t>K16.1</t>
        </is>
      </c>
      <c r="F100" s="50" t="inlineStr">
        <is>
          <t>K16.1 Mechanical Shock Package Drop</t>
        </is>
      </c>
      <c r="G100" s="50" t="inlineStr">
        <is>
          <t>1-14</t>
        </is>
      </c>
      <c r="H100" s="50" t="inlineStr">
        <is>
          <t>14 个样品</t>
        </is>
      </c>
      <c r="I100" s="50" t="inlineStr">
        <is>
          <t>48 h</t>
        </is>
      </c>
      <c r="J100" s="50" t="inlineStr">
        <is>
          <t>按样品数量</t>
        </is>
      </c>
      <c r="K100" s="50" t="inlineStr">
        <is>
          <t>300/个</t>
        </is>
      </c>
      <c r="L100" s="51" t="n">
        <v>4200</v>
      </c>
      <c r="M100" s="50" t="inlineStr">
        <is>
          <t>14个 × 300/个 = 4,200</t>
        </is>
      </c>
      <c r="N100" s="50" t="n"/>
    </row>
    <row r="101" ht="20" customHeight="1" s="4">
      <c r="A101" s="50" t="inlineStr">
        <is>
          <t>Group A</t>
        </is>
      </c>
      <c r="B101" s="50" t="n">
        <v>13</v>
      </c>
      <c r="C101" s="50" t="inlineStr">
        <is>
          <t>PV</t>
        </is>
      </c>
      <c r="D101" s="50" t="inlineStr">
        <is>
          <t>Group A Sequence Tests</t>
        </is>
      </c>
      <c r="E101" s="50" t="inlineStr">
        <is>
          <t>K16.4</t>
        </is>
      </c>
      <c r="F101" s="50" t="inlineStr">
        <is>
          <t>K16.4 Mechanical Shock Low</t>
        </is>
      </c>
      <c r="G101" s="50" t="inlineStr">
        <is>
          <t>1-12</t>
        </is>
      </c>
      <c r="H101" s="50" t="inlineStr">
        <is>
          <t>12 个样品</t>
        </is>
      </c>
      <c r="I101" s="50" t="inlineStr">
        <is>
          <t>48 h</t>
        </is>
      </c>
      <c r="J101" s="50" t="inlineStr">
        <is>
          <t>按样品数量</t>
        </is>
      </c>
      <c r="K101" s="50" t="inlineStr">
        <is>
          <t>300/个</t>
        </is>
      </c>
      <c r="L101" s="51" t="n">
        <v>3600</v>
      </c>
      <c r="M101" s="50" t="inlineStr">
        <is>
          <t>12个 × 300/个 = 3,600</t>
        </is>
      </c>
      <c r="N101" s="50" t="n"/>
    </row>
    <row r="102" ht="20" customHeight="1" s="4">
      <c r="A102" s="50" t="inlineStr">
        <is>
          <t>Group A</t>
        </is>
      </c>
      <c r="B102" s="50" t="n">
        <v>14</v>
      </c>
      <c r="C102" s="50" t="inlineStr">
        <is>
          <t>PV</t>
        </is>
      </c>
      <c r="D102" s="50" t="inlineStr">
        <is>
          <t>Group A Sequence Tests</t>
        </is>
      </c>
      <c r="E102" s="50" t="inlineStr">
        <is>
          <t>K17</t>
        </is>
      </c>
      <c r="F102" s="50" t="inlineStr">
        <is>
          <t>K17 Audible Noise</t>
        </is>
      </c>
      <c r="G102" s="50" t="inlineStr">
        <is>
          <t>1-12</t>
        </is>
      </c>
      <c r="H102" s="50" t="inlineStr">
        <is>
          <t>12 个样品</t>
        </is>
      </c>
      <c r="I102" s="50" t="inlineStr">
        <is>
          <t>240 h</t>
        </is>
      </c>
      <c r="J102" s="50" t="inlineStr">
        <is>
          <t>按样品数量</t>
        </is>
      </c>
      <c r="K102" s="50" t="inlineStr">
        <is>
          <t>3,000/个</t>
        </is>
      </c>
      <c r="L102" s="51" t="n">
        <v>36000</v>
      </c>
      <c r="M102" s="50" t="inlineStr">
        <is>
          <t>12个 × 3,000/个 = 36,000</t>
        </is>
      </c>
      <c r="N102" s="50" t="inlineStr">
        <is>
          <t>K17 Audible Noise 按 MLA 三个方向的组合单价 × 样机数计算</t>
        </is>
      </c>
    </row>
    <row r="103" ht="20" customHeight="1" s="4">
      <c r="A103" s="50" t="inlineStr">
        <is>
          <t>Group A</t>
        </is>
      </c>
      <c r="B103" s="50" t="n">
        <v>15</v>
      </c>
      <c r="C103" s="50" t="inlineStr">
        <is>
          <t>PV</t>
        </is>
      </c>
      <c r="D103" s="50" t="inlineStr">
        <is>
          <t>Group A Sequence Tests</t>
        </is>
      </c>
      <c r="E103" s="50" t="inlineStr">
        <is>
          <t>K9</t>
        </is>
      </c>
      <c r="F103" s="50" t="inlineStr">
        <is>
          <t>K9 Temperature/Humidity Cycle</t>
        </is>
      </c>
      <c r="G103" s="50" t="inlineStr">
        <is>
          <t>1-12</t>
        </is>
      </c>
      <c r="H103" s="50" t="inlineStr">
        <is>
          <t>264 h</t>
        </is>
      </c>
      <c r="I103" s="50" t="inlineStr">
        <is>
          <t>264 h</t>
        </is>
      </c>
      <c r="J103" s="50" t="inlineStr">
        <is>
          <t>按小时</t>
        </is>
      </c>
      <c r="K103" s="50" t="inlineStr">
        <is>
          <t>40/h</t>
        </is>
      </c>
      <c r="L103" s="51" t="n">
        <v>10560</v>
      </c>
      <c r="M103" s="50" t="inlineStr">
        <is>
          <t>264h × 40/h = 10,560（大环境箱单价）</t>
        </is>
      </c>
      <c r="N103" s="50" t="n"/>
    </row>
    <row r="104" ht="20" customHeight="1" s="4">
      <c r="A104" s="50" t="inlineStr">
        <is>
          <t>Group A</t>
        </is>
      </c>
      <c r="B104" s="50" t="n">
        <v>16</v>
      </c>
      <c r="C104" s="50" t="inlineStr">
        <is>
          <t>PV</t>
        </is>
      </c>
      <c r="D104" s="50" t="inlineStr">
        <is>
          <t>Group A Sequence Tests</t>
        </is>
      </c>
      <c r="E104" s="50" t="inlineStr">
        <is>
          <t>K10</t>
        </is>
      </c>
      <c r="F104" s="50" t="inlineStr">
        <is>
          <t>K10 Water/Fluid Ingress Test</t>
        </is>
      </c>
      <c r="G104" s="50" t="inlineStr">
        <is>
          <t>1-12</t>
        </is>
      </c>
      <c r="H104" s="50" t="inlineStr">
        <is>
          <t>12 个样品</t>
        </is>
      </c>
      <c r="I104" s="50" t="inlineStr">
        <is>
          <t>72 h</t>
        </is>
      </c>
      <c r="J104" s="50" t="inlineStr">
        <is>
          <t>按样品数量</t>
        </is>
      </c>
      <c r="K104" s="50" t="inlineStr">
        <is>
          <t>500/个</t>
        </is>
      </c>
      <c r="L104" s="51" t="n">
        <v>6000</v>
      </c>
      <c r="M104" s="50" t="inlineStr">
        <is>
          <t>12个 × 500/个 = 6,000</t>
        </is>
      </c>
      <c r="N104" s="50" t="n"/>
    </row>
    <row r="105" ht="20" customHeight="1" s="4">
      <c r="A105" s="50" t="inlineStr">
        <is>
          <t>Group A</t>
        </is>
      </c>
      <c r="B105" s="50" t="n">
        <v>17</v>
      </c>
      <c r="C105" s="50" t="inlineStr">
        <is>
          <t>PV</t>
        </is>
      </c>
      <c r="D105" s="50" t="inlineStr">
        <is>
          <t>Group A Sequence Tests</t>
        </is>
      </c>
      <c r="E105" s="50" t="inlineStr">
        <is>
          <t>K13</t>
        </is>
      </c>
      <c r="F105" s="50" t="inlineStr">
        <is>
          <t>K13 Dust Ingress</t>
        </is>
      </c>
      <c r="G105" s="50" t="inlineStr">
        <is>
          <t>1-12</t>
        </is>
      </c>
      <c r="H105" s="50" t="inlineStr">
        <is>
          <t>4 批</t>
        </is>
      </c>
      <c r="I105" s="50" t="inlineStr">
        <is>
          <t>120 h</t>
        </is>
      </c>
      <c r="J105" s="50" t="inlineStr">
        <is>
          <t>按批次</t>
        </is>
      </c>
      <c r="K105" s="50" t="inlineStr">
        <is>
          <t>1,800/批</t>
        </is>
      </c>
      <c r="L105" s="51" t="n">
        <v>7200</v>
      </c>
      <c r="M105" s="50" t="inlineStr">
        <is>
          <t>4批 × 1,800/批 = 7,200</t>
        </is>
      </c>
      <c r="N105" s="50" t="n"/>
    </row>
    <row r="106" ht="20" customHeight="1" s="4">
      <c r="A106" s="50" t="inlineStr">
        <is>
          <t>Group A</t>
        </is>
      </c>
      <c r="B106" s="50" t="n">
        <v>19</v>
      </c>
      <c r="C106" s="50" t="inlineStr">
        <is>
          <t>PV</t>
        </is>
      </c>
      <c r="D106" s="50" t="inlineStr">
        <is>
          <t>Group A Sequence Tests</t>
        </is>
      </c>
      <c r="E106" s="50" t="inlineStr">
        <is>
          <t>L1&amp;L4</t>
        </is>
      </c>
      <c r="F106" s="50" t="inlineStr">
        <is>
          <t>L1&amp;L4 Performance Evaluation &amp; Functional Evaluation</t>
        </is>
      </c>
      <c r="G106" s="50" t="inlineStr">
        <is>
          <t>1-14</t>
        </is>
      </c>
      <c r="H106" s="50" t="inlineStr">
        <is>
          <t>14 个样品</t>
        </is>
      </c>
      <c r="I106" s="50" t="inlineStr">
        <is>
          <t>72 h</t>
        </is>
      </c>
      <c r="J106" s="50" t="inlineStr">
        <is>
          <t>按样品数量</t>
        </is>
      </c>
      <c r="K106" s="50" t="inlineStr">
        <is>
          <t>400/个</t>
        </is>
      </c>
      <c r="L106" s="51" t="n">
        <v>5600</v>
      </c>
      <c r="M106" s="50" t="inlineStr">
        <is>
          <t>14个 × 400/个 = 5,600</t>
        </is>
      </c>
      <c r="N106" s="50" t="n"/>
    </row>
    <row r="107" ht="24" customHeight="1" s="4">
      <c r="A107" s="54" t="inlineStr">
        <is>
          <t>Group B：PV / Group B Sequence Tests</t>
        </is>
      </c>
    </row>
    <row r="108" ht="24" customHeight="1" s="4">
      <c r="A108" s="56" t="inlineStr">
        <is>
          <t>组别顺序</t>
        </is>
      </c>
      <c r="B108" s="56" t="inlineStr">
        <is>
          <t>组内顺序</t>
        </is>
      </c>
      <c r="C108" s="56" t="inlineStr">
        <is>
          <t>Phase</t>
        </is>
      </c>
      <c r="D108" s="56" t="inlineStr">
        <is>
          <t>Group</t>
        </is>
      </c>
      <c r="E108" s="56" t="inlineStr">
        <is>
          <t>测试编号</t>
        </is>
      </c>
      <c r="F108" s="56" t="inlineStr">
        <is>
          <t>测试项目</t>
        </is>
      </c>
      <c r="G108" s="56" t="inlineStr">
        <is>
          <t>样品范围</t>
        </is>
      </c>
      <c r="H108" s="56" t="inlineStr">
        <is>
          <t>计费基数</t>
        </is>
      </c>
      <c r="I108" s="56" t="inlineStr">
        <is>
          <t>测试时间</t>
        </is>
      </c>
      <c r="J108" s="56" t="inlineStr">
        <is>
          <t>计费方式</t>
        </is>
      </c>
      <c r="K108" s="56" t="inlineStr">
        <is>
          <t>单价</t>
        </is>
      </c>
      <c r="L108" s="57" t="inlineStr">
        <is>
          <t>委外费用</t>
        </is>
      </c>
      <c r="M108" s="56" t="inlineStr">
        <is>
          <t>费用计算公式</t>
        </is>
      </c>
      <c r="N108" s="56" t="inlineStr">
        <is>
          <t>备注</t>
        </is>
      </c>
    </row>
    <row r="109" ht="20" customHeight="1" s="4">
      <c r="A109" s="50" t="inlineStr">
        <is>
          <t>Group B</t>
        </is>
      </c>
      <c r="B109" s="50" t="n">
        <v>2</v>
      </c>
      <c r="C109" s="50" t="inlineStr">
        <is>
          <t>PV</t>
        </is>
      </c>
      <c r="D109" s="50" t="inlineStr">
        <is>
          <t>Group B Sequence Tests</t>
        </is>
      </c>
      <c r="E109" s="50" t="inlineStr">
        <is>
          <t>L1&amp;L4</t>
        </is>
      </c>
      <c r="F109" s="50" t="inlineStr">
        <is>
          <t>L1&amp;L4 Performance Evaluation &amp; Functional Evaluation</t>
        </is>
      </c>
      <c r="G109" s="50" t="inlineStr">
        <is>
          <t>15-26</t>
        </is>
      </c>
      <c r="H109" s="50" t="inlineStr">
        <is>
          <t>12 个样品</t>
        </is>
      </c>
      <c r="I109" s="50" t="inlineStr">
        <is>
          <t>72 h</t>
        </is>
      </c>
      <c r="J109" s="50" t="inlineStr">
        <is>
          <t>按样品数量</t>
        </is>
      </c>
      <c r="K109" s="50" t="inlineStr">
        <is>
          <t>400/个</t>
        </is>
      </c>
      <c r="L109" s="51" t="n">
        <v>4800</v>
      </c>
      <c r="M109" s="50" t="inlineStr">
        <is>
          <t>12个 × 400/个 = 4,800</t>
        </is>
      </c>
      <c r="N109" s="50" t="n"/>
    </row>
    <row r="110" ht="20" customHeight="1" s="4">
      <c r="A110" s="50" t="inlineStr">
        <is>
          <t>Group B</t>
        </is>
      </c>
      <c r="B110" s="50" t="n">
        <v>3</v>
      </c>
      <c r="C110" s="50" t="inlineStr">
        <is>
          <t>PV</t>
        </is>
      </c>
      <c r="D110" s="50" t="inlineStr">
        <is>
          <t>Group B Sequence Tests</t>
        </is>
      </c>
      <c r="E110" s="50" t="inlineStr">
        <is>
          <t>K22</t>
        </is>
      </c>
      <c r="F110" s="50" t="inlineStr">
        <is>
          <t>K22 Chemical Resistance</t>
        </is>
      </c>
      <c r="G110" s="50" t="inlineStr">
        <is>
          <t>15-26</t>
        </is>
      </c>
      <c r="H110" s="50" t="inlineStr">
        <is>
          <t>72 h</t>
        </is>
      </c>
      <c r="I110" s="50" t="inlineStr">
        <is>
          <t>72 h</t>
        </is>
      </c>
      <c r="J110" s="50" t="inlineStr">
        <is>
          <t>按小时</t>
        </is>
      </c>
      <c r="K110" s="50" t="inlineStr">
        <is>
          <t>组合总价（见费用规则）</t>
        </is>
      </c>
      <c r="L110" s="51" t="n">
        <v>6660</v>
      </c>
      <c r="M110" s="50" t="inlineStr">
        <is>
          <t>特殊组合计费，按规则表总价 = 6,660</t>
        </is>
      </c>
      <c r="N110" s="50" t="inlineStr">
        <is>
          <t>K22 Chemical Resistance 按 MLA 条件 1 的 15 种试剂；试剂数量 × 各实验室试剂单价 + 测试时间 × 时间单价 计算</t>
        </is>
      </c>
    </row>
    <row r="111" ht="20" customHeight="1" s="4">
      <c r="A111" s="50" t="inlineStr">
        <is>
          <t>Group B</t>
        </is>
      </c>
      <c r="B111" s="50" t="n">
        <v>4</v>
      </c>
      <c r="C111" s="50" t="inlineStr">
        <is>
          <t>PV</t>
        </is>
      </c>
      <c r="D111" s="50" t="inlineStr">
        <is>
          <t>Group B Sequence Tests</t>
        </is>
      </c>
      <c r="E111" s="50" t="inlineStr">
        <is>
          <t>K18</t>
        </is>
      </c>
      <c r="F111" s="50" t="inlineStr">
        <is>
          <t>K18 Connector and lead/lock strength</t>
        </is>
      </c>
      <c r="G111" s="50" t="inlineStr">
        <is>
          <t>15-26</t>
        </is>
      </c>
      <c r="H111" s="50" t="inlineStr">
        <is>
          <t>12 个样品</t>
        </is>
      </c>
      <c r="I111" s="50" t="inlineStr">
        <is>
          <t>168 h</t>
        </is>
      </c>
      <c r="J111" s="50" t="inlineStr">
        <is>
          <t>按样品数量</t>
        </is>
      </c>
      <c r="K111" s="50" t="inlineStr">
        <is>
          <t>组合总价（见费用规则）</t>
        </is>
      </c>
      <c r="L111" s="51" t="n">
        <v>9500</v>
      </c>
      <c r="M111" s="50" t="inlineStr">
        <is>
          <t>特殊组合计费，按规则表总价 = 9,500</t>
        </is>
      </c>
      <c r="N111" s="50" t="inlineStr">
        <is>
          <t>K18.1-K18.4 四项 × 12 台样机 × 单价 + K18.1 微应力费用</t>
        </is>
      </c>
    </row>
    <row r="112" ht="20" customHeight="1" s="4">
      <c r="A112" s="50" t="inlineStr">
        <is>
          <t>Group B</t>
        </is>
      </c>
      <c r="B112" s="50" t="n">
        <v>5</v>
      </c>
      <c r="C112" s="50" t="inlineStr">
        <is>
          <t>PV</t>
        </is>
      </c>
      <c r="D112" s="50" t="inlineStr">
        <is>
          <t>Group B Sequence Tests</t>
        </is>
      </c>
      <c r="E112" s="50" t="inlineStr">
        <is>
          <t>L1&amp;L4</t>
        </is>
      </c>
      <c r="F112" s="50" t="inlineStr">
        <is>
          <t>L1&amp;L4 Performance Evaluation &amp; Functional Evaluation</t>
        </is>
      </c>
      <c r="G112" s="50" t="inlineStr">
        <is>
          <t>15-26</t>
        </is>
      </c>
      <c r="H112" s="50" t="inlineStr">
        <is>
          <t>12 个样品</t>
        </is>
      </c>
      <c r="I112" s="50" t="inlineStr">
        <is>
          <t>72 h</t>
        </is>
      </c>
      <c r="J112" s="50" t="inlineStr">
        <is>
          <t>按样品数量</t>
        </is>
      </c>
      <c r="K112" s="50" t="inlineStr">
        <is>
          <t>400/个</t>
        </is>
      </c>
      <c r="L112" s="51" t="n">
        <v>4800</v>
      </c>
      <c r="M112" s="50" t="inlineStr">
        <is>
          <t>12个 × 400/个 = 4,800</t>
        </is>
      </c>
      <c r="N112" s="50" t="n"/>
    </row>
    <row r="113" ht="24" customHeight="1" s="4">
      <c r="A113" s="54" t="inlineStr">
        <is>
          <t>Group C：PV / Group C Sequence Tests</t>
        </is>
      </c>
    </row>
    <row r="114" ht="24" customHeight="1" s="4">
      <c r="A114" s="56" t="inlineStr">
        <is>
          <t>组别顺序</t>
        </is>
      </c>
      <c r="B114" s="56" t="inlineStr">
        <is>
          <t>组内顺序</t>
        </is>
      </c>
      <c r="C114" s="56" t="inlineStr">
        <is>
          <t>Phase</t>
        </is>
      </c>
      <c r="D114" s="56" t="inlineStr">
        <is>
          <t>Group</t>
        </is>
      </c>
      <c r="E114" s="56" t="inlineStr">
        <is>
          <t>测试编号</t>
        </is>
      </c>
      <c r="F114" s="56" t="inlineStr">
        <is>
          <t>测试项目</t>
        </is>
      </c>
      <c r="G114" s="56" t="inlineStr">
        <is>
          <t>样品范围</t>
        </is>
      </c>
      <c r="H114" s="56" t="inlineStr">
        <is>
          <t>计费基数</t>
        </is>
      </c>
      <c r="I114" s="56" t="inlineStr">
        <is>
          <t>测试时间</t>
        </is>
      </c>
      <c r="J114" s="56" t="inlineStr">
        <is>
          <t>计费方式</t>
        </is>
      </c>
      <c r="K114" s="56" t="inlineStr">
        <is>
          <t>单价</t>
        </is>
      </c>
      <c r="L114" s="57" t="inlineStr">
        <is>
          <t>委外费用</t>
        </is>
      </c>
      <c r="M114" s="56" t="inlineStr">
        <is>
          <t>费用计算公式</t>
        </is>
      </c>
      <c r="N114" s="56" t="inlineStr">
        <is>
          <t>备注</t>
        </is>
      </c>
    </row>
    <row r="115" ht="20" customHeight="1" s="4">
      <c r="A115" s="50" t="inlineStr">
        <is>
          <t>Group C</t>
        </is>
      </c>
      <c r="B115" s="50" t="n">
        <v>2</v>
      </c>
      <c r="C115" s="50" t="inlineStr">
        <is>
          <t>PV</t>
        </is>
      </c>
      <c r="D115" s="50" t="inlineStr">
        <is>
          <t>Group C Sequence Tests</t>
        </is>
      </c>
      <c r="E115" s="50" t="inlineStr">
        <is>
          <t>L1&amp;L4</t>
        </is>
      </c>
      <c r="F115" s="50" t="inlineStr">
        <is>
          <t>L1&amp;L4 Performance Evaluation &amp; Functional Evaluation</t>
        </is>
      </c>
      <c r="G115" s="50" t="inlineStr">
        <is>
          <t>27-32</t>
        </is>
      </c>
      <c r="H115" s="50" t="inlineStr">
        <is>
          <t>6 个样品</t>
        </is>
      </c>
      <c r="I115" s="50" t="inlineStr">
        <is>
          <t>72 h</t>
        </is>
      </c>
      <c r="J115" s="50" t="inlineStr">
        <is>
          <t>按样品数量</t>
        </is>
      </c>
      <c r="K115" s="50" t="inlineStr">
        <is>
          <t>400/个</t>
        </is>
      </c>
      <c r="L115" s="51" t="n">
        <v>2400</v>
      </c>
      <c r="M115" s="50" t="inlineStr">
        <is>
          <t>6个 × 400/个 = 2,400</t>
        </is>
      </c>
      <c r="N115" s="50" t="n"/>
    </row>
    <row r="116" ht="20" customHeight="1" s="4">
      <c r="A116" s="50" t="inlineStr">
        <is>
          <t>Group C</t>
        </is>
      </c>
      <c r="B116" s="50" t="n">
        <v>3</v>
      </c>
      <c r="C116" s="50" t="inlineStr">
        <is>
          <t>PV</t>
        </is>
      </c>
      <c r="D116" s="50" t="inlineStr">
        <is>
          <t>Group C Sequence Tests</t>
        </is>
      </c>
      <c r="E116" s="50" t="inlineStr">
        <is>
          <t>K7</t>
        </is>
      </c>
      <c r="F116" s="50" t="inlineStr">
        <is>
          <t>K7 Thermal Shock in Air</t>
        </is>
      </c>
      <c r="G116" s="50" t="inlineStr">
        <is>
          <t>27-32</t>
        </is>
      </c>
      <c r="H116" s="50" t="inlineStr">
        <is>
          <t>105 h</t>
        </is>
      </c>
      <c r="I116" s="50" t="inlineStr">
        <is>
          <t>105 h</t>
        </is>
      </c>
      <c r="J116" s="50" t="inlineStr">
        <is>
          <t>按小时</t>
        </is>
      </c>
      <c r="K116" s="50" t="inlineStr">
        <is>
          <t>100/h</t>
        </is>
      </c>
      <c r="L116" s="51" t="n">
        <v>10500</v>
      </c>
      <c r="M116" s="50" t="inlineStr">
        <is>
          <t>105h × 100/h = 10,500</t>
        </is>
      </c>
      <c r="N116" s="50" t="n"/>
    </row>
    <row r="117" ht="20" customHeight="1" s="4">
      <c r="A117" s="50" t="inlineStr">
        <is>
          <t>Group C</t>
        </is>
      </c>
      <c r="B117" s="50" t="n">
        <v>4</v>
      </c>
      <c r="C117" s="50" t="inlineStr">
        <is>
          <t>PV</t>
        </is>
      </c>
      <c r="D117" s="50" t="inlineStr">
        <is>
          <t>Group C Sequence Tests</t>
        </is>
      </c>
      <c r="E117" s="50" t="inlineStr">
        <is>
          <t>Particle</t>
        </is>
      </c>
      <c r="F117" s="50" t="inlineStr">
        <is>
          <t>Particle Exposure</t>
        </is>
      </c>
      <c r="G117" s="50" t="inlineStr">
        <is>
          <t>27-32</t>
        </is>
      </c>
      <c r="H117" s="50" t="n"/>
      <c r="I117" s="50" t="inlineStr">
        <is>
          <t>48 h</t>
        </is>
      </c>
      <c r="J117" s="50" t="inlineStr">
        <is>
          <t>按批次</t>
        </is>
      </c>
      <c r="K117" s="50" t="inlineStr">
        <is>
          <t>6,500/批</t>
        </is>
      </c>
      <c r="L117" s="51" t="n">
        <v>13000</v>
      </c>
      <c r="M117" s="50" t="inlineStr">
        <is>
          <t>A组已计入粉尘费/清洁费，当前仅计批次费：2批 × 6,500/批 = 13,000</t>
        </is>
      </c>
      <c r="N117" s="50" t="inlineStr">
        <is>
          <t>Particle Exposure：A组已覆盖粉尘/清洁，当前只计新增批次费</t>
        </is>
      </c>
    </row>
    <row r="118" ht="20" customHeight="1" s="4">
      <c r="A118" s="50" t="inlineStr">
        <is>
          <t>Group C</t>
        </is>
      </c>
      <c r="B118" s="50" t="n">
        <v>5</v>
      </c>
      <c r="C118" s="50" t="inlineStr">
        <is>
          <t>PV</t>
        </is>
      </c>
      <c r="D118" s="50" t="inlineStr">
        <is>
          <t>Group C Sequence Tests</t>
        </is>
      </c>
      <c r="E118" s="50" t="inlineStr">
        <is>
          <t>K15</t>
        </is>
      </c>
      <c r="F118" s="50" t="inlineStr">
        <is>
          <t>K15 Vibartion</t>
        </is>
      </c>
      <c r="G118" s="50" t="inlineStr">
        <is>
          <t>27-32</t>
        </is>
      </c>
      <c r="H118" s="50" t="inlineStr">
        <is>
          <t>24 h</t>
        </is>
      </c>
      <c r="I118" s="50" t="inlineStr">
        <is>
          <t>24 h</t>
        </is>
      </c>
      <c r="J118" s="50" t="inlineStr">
        <is>
          <t>按小时</t>
        </is>
      </c>
      <c r="K118" s="50" t="inlineStr">
        <is>
          <t>600/h</t>
        </is>
      </c>
      <c r="L118" s="51" t="n">
        <v>14400</v>
      </c>
      <c r="M118" s="50" t="inlineStr">
        <is>
          <t>24h × 600/h = 14,400</t>
        </is>
      </c>
      <c r="N118" s="50" t="n"/>
    </row>
    <row r="119" ht="20" customHeight="1" s="4">
      <c r="A119" s="50" t="inlineStr">
        <is>
          <t>Group C</t>
        </is>
      </c>
      <c r="B119" s="50" t="n">
        <v>6</v>
      </c>
      <c r="C119" s="50" t="inlineStr">
        <is>
          <t>PV</t>
        </is>
      </c>
      <c r="D119" s="50" t="inlineStr">
        <is>
          <t>Group C Sequence Tests</t>
        </is>
      </c>
      <c r="E119" s="50" t="inlineStr">
        <is>
          <t>K13</t>
        </is>
      </c>
      <c r="F119" s="50" t="inlineStr">
        <is>
          <t>K13 Dust Ingress</t>
        </is>
      </c>
      <c r="G119" s="50" t="inlineStr">
        <is>
          <t>27-32</t>
        </is>
      </c>
      <c r="H119" s="50" t="inlineStr">
        <is>
          <t>2 批</t>
        </is>
      </c>
      <c r="I119" s="50" t="inlineStr">
        <is>
          <t>48 h</t>
        </is>
      </c>
      <c r="J119" s="50" t="inlineStr">
        <is>
          <t>按批次</t>
        </is>
      </c>
      <c r="K119" s="50" t="inlineStr">
        <is>
          <t>1,800/批</t>
        </is>
      </c>
      <c r="L119" s="51" t="n">
        <v>3600</v>
      </c>
      <c r="M119" s="50" t="inlineStr">
        <is>
          <t>2批 × 1,800/批 = 3,600</t>
        </is>
      </c>
      <c r="N119" s="50" t="n"/>
    </row>
    <row r="120" ht="20" customHeight="1" s="4">
      <c r="A120" s="50" t="inlineStr">
        <is>
          <t>Group C</t>
        </is>
      </c>
      <c r="B120" s="50" t="n">
        <v>8</v>
      </c>
      <c r="C120" s="50" t="inlineStr">
        <is>
          <t>PV</t>
        </is>
      </c>
      <c r="D120" s="50" t="inlineStr">
        <is>
          <t>Group C Sequence Tests</t>
        </is>
      </c>
      <c r="E120" s="50" t="inlineStr">
        <is>
          <t>K26</t>
        </is>
      </c>
      <c r="F120" s="50" t="inlineStr">
        <is>
          <t>K26 Mechanical Wear-Out</t>
        </is>
      </c>
      <c r="G120" s="50" t="inlineStr">
        <is>
          <t>27-32</t>
        </is>
      </c>
      <c r="H120" s="50" t="inlineStr">
        <is>
          <t>500 h</t>
        </is>
      </c>
      <c r="I120" s="50" t="inlineStr">
        <is>
          <t>500 h</t>
        </is>
      </c>
      <c r="J120" s="50" t="inlineStr">
        <is>
          <t>按小时</t>
        </is>
      </c>
      <c r="K120" s="50" t="inlineStr">
        <is>
          <t>组合总价（见费用规则）</t>
        </is>
      </c>
      <c r="L120" s="51" t="n">
        <v>11660</v>
      </c>
      <c r="M120" s="50" t="inlineStr">
        <is>
          <t>特殊组合计费，按规则表总价 = 11,660</t>
        </is>
      </c>
      <c r="N120" s="50" t="inlineStr">
        <is>
          <t>K26 Mechanical Wear-Out 按 334h 常温 + 83h 低温 + 83h 高温分别计费，采用当前实验室总价</t>
        </is>
      </c>
    </row>
    <row r="121" ht="20" customHeight="1" s="4">
      <c r="A121" s="50" t="inlineStr">
        <is>
          <t>Group C</t>
        </is>
      </c>
      <c r="B121" s="50" t="n">
        <v>9</v>
      </c>
      <c r="C121" s="50" t="inlineStr">
        <is>
          <t>PV</t>
        </is>
      </c>
      <c r="D121" s="50" t="inlineStr">
        <is>
          <t>Group C Sequence Tests</t>
        </is>
      </c>
      <c r="E121" s="50" t="inlineStr">
        <is>
          <t>L1&amp;L4</t>
        </is>
      </c>
      <c r="F121" s="50" t="inlineStr">
        <is>
          <t>L1&amp;L4 Performance Evaluation &amp; Functional Evaluation</t>
        </is>
      </c>
      <c r="G121" s="50" t="inlineStr">
        <is>
          <t>27-32</t>
        </is>
      </c>
      <c r="H121" s="50" t="inlineStr">
        <is>
          <t>6 个样品</t>
        </is>
      </c>
      <c r="I121" s="50" t="inlineStr">
        <is>
          <t>48 h</t>
        </is>
      </c>
      <c r="J121" s="50" t="inlineStr">
        <is>
          <t>按样品数量</t>
        </is>
      </c>
      <c r="K121" s="50" t="inlineStr">
        <is>
          <t>400/个</t>
        </is>
      </c>
      <c r="L121" s="51" t="n">
        <v>2400</v>
      </c>
      <c r="M121" s="50" t="inlineStr">
        <is>
          <t>6个 × 400/个 = 2,400</t>
        </is>
      </c>
      <c r="N121" s="50" t="n"/>
    </row>
    <row r="122" ht="24" customHeight="1" s="4">
      <c r="A122" s="54" t="inlineStr">
        <is>
          <t>Group D-1：PV / Group D Parallel Tests / D-1 Corrosive Gases</t>
        </is>
      </c>
    </row>
    <row r="123" ht="24" customHeight="1" s="4">
      <c r="A123" s="56" t="inlineStr">
        <is>
          <t>组别顺序</t>
        </is>
      </c>
      <c r="B123" s="56" t="inlineStr">
        <is>
          <t>组内顺序</t>
        </is>
      </c>
      <c r="C123" s="56" t="inlineStr">
        <is>
          <t>Phase</t>
        </is>
      </c>
      <c r="D123" s="56" t="inlineStr">
        <is>
          <t>Group</t>
        </is>
      </c>
      <c r="E123" s="56" t="inlineStr">
        <is>
          <t>测试编号</t>
        </is>
      </c>
      <c r="F123" s="56" t="inlineStr">
        <is>
          <t>测试项目</t>
        </is>
      </c>
      <c r="G123" s="56" t="inlineStr">
        <is>
          <t>样品范围</t>
        </is>
      </c>
      <c r="H123" s="56" t="inlineStr">
        <is>
          <t>计费基数</t>
        </is>
      </c>
      <c r="I123" s="56" t="inlineStr">
        <is>
          <t>测试时间</t>
        </is>
      </c>
      <c r="J123" s="56" t="inlineStr">
        <is>
          <t>计费方式</t>
        </is>
      </c>
      <c r="K123" s="56" t="inlineStr">
        <is>
          <t>单价</t>
        </is>
      </c>
      <c r="L123" s="57" t="inlineStr">
        <is>
          <t>委外费用</t>
        </is>
      </c>
      <c r="M123" s="56" t="inlineStr">
        <is>
          <t>费用计算公式</t>
        </is>
      </c>
      <c r="N123" s="56" t="inlineStr">
        <is>
          <t>备注</t>
        </is>
      </c>
    </row>
    <row r="124" ht="20" customHeight="1" s="4">
      <c r="A124" s="50" t="inlineStr">
        <is>
          <t>Group D-1</t>
        </is>
      </c>
      <c r="B124" s="50" t="n">
        <v>2</v>
      </c>
      <c r="C124" s="50" t="inlineStr">
        <is>
          <t>PV</t>
        </is>
      </c>
      <c r="D124" s="50" t="inlineStr">
        <is>
          <t>Group D Parallel Tests / D-1 Corrosive Gases</t>
        </is>
      </c>
      <c r="E124" s="50" t="inlineStr">
        <is>
          <t>L1&amp;L4</t>
        </is>
      </c>
      <c r="F124" s="50" t="inlineStr">
        <is>
          <t>L1&amp;L4 Performance Evaluation &amp; Functional Evaluation</t>
        </is>
      </c>
      <c r="G124" s="50" t="inlineStr">
        <is>
          <t>33-38</t>
        </is>
      </c>
      <c r="H124" s="50" t="inlineStr">
        <is>
          <t>6 个样品</t>
        </is>
      </c>
      <c r="I124" s="50" t="inlineStr">
        <is>
          <t>72 h</t>
        </is>
      </c>
      <c r="J124" s="50" t="inlineStr">
        <is>
          <t>按样品数量</t>
        </is>
      </c>
      <c r="K124" s="50" t="inlineStr">
        <is>
          <t>400/个</t>
        </is>
      </c>
      <c r="L124" s="51" t="n">
        <v>2400</v>
      </c>
      <c r="M124" s="50" t="inlineStr">
        <is>
          <t>6个 × 400/个 = 2,400</t>
        </is>
      </c>
      <c r="N124" s="50" t="n"/>
    </row>
    <row r="125" ht="20" customHeight="1" s="4">
      <c r="A125" s="50" t="inlineStr">
        <is>
          <t>Group D-1</t>
        </is>
      </c>
      <c r="B125" s="50" t="n">
        <v>3</v>
      </c>
      <c r="C125" s="50" t="inlineStr">
        <is>
          <t>PV</t>
        </is>
      </c>
      <c r="D125" s="50" t="inlineStr">
        <is>
          <t>Group D Parallel Tests / D-1 Corrosive Gases</t>
        </is>
      </c>
      <c r="E125" s="50" t="inlineStr">
        <is>
          <t>K21</t>
        </is>
      </c>
      <c r="F125" s="50" t="inlineStr">
        <is>
          <t>K21 Corrosive Gases</t>
        </is>
      </c>
      <c r="G125" s="50" t="inlineStr">
        <is>
          <t>33-38</t>
        </is>
      </c>
      <c r="H125" s="50" t="inlineStr">
        <is>
          <t>336 h</t>
        </is>
      </c>
      <c r="I125" s="50" t="inlineStr">
        <is>
          <t>336 h</t>
        </is>
      </c>
      <c r="J125" s="50" t="inlineStr">
        <is>
          <t>按小时</t>
        </is>
      </c>
      <c r="K125" s="50" t="inlineStr">
        <is>
          <t>150/h</t>
        </is>
      </c>
      <c r="L125" s="51" t="n">
        <v>50400</v>
      </c>
      <c r="M125" s="50" t="inlineStr">
        <is>
          <t>336h × 150/h = 50,400</t>
        </is>
      </c>
      <c r="N125" s="50" t="n"/>
    </row>
    <row r="126" ht="20" customHeight="1" s="4">
      <c r="A126" s="50" t="inlineStr">
        <is>
          <t>Group D-1</t>
        </is>
      </c>
      <c r="B126" s="50" t="n">
        <v>4</v>
      </c>
      <c r="C126" s="50" t="inlineStr">
        <is>
          <t>PV</t>
        </is>
      </c>
      <c r="D126" s="50" t="inlineStr">
        <is>
          <t>Group D Parallel Tests / D-1 Corrosive Gases</t>
        </is>
      </c>
      <c r="E126" s="50" t="inlineStr">
        <is>
          <t>L1&amp;L4</t>
        </is>
      </c>
      <c r="F126" s="50" t="inlineStr">
        <is>
          <t>L1&amp;L4 Performance Evaluation &amp; Functional Evaluation</t>
        </is>
      </c>
      <c r="G126" s="50" t="inlineStr">
        <is>
          <t>33-38</t>
        </is>
      </c>
      <c r="H126" s="50" t="inlineStr">
        <is>
          <t>6 个样品</t>
        </is>
      </c>
      <c r="I126" s="50" t="inlineStr">
        <is>
          <t>48 h</t>
        </is>
      </c>
      <c r="J126" s="50" t="inlineStr">
        <is>
          <t>按样品数量</t>
        </is>
      </c>
      <c r="K126" s="50" t="inlineStr">
        <is>
          <t>400/个</t>
        </is>
      </c>
      <c r="L126" s="51" t="n">
        <v>2400</v>
      </c>
      <c r="M126" s="50" t="inlineStr">
        <is>
          <t>6个 × 400/个 = 2,400</t>
        </is>
      </c>
      <c r="N126" s="50" t="n"/>
    </row>
    <row r="127" ht="24" customHeight="1" s="4">
      <c r="A127" s="54" t="inlineStr">
        <is>
          <t>Group D-2：PV / Group D Parallel Tests / D-2 Solar Radiation</t>
        </is>
      </c>
    </row>
    <row r="128" ht="24" customHeight="1" s="4">
      <c r="A128" s="56" t="inlineStr">
        <is>
          <t>组别顺序</t>
        </is>
      </c>
      <c r="B128" s="56" t="inlineStr">
        <is>
          <t>组内顺序</t>
        </is>
      </c>
      <c r="C128" s="56" t="inlineStr">
        <is>
          <t>Phase</t>
        </is>
      </c>
      <c r="D128" s="56" t="inlineStr">
        <is>
          <t>Group</t>
        </is>
      </c>
      <c r="E128" s="56" t="inlineStr">
        <is>
          <t>测试编号</t>
        </is>
      </c>
      <c r="F128" s="56" t="inlineStr">
        <is>
          <t>测试项目</t>
        </is>
      </c>
      <c r="G128" s="56" t="inlineStr">
        <is>
          <t>样品范围</t>
        </is>
      </c>
      <c r="H128" s="56" t="inlineStr">
        <is>
          <t>计费基数</t>
        </is>
      </c>
      <c r="I128" s="56" t="inlineStr">
        <is>
          <t>测试时间</t>
        </is>
      </c>
      <c r="J128" s="56" t="inlineStr">
        <is>
          <t>计费方式</t>
        </is>
      </c>
      <c r="K128" s="56" t="inlineStr">
        <is>
          <t>单价</t>
        </is>
      </c>
      <c r="L128" s="57" t="inlineStr">
        <is>
          <t>委外费用</t>
        </is>
      </c>
      <c r="M128" s="56" t="inlineStr">
        <is>
          <t>费用计算公式</t>
        </is>
      </c>
      <c r="N128" s="56" t="inlineStr">
        <is>
          <t>备注</t>
        </is>
      </c>
    </row>
    <row r="129" ht="20" customHeight="1" s="4">
      <c r="A129" s="50" t="inlineStr">
        <is>
          <t>Group D-2</t>
        </is>
      </c>
      <c r="B129" s="50" t="n">
        <v>2</v>
      </c>
      <c r="C129" s="50" t="inlineStr">
        <is>
          <t>PV</t>
        </is>
      </c>
      <c r="D129" s="50" t="inlineStr">
        <is>
          <t>Group D Parallel Tests / D-2 Solar Radiation</t>
        </is>
      </c>
      <c r="E129" s="50" t="inlineStr">
        <is>
          <t>L1&amp;L4</t>
        </is>
      </c>
      <c r="F129" s="50" t="inlineStr">
        <is>
          <t>L1&amp;L4 Performance Evaluation &amp; Functional Evaluation</t>
        </is>
      </c>
      <c r="G129" s="50" t="inlineStr">
        <is>
          <t>39-44</t>
        </is>
      </c>
      <c r="H129" s="50" t="inlineStr">
        <is>
          <t>6 个样品</t>
        </is>
      </c>
      <c r="I129" s="50" t="inlineStr">
        <is>
          <t>72 h</t>
        </is>
      </c>
      <c r="J129" s="50" t="inlineStr">
        <is>
          <t>按样品数量</t>
        </is>
      </c>
      <c r="K129" s="50" t="inlineStr">
        <is>
          <t>400/个</t>
        </is>
      </c>
      <c r="L129" s="51" t="n">
        <v>2400</v>
      </c>
      <c r="M129" s="50" t="inlineStr">
        <is>
          <t>6个 × 400/个 = 2,400</t>
        </is>
      </c>
      <c r="N129" s="50" t="n"/>
    </row>
    <row r="130" ht="20" customHeight="1" s="4">
      <c r="A130" s="50" t="inlineStr">
        <is>
          <t>Group D-2</t>
        </is>
      </c>
      <c r="B130" s="50" t="n">
        <v>3</v>
      </c>
      <c r="C130" s="50" t="inlineStr">
        <is>
          <t>PV</t>
        </is>
      </c>
      <c r="D130" s="50" t="inlineStr">
        <is>
          <t>Group D Parallel Tests / D-2 Solar Radiation</t>
        </is>
      </c>
      <c r="E130" s="50" t="inlineStr">
        <is>
          <t>K20</t>
        </is>
      </c>
      <c r="F130" s="50" t="inlineStr">
        <is>
          <t>K20 Solar Radiation</t>
        </is>
      </c>
      <c r="G130" s="50" t="inlineStr">
        <is>
          <t>39-44</t>
        </is>
      </c>
      <c r="H130" s="50" t="inlineStr">
        <is>
          <t>720 h</t>
        </is>
      </c>
      <c r="I130" s="50" t="inlineStr">
        <is>
          <t>720 h</t>
        </is>
      </c>
      <c r="J130" s="50" t="inlineStr">
        <is>
          <t>按小时</t>
        </is>
      </c>
      <c r="K130" s="50" t="inlineStr">
        <is>
          <t>80/h</t>
        </is>
      </c>
      <c r="L130" s="51" t="n">
        <v>57600</v>
      </c>
      <c r="M130" s="50" t="inlineStr">
        <is>
          <t>720h × 80/h = 57,600</t>
        </is>
      </c>
      <c r="N130" s="50" t="n"/>
    </row>
    <row r="131" ht="20" customHeight="1" s="4">
      <c r="A131" s="50" t="inlineStr">
        <is>
          <t>Group D-2</t>
        </is>
      </c>
      <c r="B131" s="50" t="n">
        <v>4</v>
      </c>
      <c r="C131" s="50" t="inlineStr">
        <is>
          <t>PV</t>
        </is>
      </c>
      <c r="D131" s="50" t="inlineStr">
        <is>
          <t>Group D Parallel Tests / D-2 Solar Radiation</t>
        </is>
      </c>
      <c r="E131" s="50" t="inlineStr">
        <is>
          <t>L1&amp;L4</t>
        </is>
      </c>
      <c r="F131" s="50" t="inlineStr">
        <is>
          <t>L1&amp;L4 Performance Evaluation &amp; Functional Evaluation</t>
        </is>
      </c>
      <c r="G131" s="50" t="inlineStr">
        <is>
          <t>39-44</t>
        </is>
      </c>
      <c r="H131" s="50" t="inlineStr">
        <is>
          <t>6 个样品</t>
        </is>
      </c>
      <c r="I131" s="50" t="inlineStr">
        <is>
          <t>48 h</t>
        </is>
      </c>
      <c r="J131" s="50" t="inlineStr">
        <is>
          <t>按样品数量</t>
        </is>
      </c>
      <c r="K131" s="50" t="inlineStr">
        <is>
          <t>400/个</t>
        </is>
      </c>
      <c r="L131" s="51" t="n">
        <v>2400</v>
      </c>
      <c r="M131" s="50" t="inlineStr">
        <is>
          <t>6个 × 400/个 = 2,400</t>
        </is>
      </c>
      <c r="N131" s="50" t="n"/>
    </row>
    <row r="132" ht="24" customHeight="1" s="4">
      <c r="A132" s="54" t="inlineStr">
        <is>
          <t>Group D-3：PV / Group D Parallel Tests / D-3 PCBA</t>
        </is>
      </c>
    </row>
    <row r="133" ht="24" customHeight="1" s="4">
      <c r="A133" s="56" t="inlineStr">
        <is>
          <t>组别顺序</t>
        </is>
      </c>
      <c r="B133" s="56" t="inlineStr">
        <is>
          <t>组内顺序</t>
        </is>
      </c>
      <c r="C133" s="56" t="inlineStr">
        <is>
          <t>Phase</t>
        </is>
      </c>
      <c r="D133" s="56" t="inlineStr">
        <is>
          <t>Group</t>
        </is>
      </c>
      <c r="E133" s="56" t="inlineStr">
        <is>
          <t>测试编号</t>
        </is>
      </c>
      <c r="F133" s="56" t="inlineStr">
        <is>
          <t>测试项目</t>
        </is>
      </c>
      <c r="G133" s="56" t="inlineStr">
        <is>
          <t>样品范围</t>
        </is>
      </c>
      <c r="H133" s="56" t="inlineStr">
        <is>
          <t>计费基数</t>
        </is>
      </c>
      <c r="I133" s="56" t="inlineStr">
        <is>
          <t>测试时间</t>
        </is>
      </c>
      <c r="J133" s="56" t="inlineStr">
        <is>
          <t>计费方式</t>
        </is>
      </c>
      <c r="K133" s="56" t="inlineStr">
        <is>
          <t>单价</t>
        </is>
      </c>
      <c r="L133" s="57" t="inlineStr">
        <is>
          <t>委外费用</t>
        </is>
      </c>
      <c r="M133" s="56" t="inlineStr">
        <is>
          <t>费用计算公式</t>
        </is>
      </c>
      <c r="N133" s="56" t="inlineStr">
        <is>
          <t>备注</t>
        </is>
      </c>
    </row>
    <row r="134" ht="20" customHeight="1" s="4">
      <c r="A134" s="50" t="inlineStr">
        <is>
          <t>Group D-3</t>
        </is>
      </c>
      <c r="B134" s="50" t="n">
        <v>2</v>
      </c>
      <c r="C134" s="50" t="inlineStr">
        <is>
          <t>PV</t>
        </is>
      </c>
      <c r="D134" s="50" t="inlineStr">
        <is>
          <t>Group D Parallel Tests / D-3 PCBA</t>
        </is>
      </c>
      <c r="E134" s="50" t="inlineStr">
        <is>
          <t>L1&amp;L4</t>
        </is>
      </c>
      <c r="F134" s="50" t="inlineStr">
        <is>
          <t>L1&amp;L4 Performance Evaluation &amp; Functional Evaluation</t>
        </is>
      </c>
      <c r="G134" s="50" t="inlineStr">
        <is>
          <t>45-52</t>
        </is>
      </c>
      <c r="H134" s="50" t="inlineStr">
        <is>
          <t>6 个样品</t>
        </is>
      </c>
      <c r="I134" s="50" t="inlineStr">
        <is>
          <t>72 h</t>
        </is>
      </c>
      <c r="J134" s="50" t="inlineStr">
        <is>
          <t>按样品数量</t>
        </is>
      </c>
      <c r="K134" s="50" t="inlineStr">
        <is>
          <t>400/个</t>
        </is>
      </c>
      <c r="L134" s="51" t="n">
        <v>2400</v>
      </c>
      <c r="M134" s="50" t="inlineStr">
        <is>
          <t>6个 × 400/个 = 2,400</t>
        </is>
      </c>
      <c r="N134" s="50" t="n"/>
    </row>
    <row r="135" ht="20" customHeight="1" s="4">
      <c r="A135" s="50" t="inlineStr">
        <is>
          <t>Group D-3</t>
        </is>
      </c>
      <c r="B135" s="50" t="n">
        <v>3</v>
      </c>
      <c r="C135" s="50" t="inlineStr">
        <is>
          <t>PV</t>
        </is>
      </c>
      <c r="D135" s="50" t="inlineStr">
        <is>
          <t>Group D Parallel Tests / D-3 PCBA</t>
        </is>
      </c>
      <c r="E135" s="50" t="inlineStr">
        <is>
          <t>K23</t>
        </is>
      </c>
      <c r="F135" s="50" t="inlineStr">
        <is>
          <t>K23 Thermal Shock Endurance</t>
        </is>
      </c>
      <c r="G135" s="50" t="inlineStr">
        <is>
          <t>45-52</t>
        </is>
      </c>
      <c r="H135" s="50" t="inlineStr">
        <is>
          <t>1017 h</t>
        </is>
      </c>
      <c r="I135" s="50" t="inlineStr">
        <is>
          <t>1017 h</t>
        </is>
      </c>
      <c r="J135" s="50" t="inlineStr">
        <is>
          <t>按小时</t>
        </is>
      </c>
      <c r="K135" s="50" t="inlineStr">
        <is>
          <t>55/h</t>
        </is>
      </c>
      <c r="L135" s="51" t="n">
        <v>55935</v>
      </c>
      <c r="M135" s="50" t="inlineStr">
        <is>
          <t>1,017h × 55/h = 55,935</t>
        </is>
      </c>
      <c r="N135" s="50" t="n"/>
    </row>
    <row r="136" ht="20" customHeight="1" s="4">
      <c r="A136" s="50" t="inlineStr">
        <is>
          <t>Group D-3</t>
        </is>
      </c>
      <c r="B136" s="50" t="n">
        <v>4</v>
      </c>
      <c r="C136" s="50" t="inlineStr">
        <is>
          <t>PV</t>
        </is>
      </c>
      <c r="D136" s="50" t="inlineStr">
        <is>
          <t>Group D Parallel Tests / D-3 PCBA</t>
        </is>
      </c>
      <c r="E136" s="50" t="inlineStr">
        <is>
          <t>L1&amp;L4</t>
        </is>
      </c>
      <c r="F136" s="50" t="inlineStr">
        <is>
          <t>L1&amp;L4 Performance Evaluation &amp; Functional Evaluation</t>
        </is>
      </c>
      <c r="G136" s="50" t="inlineStr">
        <is>
          <t>45-52</t>
        </is>
      </c>
      <c r="H136" s="50" t="inlineStr">
        <is>
          <t>6 个样品</t>
        </is>
      </c>
      <c r="I136" s="50" t="inlineStr">
        <is>
          <t>48 h</t>
        </is>
      </c>
      <c r="J136" s="50" t="inlineStr">
        <is>
          <t>按样品数量</t>
        </is>
      </c>
      <c r="K136" s="50" t="inlineStr">
        <is>
          <t>400/个</t>
        </is>
      </c>
      <c r="L136" s="51" t="n">
        <v>2400</v>
      </c>
      <c r="M136" s="50" t="inlineStr">
        <is>
          <t>6个 × 400/个 = 2,400</t>
        </is>
      </c>
      <c r="N136" s="50" t="n"/>
    </row>
    <row r="137" ht="20" customHeight="1" s="4">
      <c r="A137" s="50" t="inlineStr">
        <is>
          <t>Group D-3</t>
        </is>
      </c>
      <c r="B137" s="50" t="n">
        <v>6</v>
      </c>
      <c r="C137" s="50" t="inlineStr">
        <is>
          <t>PV</t>
        </is>
      </c>
      <c r="D137" s="50" t="inlineStr">
        <is>
          <t>Group D Parallel Tests / D-3 PCBA</t>
        </is>
      </c>
      <c r="E137" s="50" t="inlineStr">
        <is>
          <t>L6-SEM&amp;SECTION</t>
        </is>
      </c>
      <c r="F137" s="50" t="inlineStr">
        <is>
          <t>L6-SEM&amp;SECTION</t>
        </is>
      </c>
      <c r="G137" s="50" t="inlineStr">
        <is>
          <t>45-52</t>
        </is>
      </c>
      <c r="H137" s="50" t="inlineStr">
        <is>
          <t>33 个样品</t>
        </is>
      </c>
      <c r="I137" s="50" t="inlineStr">
        <is>
          <t>480 h</t>
        </is>
      </c>
      <c r="J137" s="50" t="inlineStr">
        <is>
          <t>按样品数量</t>
        </is>
      </c>
      <c r="K137" s="50" t="inlineStr">
        <is>
          <t>700/个</t>
        </is>
      </c>
      <c r="L137" s="51" t="n">
        <v>23100</v>
      </c>
      <c r="M137" s="50" t="inlineStr">
        <is>
          <t>33个 × 700/个 = 23,100</t>
        </is>
      </c>
      <c r="N137" s="50" t="inlineStr">
        <is>
          <t>L6-SEM&amp;SECTION 委外组合报价：SEM &amp; Sectioning 按 33 个测试点位采用当前实验室总价</t>
        </is>
      </c>
    </row>
    <row r="138" ht="24" customHeight="1" s="4">
      <c r="A138" s="54" t="inlineStr">
        <is>
          <t>Group D-4：PV / Group D Parallel Tests / D-4 Dewing Test</t>
        </is>
      </c>
    </row>
    <row r="139" ht="24" customHeight="1" s="4">
      <c r="A139" s="56" t="inlineStr">
        <is>
          <t>组别顺序</t>
        </is>
      </c>
      <c r="B139" s="56" t="inlineStr">
        <is>
          <t>组内顺序</t>
        </is>
      </c>
      <c r="C139" s="56" t="inlineStr">
        <is>
          <t>Phase</t>
        </is>
      </c>
      <c r="D139" s="56" t="inlineStr">
        <is>
          <t>Group</t>
        </is>
      </c>
      <c r="E139" s="56" t="inlineStr">
        <is>
          <t>测试编号</t>
        </is>
      </c>
      <c r="F139" s="56" t="inlineStr">
        <is>
          <t>测试项目</t>
        </is>
      </c>
      <c r="G139" s="56" t="inlineStr">
        <is>
          <t>样品范围</t>
        </is>
      </c>
      <c r="H139" s="56" t="inlineStr">
        <is>
          <t>计费基数</t>
        </is>
      </c>
      <c r="I139" s="56" t="inlineStr">
        <is>
          <t>测试时间</t>
        </is>
      </c>
      <c r="J139" s="56" t="inlineStr">
        <is>
          <t>计费方式</t>
        </is>
      </c>
      <c r="K139" s="56" t="inlineStr">
        <is>
          <t>单价</t>
        </is>
      </c>
      <c r="L139" s="57" t="inlineStr">
        <is>
          <t>委外费用</t>
        </is>
      </c>
      <c r="M139" s="56" t="inlineStr">
        <is>
          <t>费用计算公式</t>
        </is>
      </c>
      <c r="N139" s="56" t="inlineStr">
        <is>
          <t>备注</t>
        </is>
      </c>
    </row>
    <row r="140" ht="20" customHeight="1" s="4">
      <c r="A140" s="50" t="inlineStr">
        <is>
          <t>Group D-4</t>
        </is>
      </c>
      <c r="B140" s="50" t="n">
        <v>2</v>
      </c>
      <c r="C140" s="50" t="inlineStr">
        <is>
          <t>PV</t>
        </is>
      </c>
      <c r="D140" s="50" t="inlineStr">
        <is>
          <t>Group D Parallel Tests / D-4 Dewing Test</t>
        </is>
      </c>
      <c r="E140" s="50" t="inlineStr">
        <is>
          <t>L1&amp;L4</t>
        </is>
      </c>
      <c r="F140" s="50" t="inlineStr">
        <is>
          <t>L1&amp;L4 Performance Evaluation &amp; Functional Evaluation</t>
        </is>
      </c>
      <c r="G140" s="50" t="inlineStr">
        <is>
          <t>53-58</t>
        </is>
      </c>
      <c r="H140" s="50" t="inlineStr">
        <is>
          <t>6 个样品</t>
        </is>
      </c>
      <c r="I140" s="50" t="inlineStr">
        <is>
          <t>72 h</t>
        </is>
      </c>
      <c r="J140" s="50" t="inlineStr">
        <is>
          <t>按样品数量</t>
        </is>
      </c>
      <c r="K140" s="50" t="inlineStr">
        <is>
          <t>400/个</t>
        </is>
      </c>
      <c r="L140" s="51" t="n">
        <v>2400</v>
      </c>
      <c r="M140" s="50" t="inlineStr">
        <is>
          <t>6个 × 400/个 = 2,400</t>
        </is>
      </c>
      <c r="N140" s="50" t="n"/>
    </row>
    <row r="141" ht="20" customHeight="1" s="4">
      <c r="A141" s="50" t="inlineStr">
        <is>
          <t>Group D-4</t>
        </is>
      </c>
      <c r="B141" s="50" t="n">
        <v>3</v>
      </c>
      <c r="C141" s="50" t="inlineStr">
        <is>
          <t>PV</t>
        </is>
      </c>
      <c r="D141" s="50" t="inlineStr">
        <is>
          <t>Group D Parallel Tests / D-4 Dewing Test</t>
        </is>
      </c>
      <c r="E141" s="50" t="inlineStr">
        <is>
          <t>K8</t>
        </is>
      </c>
      <c r="F141" s="50" t="inlineStr">
        <is>
          <t>K8 Dewing Test</t>
        </is>
      </c>
      <c r="G141" s="50" t="inlineStr">
        <is>
          <t>53-58</t>
        </is>
      </c>
      <c r="H141" s="50" t="inlineStr">
        <is>
          <t>1 批</t>
        </is>
      </c>
      <c r="I141" s="50" t="inlineStr">
        <is>
          <t>48 h</t>
        </is>
      </c>
      <c r="J141" s="50" t="inlineStr">
        <is>
          <t>按批次</t>
        </is>
      </c>
      <c r="K141" s="50" t="inlineStr">
        <is>
          <t>5,000/批</t>
        </is>
      </c>
      <c r="L141" s="51" t="n">
        <v>5000</v>
      </c>
      <c r="M141" s="50" t="inlineStr">
        <is>
          <t>1批 × 5,000/批 = 5,000</t>
        </is>
      </c>
      <c r="N141" s="50" t="n"/>
    </row>
    <row r="142" ht="20" customHeight="1" s="4">
      <c r="A142" s="50" t="inlineStr">
        <is>
          <t>Group D-4</t>
        </is>
      </c>
      <c r="B142" s="50" t="n">
        <v>4</v>
      </c>
      <c r="C142" s="50" t="inlineStr">
        <is>
          <t>PV</t>
        </is>
      </c>
      <c r="D142" s="50" t="inlineStr">
        <is>
          <t>Group D Parallel Tests / D-4 Dewing Test</t>
        </is>
      </c>
      <c r="E142" s="50" t="inlineStr">
        <is>
          <t>L1&amp;L4</t>
        </is>
      </c>
      <c r="F142" s="50" t="inlineStr">
        <is>
          <t>L1&amp;L4 Performance Evaluation &amp; Functional Evaluation</t>
        </is>
      </c>
      <c r="G142" s="50" t="inlineStr">
        <is>
          <t>53-58</t>
        </is>
      </c>
      <c r="H142" s="50" t="inlineStr">
        <is>
          <t>6 个样品</t>
        </is>
      </c>
      <c r="I142" s="50" t="inlineStr">
        <is>
          <t>48 h</t>
        </is>
      </c>
      <c r="J142" s="50" t="inlineStr">
        <is>
          <t>按样品数量</t>
        </is>
      </c>
      <c r="K142" s="50" t="inlineStr">
        <is>
          <t>400/个</t>
        </is>
      </c>
      <c r="L142" s="51" t="n">
        <v>2400</v>
      </c>
      <c r="M142" s="50" t="inlineStr">
        <is>
          <t>6个 × 400/个 = 2,400</t>
        </is>
      </c>
      <c r="N142" s="50" t="n"/>
    </row>
    <row r="143" ht="24" customHeight="1" s="4">
      <c r="A143" s="54" t="inlineStr">
        <is>
          <t>Group D-5：PV / Group D Parallel Tests / D-5 Life Test-1</t>
        </is>
      </c>
    </row>
    <row r="144" ht="24" customHeight="1" s="4">
      <c r="A144" s="56" t="inlineStr">
        <is>
          <t>组别顺序</t>
        </is>
      </c>
      <c r="B144" s="56" t="inlineStr">
        <is>
          <t>组内顺序</t>
        </is>
      </c>
      <c r="C144" s="56" t="inlineStr">
        <is>
          <t>Phase</t>
        </is>
      </c>
      <c r="D144" s="56" t="inlineStr">
        <is>
          <t>Group</t>
        </is>
      </c>
      <c r="E144" s="56" t="inlineStr">
        <is>
          <t>测试编号</t>
        </is>
      </c>
      <c r="F144" s="56" t="inlineStr">
        <is>
          <t>测试项目</t>
        </is>
      </c>
      <c r="G144" s="56" t="inlineStr">
        <is>
          <t>样品范围</t>
        </is>
      </c>
      <c r="H144" s="56" t="inlineStr">
        <is>
          <t>计费基数</t>
        </is>
      </c>
      <c r="I144" s="56" t="inlineStr">
        <is>
          <t>测试时间</t>
        </is>
      </c>
      <c r="J144" s="56" t="inlineStr">
        <is>
          <t>计费方式</t>
        </is>
      </c>
      <c r="K144" s="56" t="inlineStr">
        <is>
          <t>单价</t>
        </is>
      </c>
      <c r="L144" s="57" t="inlineStr">
        <is>
          <t>委外费用</t>
        </is>
      </c>
      <c r="M144" s="56" t="inlineStr">
        <is>
          <t>费用计算公式</t>
        </is>
      </c>
      <c r="N144" s="56" t="inlineStr">
        <is>
          <t>备注</t>
        </is>
      </c>
    </row>
    <row r="145" ht="20" customHeight="1" s="4">
      <c r="A145" s="50" t="inlineStr">
        <is>
          <t>Group D-5</t>
        </is>
      </c>
      <c r="B145" s="50" t="n">
        <v>2</v>
      </c>
      <c r="C145" s="50" t="inlineStr">
        <is>
          <t>PV</t>
        </is>
      </c>
      <c r="D145" s="50" t="inlineStr">
        <is>
          <t>Group D Parallel Tests / D-5 Life Test-1</t>
        </is>
      </c>
      <c r="E145" s="50" t="inlineStr">
        <is>
          <t>L1&amp;L4</t>
        </is>
      </c>
      <c r="F145" s="50" t="inlineStr">
        <is>
          <t>L1&amp;L4 Performance Evaluation &amp; Functional Evaluation</t>
        </is>
      </c>
      <c r="G145" s="50" t="inlineStr">
        <is>
          <t>59-64</t>
        </is>
      </c>
      <c r="H145" s="50" t="inlineStr">
        <is>
          <t>6 个样品</t>
        </is>
      </c>
      <c r="I145" s="50" t="inlineStr">
        <is>
          <t>72 h</t>
        </is>
      </c>
      <c r="J145" s="50" t="inlineStr">
        <is>
          <t>按样品数量</t>
        </is>
      </c>
      <c r="K145" s="50" t="inlineStr">
        <is>
          <t>400/个</t>
        </is>
      </c>
      <c r="L145" s="51" t="n">
        <v>2400</v>
      </c>
      <c r="M145" s="50" t="inlineStr">
        <is>
          <t>6个 × 400/个 = 2,400</t>
        </is>
      </c>
      <c r="N145" s="50" t="n"/>
    </row>
    <row r="146" ht="20" customHeight="1" s="4">
      <c r="A146" s="50" t="inlineStr">
        <is>
          <t>Group D-5</t>
        </is>
      </c>
      <c r="B146" s="50" t="n">
        <v>3</v>
      </c>
      <c r="C146" s="50" t="inlineStr">
        <is>
          <t>PV</t>
        </is>
      </c>
      <c r="D146" s="50" t="inlineStr">
        <is>
          <t>Group D Parallel Tests / D-5 Life Test-1</t>
        </is>
      </c>
      <c r="E146" s="50" t="inlineStr">
        <is>
          <t>K24</t>
        </is>
      </c>
      <c r="F146" s="50" t="inlineStr">
        <is>
          <t>K24 High Temperature Endurance</t>
        </is>
      </c>
      <c r="G146" s="50" t="inlineStr">
        <is>
          <t>59-64</t>
        </is>
      </c>
      <c r="H146" s="50" t="inlineStr">
        <is>
          <t>1000 h</t>
        </is>
      </c>
      <c r="I146" s="50" t="inlineStr">
        <is>
          <t>1000 h</t>
        </is>
      </c>
      <c r="J146" s="50" t="inlineStr">
        <is>
          <t>按小时</t>
        </is>
      </c>
      <c r="K146" s="50" t="inlineStr">
        <is>
          <t>30/h</t>
        </is>
      </c>
      <c r="L146" s="51" t="n">
        <v>30000</v>
      </c>
      <c r="M146" s="50" t="inlineStr">
        <is>
          <t>1,000h × 30/h = 30,000</t>
        </is>
      </c>
      <c r="N146" s="50" t="n"/>
    </row>
    <row r="147" ht="20" customHeight="1" s="4">
      <c r="A147" s="50" t="inlineStr">
        <is>
          <t>Group D-5</t>
        </is>
      </c>
      <c r="B147" s="50" t="n">
        <v>4</v>
      </c>
      <c r="C147" s="50" t="inlineStr">
        <is>
          <t>PV</t>
        </is>
      </c>
      <c r="D147" s="50" t="inlineStr">
        <is>
          <t>Group D Parallel Tests / D-5 Life Test-1</t>
        </is>
      </c>
      <c r="E147" s="50" t="inlineStr">
        <is>
          <t>L1&amp;L4</t>
        </is>
      </c>
      <c r="F147" s="50" t="inlineStr">
        <is>
          <t>L1&amp;L4 Performance Evaluation &amp; Functional Evaluation</t>
        </is>
      </c>
      <c r="G147" s="50" t="inlineStr">
        <is>
          <t>59-64</t>
        </is>
      </c>
      <c r="H147" s="50" t="inlineStr">
        <is>
          <t>6 个样品</t>
        </is>
      </c>
      <c r="I147" s="50" t="inlineStr">
        <is>
          <t>48 h</t>
        </is>
      </c>
      <c r="J147" s="50" t="inlineStr">
        <is>
          <t>按样品数量</t>
        </is>
      </c>
      <c r="K147" s="50" t="inlineStr">
        <is>
          <t>400/个</t>
        </is>
      </c>
      <c r="L147" s="51" t="n">
        <v>2400</v>
      </c>
      <c r="M147" s="50" t="inlineStr">
        <is>
          <t>6个 × 400/个 = 2,400</t>
        </is>
      </c>
      <c r="N147" s="50" t="n"/>
    </row>
    <row r="148" ht="24" customHeight="1" s="4">
      <c r="A148" s="54" t="inlineStr">
        <is>
          <t>Group D-6：PV / Group D Parallel Tests / D-6 Life Test-2-1</t>
        </is>
      </c>
    </row>
    <row r="149" ht="24" customHeight="1" s="4">
      <c r="A149" s="56" t="inlineStr">
        <is>
          <t>组别顺序</t>
        </is>
      </c>
      <c r="B149" s="56" t="inlineStr">
        <is>
          <t>组内顺序</t>
        </is>
      </c>
      <c r="C149" s="56" t="inlineStr">
        <is>
          <t>Phase</t>
        </is>
      </c>
      <c r="D149" s="56" t="inlineStr">
        <is>
          <t>Group</t>
        </is>
      </c>
      <c r="E149" s="56" t="inlineStr">
        <is>
          <t>测试编号</t>
        </is>
      </c>
      <c r="F149" s="56" t="inlineStr">
        <is>
          <t>测试项目</t>
        </is>
      </c>
      <c r="G149" s="56" t="inlineStr">
        <is>
          <t>样品范围</t>
        </is>
      </c>
      <c r="H149" s="56" t="inlineStr">
        <is>
          <t>计费基数</t>
        </is>
      </c>
      <c r="I149" s="56" t="inlineStr">
        <is>
          <t>测试时间</t>
        </is>
      </c>
      <c r="J149" s="56" t="inlineStr">
        <is>
          <t>计费方式</t>
        </is>
      </c>
      <c r="K149" s="56" t="inlineStr">
        <is>
          <t>单价</t>
        </is>
      </c>
      <c r="L149" s="57" t="inlineStr">
        <is>
          <t>委外费用</t>
        </is>
      </c>
      <c r="M149" s="56" t="inlineStr">
        <is>
          <t>费用计算公式</t>
        </is>
      </c>
      <c r="N149" s="56" t="inlineStr">
        <is>
          <t>备注</t>
        </is>
      </c>
    </row>
    <row r="150" ht="20" customHeight="1" s="4">
      <c r="A150" s="50" t="inlineStr">
        <is>
          <t>Group D-6</t>
        </is>
      </c>
      <c r="B150" s="50" t="n">
        <v>2</v>
      </c>
      <c r="C150" s="50" t="inlineStr">
        <is>
          <t>PV</t>
        </is>
      </c>
      <c r="D150" s="50" t="inlineStr">
        <is>
          <t>Group D Parallel Tests / D-6 Life Test-2-1</t>
        </is>
      </c>
      <c r="E150" s="50" t="inlineStr">
        <is>
          <t>L1&amp;L4</t>
        </is>
      </c>
      <c r="F150" s="50" t="inlineStr">
        <is>
          <t>L1&amp;L4 Performance Evaluation &amp; Functional Evaluation</t>
        </is>
      </c>
      <c r="G150" s="50" t="inlineStr">
        <is>
          <t>65-70</t>
        </is>
      </c>
      <c r="H150" s="50" t="inlineStr">
        <is>
          <t>6 个样品</t>
        </is>
      </c>
      <c r="I150" s="50" t="inlineStr">
        <is>
          <t>72 h</t>
        </is>
      </c>
      <c r="J150" s="50" t="inlineStr">
        <is>
          <t>按样品数量</t>
        </is>
      </c>
      <c r="K150" s="50" t="inlineStr">
        <is>
          <t>400/个</t>
        </is>
      </c>
      <c r="L150" s="51" t="n">
        <v>2400</v>
      </c>
      <c r="M150" s="50" t="inlineStr">
        <is>
          <t>6个 × 400/个 = 2,400</t>
        </is>
      </c>
      <c r="N150" s="50" t="n"/>
    </row>
    <row r="151" ht="20" customHeight="1" s="4">
      <c r="A151" s="50" t="inlineStr">
        <is>
          <t>Group D-6</t>
        </is>
      </c>
      <c r="B151" s="50" t="n">
        <v>3</v>
      </c>
      <c r="C151" s="50" t="inlineStr">
        <is>
          <t>PV</t>
        </is>
      </c>
      <c r="D151" s="50" t="inlineStr">
        <is>
          <t>Group D Parallel Tests / D-6 Life Test-2-1</t>
        </is>
      </c>
      <c r="E151" s="50" t="inlineStr">
        <is>
          <t>K27</t>
        </is>
      </c>
      <c r="F151" s="50" t="inlineStr">
        <is>
          <t>K27 85/85 High Temperature -High Humidity Endurance</t>
        </is>
      </c>
      <c r="G151" s="50" t="inlineStr">
        <is>
          <t>65-70</t>
        </is>
      </c>
      <c r="H151" s="50" t="inlineStr">
        <is>
          <t>1000 h</t>
        </is>
      </c>
      <c r="I151" s="50" t="inlineStr">
        <is>
          <t>1000 h</t>
        </is>
      </c>
      <c r="J151" s="50" t="inlineStr">
        <is>
          <t>按小时</t>
        </is>
      </c>
      <c r="K151" s="50" t="inlineStr">
        <is>
          <t>30/h</t>
        </is>
      </c>
      <c r="L151" s="51" t="n">
        <v>30000</v>
      </c>
      <c r="M151" s="50" t="inlineStr">
        <is>
          <t>1,000h × 30/h = 30,000</t>
        </is>
      </c>
      <c r="N151" s="50" t="n"/>
    </row>
    <row r="152" ht="20" customHeight="1" s="4">
      <c r="A152" s="50" t="inlineStr">
        <is>
          <t>Group D-6</t>
        </is>
      </c>
      <c r="B152" s="50" t="n">
        <v>4</v>
      </c>
      <c r="C152" s="50" t="inlineStr">
        <is>
          <t>PV</t>
        </is>
      </c>
      <c r="D152" s="50" t="inlineStr">
        <is>
          <t>Group D Parallel Tests / D-6 Life Test-2-1</t>
        </is>
      </c>
      <c r="E152" s="50" t="inlineStr">
        <is>
          <t>L1&amp;L4</t>
        </is>
      </c>
      <c r="F152" s="50" t="inlineStr">
        <is>
          <t>L1&amp;L4 Performance Evaluation &amp; Functional Evaluation</t>
        </is>
      </c>
      <c r="G152" s="50" t="inlineStr">
        <is>
          <t>65-70</t>
        </is>
      </c>
      <c r="H152" s="50" t="inlineStr">
        <is>
          <t>6 个样品</t>
        </is>
      </c>
      <c r="I152" s="50" t="inlineStr">
        <is>
          <t>48 h</t>
        </is>
      </c>
      <c r="J152" s="50" t="inlineStr">
        <is>
          <t>按样品数量</t>
        </is>
      </c>
      <c r="K152" s="50" t="inlineStr">
        <is>
          <t>400/个</t>
        </is>
      </c>
      <c r="L152" s="51" t="n">
        <v>2400</v>
      </c>
      <c r="M152" s="50" t="inlineStr">
        <is>
          <t>6个 × 400/个 = 2,400</t>
        </is>
      </c>
      <c r="N152" s="50" t="n"/>
    </row>
    <row r="153" ht="24" customHeight="1" s="4">
      <c r="A153" s="54" t="inlineStr">
        <is>
          <t>Group D-7：PV / Group D Parallel Tests / D-7 Life Test-2-2</t>
        </is>
      </c>
    </row>
    <row r="154" ht="24" customHeight="1" s="4">
      <c r="A154" s="56" t="inlineStr">
        <is>
          <t>组别顺序</t>
        </is>
      </c>
      <c r="B154" s="56" t="inlineStr">
        <is>
          <t>组内顺序</t>
        </is>
      </c>
      <c r="C154" s="56" t="inlineStr">
        <is>
          <t>Phase</t>
        </is>
      </c>
      <c r="D154" s="56" t="inlineStr">
        <is>
          <t>Group</t>
        </is>
      </c>
      <c r="E154" s="56" t="inlineStr">
        <is>
          <t>测试编号</t>
        </is>
      </c>
      <c r="F154" s="56" t="inlineStr">
        <is>
          <t>测试项目</t>
        </is>
      </c>
      <c r="G154" s="56" t="inlineStr">
        <is>
          <t>样品范围</t>
        </is>
      </c>
      <c r="H154" s="56" t="inlineStr">
        <is>
          <t>计费基数</t>
        </is>
      </c>
      <c r="I154" s="56" t="inlineStr">
        <is>
          <t>测试时间</t>
        </is>
      </c>
      <c r="J154" s="56" t="inlineStr">
        <is>
          <t>计费方式</t>
        </is>
      </c>
      <c r="K154" s="56" t="inlineStr">
        <is>
          <t>单价</t>
        </is>
      </c>
      <c r="L154" s="57" t="inlineStr">
        <is>
          <t>委外费用</t>
        </is>
      </c>
      <c r="M154" s="56" t="inlineStr">
        <is>
          <t>费用计算公式</t>
        </is>
      </c>
      <c r="N154" s="56" t="inlineStr">
        <is>
          <t>备注</t>
        </is>
      </c>
    </row>
    <row r="155" ht="20" customHeight="1" s="4">
      <c r="A155" s="50" t="inlineStr">
        <is>
          <t>Group D-7</t>
        </is>
      </c>
      <c r="B155" s="50" t="n">
        <v>2</v>
      </c>
      <c r="C155" s="50" t="inlineStr">
        <is>
          <t>PV</t>
        </is>
      </c>
      <c r="D155" s="50" t="inlineStr">
        <is>
          <t>Group D Parallel Tests / D-7 Life Test-2-2</t>
        </is>
      </c>
      <c r="E155" s="50" t="inlineStr">
        <is>
          <t>L1&amp;L4</t>
        </is>
      </c>
      <c r="F155" s="50" t="inlineStr">
        <is>
          <t>L1&amp;L4 Performance Evaluation &amp; Functional Evaluation</t>
        </is>
      </c>
      <c r="G155" s="50" t="inlineStr">
        <is>
          <t>71-76</t>
        </is>
      </c>
      <c r="H155" s="50" t="inlineStr">
        <is>
          <t>6 个样品</t>
        </is>
      </c>
      <c r="I155" s="50" t="inlineStr">
        <is>
          <t>72 h</t>
        </is>
      </c>
      <c r="J155" s="50" t="inlineStr">
        <is>
          <t>按样品数量</t>
        </is>
      </c>
      <c r="K155" s="50" t="inlineStr">
        <is>
          <t>400/个</t>
        </is>
      </c>
      <c r="L155" s="51" t="n">
        <v>2400</v>
      </c>
      <c r="M155" s="50" t="inlineStr">
        <is>
          <t>6个 × 400/个 = 2,400</t>
        </is>
      </c>
      <c r="N155" s="50" t="n"/>
    </row>
    <row r="156" ht="20" customHeight="1" s="4">
      <c r="A156" s="50" t="inlineStr">
        <is>
          <t>Group D-7</t>
        </is>
      </c>
      <c r="B156" s="50" t="n">
        <v>3</v>
      </c>
      <c r="C156" s="50" t="inlineStr">
        <is>
          <t>PV</t>
        </is>
      </c>
      <c r="D156" s="50" t="inlineStr">
        <is>
          <t>Group D Parallel Tests / D-7 Life Test-2-2</t>
        </is>
      </c>
      <c r="E156" s="50" t="inlineStr">
        <is>
          <t>K27</t>
        </is>
      </c>
      <c r="F156" s="50" t="inlineStr">
        <is>
          <t>K27 60/95 High Temperature -High Humidity Endurance</t>
        </is>
      </c>
      <c r="G156" s="50" t="inlineStr">
        <is>
          <t>71-76</t>
        </is>
      </c>
      <c r="H156" s="50" t="inlineStr">
        <is>
          <t>1100 h</t>
        </is>
      </c>
      <c r="I156" s="50" t="inlineStr">
        <is>
          <t>1100 h</t>
        </is>
      </c>
      <c r="J156" s="50" t="inlineStr">
        <is>
          <t>按小时</t>
        </is>
      </c>
      <c r="K156" s="50" t="inlineStr">
        <is>
          <t>30/h</t>
        </is>
      </c>
      <c r="L156" s="51" t="n">
        <v>33000</v>
      </c>
      <c r="M156" s="50" t="inlineStr">
        <is>
          <t>1,100h × 30/h = 33,000</t>
        </is>
      </c>
      <c r="N156" s="50" t="n"/>
    </row>
    <row r="157" ht="20" customHeight="1" s="4">
      <c r="A157" s="50" t="inlineStr">
        <is>
          <t>Group D-7</t>
        </is>
      </c>
      <c r="B157" s="50" t="n">
        <v>4</v>
      </c>
      <c r="C157" s="50" t="inlineStr">
        <is>
          <t>PV</t>
        </is>
      </c>
      <c r="D157" s="50" t="inlineStr">
        <is>
          <t>Group D Parallel Tests / D-7 Life Test-2-2</t>
        </is>
      </c>
      <c r="E157" s="50" t="inlineStr">
        <is>
          <t>L1&amp;L4</t>
        </is>
      </c>
      <c r="F157" s="50" t="inlineStr">
        <is>
          <t>L1&amp;L4 Performance Evaluation &amp; Functional Evaluation</t>
        </is>
      </c>
      <c r="G157" s="50" t="inlineStr">
        <is>
          <t>71-76</t>
        </is>
      </c>
      <c r="H157" s="50" t="inlineStr">
        <is>
          <t>6 个样品</t>
        </is>
      </c>
      <c r="I157" s="50" t="inlineStr">
        <is>
          <t>48 h</t>
        </is>
      </c>
      <c r="J157" s="50" t="inlineStr">
        <is>
          <t>按样品数量</t>
        </is>
      </c>
      <c r="K157" s="50" t="inlineStr">
        <is>
          <t>400/个</t>
        </is>
      </c>
      <c r="L157" s="51" t="n">
        <v>2400</v>
      </c>
      <c r="M157" s="50" t="inlineStr">
        <is>
          <t>6个 × 400/个 = 2,400</t>
        </is>
      </c>
      <c r="N157" s="50" t="n"/>
    </row>
    <row r="158" ht="24" customHeight="1" s="4">
      <c r="A158" s="54" t="inlineStr">
        <is>
          <t>Group D-8：PV / Group D Parallel Tests / D-8</t>
        </is>
      </c>
    </row>
    <row r="159" ht="24" customHeight="1" s="4">
      <c r="A159" s="56" t="inlineStr">
        <is>
          <t>组别顺序</t>
        </is>
      </c>
      <c r="B159" s="56" t="inlineStr">
        <is>
          <t>组内顺序</t>
        </is>
      </c>
      <c r="C159" s="56" t="inlineStr">
        <is>
          <t>Phase</t>
        </is>
      </c>
      <c r="D159" s="56" t="inlineStr">
        <is>
          <t>Group</t>
        </is>
      </c>
      <c r="E159" s="56" t="inlineStr">
        <is>
          <t>测试编号</t>
        </is>
      </c>
      <c r="F159" s="56" t="inlineStr">
        <is>
          <t>测试项目</t>
        </is>
      </c>
      <c r="G159" s="56" t="inlineStr">
        <is>
          <t>样品范围</t>
        </is>
      </c>
      <c r="H159" s="56" t="inlineStr">
        <is>
          <t>计费基数</t>
        </is>
      </c>
      <c r="I159" s="56" t="inlineStr">
        <is>
          <t>测试时间</t>
        </is>
      </c>
      <c r="J159" s="56" t="inlineStr">
        <is>
          <t>计费方式</t>
        </is>
      </c>
      <c r="K159" s="56" t="inlineStr">
        <is>
          <t>单价</t>
        </is>
      </c>
      <c r="L159" s="57" t="inlineStr">
        <is>
          <t>委外费用</t>
        </is>
      </c>
      <c r="M159" s="56" t="inlineStr">
        <is>
          <t>费用计算公式</t>
        </is>
      </c>
      <c r="N159" s="56" t="inlineStr">
        <is>
          <t>备注</t>
        </is>
      </c>
    </row>
    <row r="160" ht="20" customHeight="1" s="4">
      <c r="A160" s="50" t="inlineStr">
        <is>
          <t>Group D-8</t>
        </is>
      </c>
      <c r="B160" s="50" t="n">
        <v>2</v>
      </c>
      <c r="C160" s="50" t="inlineStr">
        <is>
          <t>PV</t>
        </is>
      </c>
      <c r="D160" s="50" t="inlineStr">
        <is>
          <t>Group D Parallel Tests / D-8</t>
        </is>
      </c>
      <c r="E160" s="50" t="inlineStr">
        <is>
          <t>L1&amp;L4</t>
        </is>
      </c>
      <c r="F160" s="50" t="inlineStr">
        <is>
          <t>L1&amp;L4 Performance Evaluation &amp; Functional Evaluation</t>
        </is>
      </c>
      <c r="G160" s="50" t="inlineStr">
        <is>
          <t>77-91</t>
        </is>
      </c>
      <c r="H160" s="50" t="inlineStr">
        <is>
          <t>15 个样品</t>
        </is>
      </c>
      <c r="I160" s="50" t="inlineStr">
        <is>
          <t>72 h</t>
        </is>
      </c>
      <c r="J160" s="50" t="inlineStr">
        <is>
          <t>按样品数量</t>
        </is>
      </c>
      <c r="K160" s="50" t="inlineStr">
        <is>
          <t>400/个</t>
        </is>
      </c>
      <c r="L160" s="51" t="n">
        <v>6000</v>
      </c>
      <c r="M160" s="50" t="inlineStr">
        <is>
          <t>15个 × 400/个 = 6,000</t>
        </is>
      </c>
      <c r="N160" s="50" t="n"/>
    </row>
    <row r="161" ht="20" customHeight="1" s="4">
      <c r="A161" s="50" t="inlineStr">
        <is>
          <t>Group D-8</t>
        </is>
      </c>
      <c r="B161" s="50" t="n">
        <v>3</v>
      </c>
      <c r="C161" s="50" t="inlineStr">
        <is>
          <t>PV</t>
        </is>
      </c>
      <c r="D161" s="50" t="inlineStr">
        <is>
          <t>Group D Parallel Tests / D-8</t>
        </is>
      </c>
      <c r="E161" s="50" t="inlineStr">
        <is>
          <t>K28</t>
        </is>
      </c>
      <c r="F161" s="50" t="inlineStr">
        <is>
          <t>K28 HALT Cold</t>
        </is>
      </c>
      <c r="G161" s="50" t="inlineStr">
        <is>
          <t>77-91</t>
        </is>
      </c>
      <c r="H161" s="50" t="inlineStr">
        <is>
          <t>8 h</t>
        </is>
      </c>
      <c r="I161" s="50" t="inlineStr">
        <is>
          <t>8 h</t>
        </is>
      </c>
      <c r="J161" s="50" t="inlineStr">
        <is>
          <t>按小时</t>
        </is>
      </c>
      <c r="K161" s="50" t="inlineStr">
        <is>
          <t>1,500/h</t>
        </is>
      </c>
      <c r="L161" s="51" t="n">
        <v>12000</v>
      </c>
      <c r="M161" s="50" t="inlineStr">
        <is>
          <t>8h × 1,500/h = 12,000</t>
        </is>
      </c>
      <c r="N161" s="50" t="n"/>
    </row>
    <row r="162" ht="20" customHeight="1" s="4">
      <c r="A162" s="50" t="inlineStr">
        <is>
          <t>Group D-8</t>
        </is>
      </c>
      <c r="B162" s="50" t="n">
        <v>4</v>
      </c>
      <c r="C162" s="50" t="inlineStr">
        <is>
          <t>PV</t>
        </is>
      </c>
      <c r="D162" s="50" t="inlineStr">
        <is>
          <t>Group D Parallel Tests / D-8</t>
        </is>
      </c>
      <c r="E162" s="50" t="inlineStr">
        <is>
          <t>K28</t>
        </is>
      </c>
      <c r="F162" s="50" t="inlineStr">
        <is>
          <t>K28 HALT Hot</t>
        </is>
      </c>
      <c r="G162" s="50" t="inlineStr">
        <is>
          <t>77-91</t>
        </is>
      </c>
      <c r="H162" s="50" t="inlineStr">
        <is>
          <t>8 h</t>
        </is>
      </c>
      <c r="I162" s="50" t="inlineStr">
        <is>
          <t>8 h</t>
        </is>
      </c>
      <c r="J162" s="50" t="inlineStr">
        <is>
          <t>按小时</t>
        </is>
      </c>
      <c r="K162" s="50" t="inlineStr">
        <is>
          <t>1,500/h</t>
        </is>
      </c>
      <c r="L162" s="51" t="n">
        <v>12000</v>
      </c>
      <c r="M162" s="50" t="inlineStr">
        <is>
          <t>8h × 1,500/h = 12,000</t>
        </is>
      </c>
      <c r="N162" s="50" t="n"/>
    </row>
    <row r="163" ht="20" customHeight="1" s="4">
      <c r="A163" s="50" t="inlineStr">
        <is>
          <t>Group D-8</t>
        </is>
      </c>
      <c r="B163" s="50" t="n">
        <v>5</v>
      </c>
      <c r="C163" s="50" t="inlineStr">
        <is>
          <t>PV</t>
        </is>
      </c>
      <c r="D163" s="50" t="inlineStr">
        <is>
          <t>Group D Parallel Tests / D-8</t>
        </is>
      </c>
      <c r="E163" s="50" t="inlineStr">
        <is>
          <t>K28</t>
        </is>
      </c>
      <c r="F163" s="50" t="inlineStr">
        <is>
          <t>K28 HALT Thermal Shock</t>
        </is>
      </c>
      <c r="G163" s="50" t="inlineStr">
        <is>
          <t>77-91</t>
        </is>
      </c>
      <c r="H163" s="50" t="inlineStr">
        <is>
          <t>8 h</t>
        </is>
      </c>
      <c r="I163" s="50" t="inlineStr">
        <is>
          <t>8 h</t>
        </is>
      </c>
      <c r="J163" s="50" t="inlineStr">
        <is>
          <t>按小时</t>
        </is>
      </c>
      <c r="K163" s="50" t="inlineStr">
        <is>
          <t>1,500/h</t>
        </is>
      </c>
      <c r="L163" s="51" t="n">
        <v>12000</v>
      </c>
      <c r="M163" s="50" t="inlineStr">
        <is>
          <t>8h × 1,500/h = 12,000</t>
        </is>
      </c>
      <c r="N163" s="50" t="n"/>
    </row>
    <row r="164" ht="20" customHeight="1" s="4">
      <c r="A164" s="50" t="inlineStr">
        <is>
          <t>Group D-8</t>
        </is>
      </c>
      <c r="B164" s="50" t="n">
        <v>6</v>
      </c>
      <c r="C164" s="50" t="inlineStr">
        <is>
          <t>PV</t>
        </is>
      </c>
      <c r="D164" s="50" t="inlineStr">
        <is>
          <t>Group D Parallel Tests / D-8</t>
        </is>
      </c>
      <c r="E164" s="50" t="inlineStr">
        <is>
          <t>K28</t>
        </is>
      </c>
      <c r="F164" s="50" t="inlineStr">
        <is>
          <t>K28 HALT Vibration</t>
        </is>
      </c>
      <c r="G164" s="50" t="inlineStr">
        <is>
          <t>77-91</t>
        </is>
      </c>
      <c r="H164" s="50" t="inlineStr">
        <is>
          <t>8 h</t>
        </is>
      </c>
      <c r="I164" s="50" t="inlineStr">
        <is>
          <t>8 h</t>
        </is>
      </c>
      <c r="J164" s="50" t="inlineStr">
        <is>
          <t>按小时</t>
        </is>
      </c>
      <c r="K164" s="50" t="inlineStr">
        <is>
          <t>1,500/h</t>
        </is>
      </c>
      <c r="L164" s="51" t="n">
        <v>12000</v>
      </c>
      <c r="M164" s="50" t="inlineStr">
        <is>
          <t>8h × 1,500/h = 12,000</t>
        </is>
      </c>
      <c r="N164" s="50" t="n"/>
    </row>
    <row r="165" ht="20" customHeight="1" s="4">
      <c r="A165" s="50" t="inlineStr">
        <is>
          <t>Group D-8</t>
        </is>
      </c>
      <c r="B165" s="50" t="n">
        <v>7</v>
      </c>
      <c r="C165" s="50" t="inlineStr">
        <is>
          <t>PV</t>
        </is>
      </c>
      <c r="D165" s="50" t="inlineStr">
        <is>
          <t>Group D Parallel Tests / D-8</t>
        </is>
      </c>
      <c r="E165" s="50" t="inlineStr">
        <is>
          <t>K28</t>
        </is>
      </c>
      <c r="F165" s="50" t="inlineStr">
        <is>
          <t>K28 HALT TST &amp; Vibration</t>
        </is>
      </c>
      <c r="G165" s="50" t="inlineStr">
        <is>
          <t>77-91</t>
        </is>
      </c>
      <c r="H165" s="50" t="inlineStr">
        <is>
          <t>8 h</t>
        </is>
      </c>
      <c r="I165" s="50" t="inlineStr">
        <is>
          <t>8 h</t>
        </is>
      </c>
      <c r="J165" s="50" t="inlineStr">
        <is>
          <t>按小时</t>
        </is>
      </c>
      <c r="K165" s="50" t="inlineStr">
        <is>
          <t>1,500/h</t>
        </is>
      </c>
      <c r="L165" s="51" t="n">
        <v>12000</v>
      </c>
      <c r="M165" s="50" t="inlineStr">
        <is>
          <t>8h × 1,500/h = 12,000</t>
        </is>
      </c>
      <c r="N165" s="50" t="n"/>
    </row>
    <row r="166" ht="20" customHeight="1" s="4">
      <c r="A166" s="50" t="inlineStr">
        <is>
          <t>Group D-8</t>
        </is>
      </c>
      <c r="B166" s="50" t="n">
        <v>8</v>
      </c>
      <c r="C166" s="50" t="inlineStr">
        <is>
          <t>PV</t>
        </is>
      </c>
      <c r="D166" s="50" t="inlineStr">
        <is>
          <t>Group D Parallel Tests / D-8</t>
        </is>
      </c>
      <c r="E166" s="50" t="inlineStr">
        <is>
          <t>L1&amp;L4</t>
        </is>
      </c>
      <c r="F166" s="50" t="inlineStr">
        <is>
          <t>L1&amp;L4 Performance Evaluation &amp; Functional Evaluation</t>
        </is>
      </c>
      <c r="G166" s="50" t="inlineStr">
        <is>
          <t>77-91</t>
        </is>
      </c>
      <c r="H166" s="50" t="inlineStr">
        <is>
          <t>9 个样品</t>
        </is>
      </c>
      <c r="I166" s="50" t="inlineStr">
        <is>
          <t>72 h</t>
        </is>
      </c>
      <c r="J166" s="50" t="inlineStr">
        <is>
          <t>按样品数量</t>
        </is>
      </c>
      <c r="K166" s="50" t="inlineStr">
        <is>
          <t>400/个</t>
        </is>
      </c>
      <c r="L166" s="51" t="n">
        <v>3600</v>
      </c>
      <c r="M166" s="50" t="inlineStr">
        <is>
          <t>9个 × 400/个 = 3,600</t>
        </is>
      </c>
      <c r="N166" s="50" t="n"/>
    </row>
    <row r="167" ht="24" customHeight="1" s="4">
      <c r="A167" s="54" t="inlineStr">
        <is>
          <t>Group D-9：PV / Group D Parallel Tests / D-9</t>
        </is>
      </c>
    </row>
    <row r="168" ht="24" customHeight="1" s="4">
      <c r="A168" s="56" t="inlineStr">
        <is>
          <t>组别顺序</t>
        </is>
      </c>
      <c r="B168" s="56" t="inlineStr">
        <is>
          <t>组内顺序</t>
        </is>
      </c>
      <c r="C168" s="56" t="inlineStr">
        <is>
          <t>Phase</t>
        </is>
      </c>
      <c r="D168" s="56" t="inlineStr">
        <is>
          <t>Group</t>
        </is>
      </c>
      <c r="E168" s="56" t="inlineStr">
        <is>
          <t>测试编号</t>
        </is>
      </c>
      <c r="F168" s="56" t="inlineStr">
        <is>
          <t>测试项目</t>
        </is>
      </c>
      <c r="G168" s="56" t="inlineStr">
        <is>
          <t>样品范围</t>
        </is>
      </c>
      <c r="H168" s="56" t="inlineStr">
        <is>
          <t>计费基数</t>
        </is>
      </c>
      <c r="I168" s="56" t="inlineStr">
        <is>
          <t>测试时间</t>
        </is>
      </c>
      <c r="J168" s="56" t="inlineStr">
        <is>
          <t>计费方式</t>
        </is>
      </c>
      <c r="K168" s="56" t="inlineStr">
        <is>
          <t>单价</t>
        </is>
      </c>
      <c r="L168" s="57" t="inlineStr">
        <is>
          <t>委外费用</t>
        </is>
      </c>
      <c r="M168" s="56" t="inlineStr">
        <is>
          <t>费用计算公式</t>
        </is>
      </c>
      <c r="N168" s="56" t="inlineStr">
        <is>
          <t>备注</t>
        </is>
      </c>
    </row>
    <row r="169" ht="20" customHeight="1" s="4">
      <c r="A169" s="50" t="inlineStr">
        <is>
          <t>Group D-9</t>
        </is>
      </c>
      <c r="B169" s="50" t="n">
        <v>2</v>
      </c>
      <c r="C169" s="50" t="inlineStr">
        <is>
          <t>PV</t>
        </is>
      </c>
      <c r="D169" s="50" t="inlineStr">
        <is>
          <t>Group D Parallel Tests / D-9</t>
        </is>
      </c>
      <c r="E169" s="50" t="inlineStr">
        <is>
          <t>L1&amp;L4</t>
        </is>
      </c>
      <c r="F169" s="50" t="inlineStr">
        <is>
          <t>L1&amp;L4 Performance Evaluation &amp; Functional Evaluation</t>
        </is>
      </c>
      <c r="G169" s="50" t="inlineStr">
        <is>
          <t>92-97</t>
        </is>
      </c>
      <c r="H169" s="50" t="inlineStr">
        <is>
          <t>6 个样品</t>
        </is>
      </c>
      <c r="I169" s="50" t="inlineStr">
        <is>
          <t>72 h</t>
        </is>
      </c>
      <c r="J169" s="50" t="inlineStr">
        <is>
          <t>按样品数量</t>
        </is>
      </c>
      <c r="K169" s="50" t="inlineStr">
        <is>
          <t>400/个</t>
        </is>
      </c>
      <c r="L169" s="51" t="n">
        <v>2400</v>
      </c>
      <c r="M169" s="50" t="inlineStr">
        <is>
          <t>6个 × 400/个 = 2,400</t>
        </is>
      </c>
      <c r="N169" s="50" t="n"/>
    </row>
    <row r="170" ht="20" customHeight="1" s="4">
      <c r="A170" s="50" t="inlineStr">
        <is>
          <t>Group D-9</t>
        </is>
      </c>
      <c r="B170" s="50" t="n">
        <v>3</v>
      </c>
      <c r="C170" s="50" t="inlineStr">
        <is>
          <t>PV</t>
        </is>
      </c>
      <c r="D170" s="50" t="inlineStr">
        <is>
          <t>Group D Parallel Tests / D-9</t>
        </is>
      </c>
      <c r="E170" s="50" t="inlineStr">
        <is>
          <t>K52.351</t>
        </is>
      </c>
      <c r="F170" s="50" t="inlineStr">
        <is>
          <t>K52.351 Condensing humidity</t>
        </is>
      </c>
      <c r="G170" s="50" t="inlineStr">
        <is>
          <t>92-97</t>
        </is>
      </c>
      <c r="H170" s="50" t="inlineStr">
        <is>
          <t>120 h</t>
        </is>
      </c>
      <c r="I170" s="50" t="inlineStr">
        <is>
          <t>120 h</t>
        </is>
      </c>
      <c r="J170" s="50" t="inlineStr">
        <is>
          <t>按小时</t>
        </is>
      </c>
      <c r="K170" s="50" t="inlineStr">
        <is>
          <t>55/h</t>
        </is>
      </c>
      <c r="L170" s="51" t="n">
        <v>6600</v>
      </c>
      <c r="M170" s="50" t="inlineStr">
        <is>
          <t>120h × 55/h = 6,600</t>
        </is>
      </c>
      <c r="N170" s="50" t="n"/>
    </row>
    <row r="171" ht="20" customHeight="1" s="4">
      <c r="A171" s="50" t="inlineStr">
        <is>
          <t>Group D-9</t>
        </is>
      </c>
      <c r="B171" s="50" t="n">
        <v>4</v>
      </c>
      <c r="C171" s="50" t="inlineStr">
        <is>
          <t>PV</t>
        </is>
      </c>
      <c r="D171" s="50" t="inlineStr">
        <is>
          <t>Group D Parallel Tests / D-9</t>
        </is>
      </c>
      <c r="E171" s="50" t="inlineStr">
        <is>
          <t>L1&amp;L4</t>
        </is>
      </c>
      <c r="F171" s="50" t="inlineStr">
        <is>
          <t>L1&amp;L4 Performance Evaluation &amp; Functional Evaluation</t>
        </is>
      </c>
      <c r="G171" s="50" t="inlineStr">
        <is>
          <t>92-97</t>
        </is>
      </c>
      <c r="H171" s="50" t="inlineStr">
        <is>
          <t>6 个样品</t>
        </is>
      </c>
      <c r="I171" s="50" t="inlineStr">
        <is>
          <t>48 h</t>
        </is>
      </c>
      <c r="J171" s="50" t="inlineStr">
        <is>
          <t>按样品数量</t>
        </is>
      </c>
      <c r="K171" s="50" t="inlineStr">
        <is>
          <t>400/个</t>
        </is>
      </c>
      <c r="L171" s="51" t="n">
        <v>2400</v>
      </c>
      <c r="M171" s="50" t="inlineStr">
        <is>
          <t>6个 × 400/个 = 2,400</t>
        </is>
      </c>
      <c r="N171" s="50" t="n"/>
    </row>
  </sheetData>
  <mergeCells count="24">
    <mergeCell ref="A127:N127"/>
    <mergeCell ref="A167:N167"/>
    <mergeCell ref="A143:N143"/>
    <mergeCell ref="A148:N148"/>
    <mergeCell ref="A60:N60"/>
    <mergeCell ref="A49:N49"/>
    <mergeCell ref="A107:N107"/>
    <mergeCell ref="A138:N138"/>
    <mergeCell ref="A1:N1"/>
    <mergeCell ref="A132:N132"/>
    <mergeCell ref="A70:N70"/>
    <mergeCell ref="A88:N88"/>
    <mergeCell ref="A153:N153"/>
    <mergeCell ref="A54:N54"/>
    <mergeCell ref="A65:N65"/>
    <mergeCell ref="A75:N75"/>
    <mergeCell ref="A80:N80"/>
    <mergeCell ref="A158:N158"/>
    <mergeCell ref="A113:N113"/>
    <mergeCell ref="A122:N122"/>
    <mergeCell ref="A35:N35"/>
    <mergeCell ref="A29:N29"/>
    <mergeCell ref="A10:N10"/>
    <mergeCell ref="A44:N44"/>
  </mergeCells>
  <conditionalFormatting sqref="L12:L171">
    <cfRule type="dataBar" priority="1">
      <dataBar>
        <cfvo type="min"/>
        <cfvo type="max"/>
        <color rgb="FF9EADCC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topLeftCell="A9" workbookViewId="0">
      <selection activeCell="E16" sqref="E16"/>
    </sheetView>
  </sheetViews>
  <sheetFormatPr baseColWidth="8" defaultColWidth="9.642857142857141" defaultRowHeight="17.6"/>
  <cols>
    <col width="14" customWidth="1" style="4" min="1" max="1"/>
    <col width="10" customWidth="1" style="4" min="2" max="3"/>
    <col width="34" customWidth="1" style="4" min="4" max="4"/>
    <col width="12" customWidth="1" style="4" min="5" max="7"/>
    <col width="14" customWidth="1" style="4" min="8" max="9"/>
    <col width="12" customWidth="1" style="4" min="10" max="10"/>
    <col width="13" customWidth="1" style="4" min="11" max="14"/>
    <col width="15" customWidth="1" style="4" min="15" max="15"/>
    <col width="13" customWidth="1" style="4" min="16" max="16"/>
    <col width="12" customWidth="1" style="4" min="17" max="17"/>
    <col width="42" customWidth="1" style="4" min="18" max="18"/>
  </cols>
  <sheetData>
    <row r="1" ht="24" customHeight="1" s="4">
      <c r="A1" s="5" t="inlineStr">
        <is>
          <t>项目概要</t>
        </is>
      </c>
      <c r="E1" s="6" t="n"/>
      <c r="F1" s="5" t="inlineStr">
        <is>
          <t>整包报价 vs 预估</t>
        </is>
      </c>
      <c r="L1" s="7" t="inlineStr">
        <is>
          <t>预估费用剔除项</t>
        </is>
      </c>
      <c r="P1" s="8" t="inlineStr">
        <is>
          <t>测试项目一致性检查</t>
        </is>
      </c>
    </row>
    <row r="2" ht="22" customHeight="1" s="4">
      <c r="A2" s="9" t="inlineStr">
        <is>
          <t>OEM</t>
        </is>
      </c>
      <c r="B2" s="10" t="inlineStr">
        <is>
          <t>JLR</t>
        </is>
      </c>
      <c r="C2" s="9" t="inlineStr">
        <is>
          <t>平台</t>
        </is>
      </c>
      <c r="D2" s="10" t="inlineStr">
        <is>
          <t>MLA</t>
        </is>
      </c>
      <c r="E2" s="6" t="n"/>
      <c r="F2" s="11" t="inlineStr">
        <is>
          <t>范围</t>
        </is>
      </c>
      <c r="G2" s="11" t="inlineStr">
        <is>
          <t>预估费用</t>
        </is>
      </c>
      <c r="H2" s="11" t="inlineStr">
        <is>
          <t>SGS</t>
        </is>
      </c>
      <c r="I2" s="11" t="inlineStr">
        <is>
          <t>华测</t>
        </is>
      </c>
      <c r="J2" s="11" t="inlineStr">
        <is>
          <t>苏勃</t>
        </is>
      </c>
      <c r="K2" s="12" t="inlineStr">
        <is>
          <t>最低报价</t>
        </is>
      </c>
      <c r="L2" s="13" t="inlineStr">
        <is>
          <t>范围</t>
        </is>
      </c>
      <c r="M2" s="13" t="inlineStr">
        <is>
          <t>原委外预估</t>
        </is>
      </c>
      <c r="N2" s="13" t="inlineStr">
        <is>
          <t>特殊项目费用</t>
        </is>
      </c>
      <c r="O2" s="13" t="inlineStr">
        <is>
          <t>剔除后预估</t>
        </is>
      </c>
      <c r="P2" s="14" t="inlineStr">
        <is>
          <t>检查项</t>
        </is>
      </c>
      <c r="Q2" s="14" t="inlineStr">
        <is>
          <t>结果</t>
        </is>
      </c>
      <c r="R2" s="14" t="inlineStr">
        <is>
          <t>说明</t>
        </is>
      </c>
    </row>
    <row r="3" ht="22" customHeight="1" s="4">
      <c r="A3" s="9" t="inlineStr">
        <is>
          <t>项目名称/编号</t>
        </is>
      </c>
      <c r="B3" s="10" t="inlineStr">
        <is>
          <t>L463</t>
        </is>
      </c>
      <c r="C3" s="9" t="inlineStr">
        <is>
          <t>驾驶方向</t>
        </is>
      </c>
      <c r="D3" s="10" t="inlineStr">
        <is>
          <t>LHD</t>
        </is>
      </c>
      <c r="E3" s="6" t="n"/>
      <c r="F3" s="9" t="inlineStr">
        <is>
          <t>DV</t>
        </is>
      </c>
      <c r="G3" s="15" t="n">
        <v>635228</v>
      </c>
      <c r="H3" s="15">
        <f>SUMIFS($E$11:$E$37,$C$11:$C$37,F3)</f>
        <v/>
      </c>
      <c r="I3" s="15">
        <f>SUMIFS($F$11:$F$37,$C$11:$C$37,F3)</f>
        <v/>
      </c>
      <c r="J3" s="15">
        <f>SUMIFS($G$11:$G$37,$C$11:$C$37,F3)</f>
        <v/>
      </c>
      <c r="K3" s="16">
        <f>MIN(H3:J3)</f>
        <v/>
      </c>
      <c r="L3" s="17" t="inlineStr">
        <is>
          <t>DV</t>
        </is>
      </c>
      <c r="M3" s="18" t="n">
        <v>653228</v>
      </c>
      <c r="N3" s="19" t="n">
        <v>18000</v>
      </c>
      <c r="O3" s="20" t="n">
        <v>635228</v>
      </c>
      <c r="P3" s="21" t="inlineStr">
        <is>
          <t>三家实验室项目清单</t>
        </is>
      </c>
      <c r="Q3" s="22" t="inlineStr">
        <is>
          <t>一致</t>
        </is>
      </c>
      <c r="R3" s="21" t="inlineStr">
        <is>
          <t>SGS / 华测 / 苏勃在同一 Phase + Group 下的测试编号一致</t>
        </is>
      </c>
    </row>
    <row r="4" ht="22" customHeight="1" s="4">
      <c r="A4" s="9" t="inlineStr">
        <is>
          <t>项目类型</t>
        </is>
      </c>
      <c r="B4" s="10" t="inlineStr">
        <is>
          <t>新增项目</t>
        </is>
      </c>
      <c r="C4" s="9" t="inlineStr">
        <is>
          <t>导出范围</t>
        </is>
      </c>
      <c r="D4" s="10" t="inlineStr">
        <is>
          <t>DV + PV</t>
        </is>
      </c>
      <c r="E4" s="6" t="n"/>
      <c r="F4" s="9" t="inlineStr">
        <is>
          <t>PV</t>
        </is>
      </c>
      <c r="G4" s="15" t="n">
        <v>672028</v>
      </c>
      <c r="H4" s="15">
        <f>SUMIFS($E$11:$E$37,$C$11:$C$37,F4)</f>
        <v/>
      </c>
      <c r="I4" s="15">
        <f>SUMIFS($F$11:$F$37,$C$11:$C$37,F4)</f>
        <v/>
      </c>
      <c r="J4" s="15">
        <f>SUMIFS($G$11:$G$37,$C$11:$C$37,F4)</f>
        <v/>
      </c>
      <c r="K4" s="16">
        <f>MIN(H4:J4)</f>
        <v/>
      </c>
      <c r="L4" s="17" t="inlineStr">
        <is>
          <t>PV</t>
        </is>
      </c>
      <c r="M4" s="18" t="n">
        <v>690028</v>
      </c>
      <c r="N4" s="19" t="n">
        <v>18000</v>
      </c>
      <c r="O4" s="20" t="n">
        <v>672028</v>
      </c>
      <c r="P4" s="21" t="inlineStr">
        <is>
          <t>预估费用口径</t>
        </is>
      </c>
      <c r="Q4" s="22" t="inlineStr">
        <is>
          <t>已剔除</t>
        </is>
      </c>
      <c r="R4" s="21" t="inlineStr">
        <is>
          <t>预估费用已扣除内部费用，并剔除特殊测试项目费用</t>
        </is>
      </c>
    </row>
    <row r="5" ht="22" customHeight="1" s="4">
      <c r="A5" s="9" t="inlineStr">
        <is>
          <t>是否完全复用</t>
        </is>
      </c>
      <c r="B5" s="10" t="inlineStr">
        <is>
          <t>是</t>
        </is>
      </c>
      <c r="C5" s="9" t="inlineStr">
        <is>
          <t>环境模板</t>
        </is>
      </c>
      <c r="D5" s="10" t="inlineStr">
        <is>
          <t>完全复用</t>
        </is>
      </c>
      <c r="E5" s="6" t="n"/>
      <c r="F5" s="9" t="inlineStr">
        <is>
          <t>DV+PV</t>
        </is>
      </c>
      <c r="G5" s="15" t="n">
        <v>1307256</v>
      </c>
      <c r="H5" s="15">
        <f>SUM(H3:H4)</f>
        <v/>
      </c>
      <c r="I5" s="15">
        <f>SUM(I3:I4)</f>
        <v/>
      </c>
      <c r="J5" s="15">
        <f>SUM(J3:J4)</f>
        <v/>
      </c>
      <c r="K5" s="16">
        <f>MIN(H5:J5)</f>
        <v/>
      </c>
      <c r="L5" s="17" t="inlineStr">
        <is>
          <t>DV+PV</t>
        </is>
      </c>
      <c r="M5" s="18" t="n">
        <v>1343256</v>
      </c>
      <c r="N5" s="19" t="n">
        <v>36000</v>
      </c>
      <c r="O5" s="20" t="n">
        <v>1307256</v>
      </c>
      <c r="P5" s="21" t="inlineStr">
        <is>
          <t>比价规则</t>
        </is>
      </c>
      <c r="Q5" s="22" t="inlineStr">
        <is>
          <t>可比后比价</t>
        </is>
      </c>
      <c r="R5" s="21" t="inlineStr">
        <is>
          <t>仅在测试项目一致的行进行价格比较；单项最低仅作为议价参考</t>
        </is>
      </c>
    </row>
    <row r="6" ht="22" customHeight="1" s="4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40" customHeight="1" s="4">
      <c r="A7" s="6" t="n"/>
      <c r="B7" s="6" t="n"/>
      <c r="C7" s="6" t="n"/>
      <c r="D7" s="6" t="n"/>
      <c r="E7" s="6" t="n"/>
      <c r="F7" s="23" t="inlineStr">
        <is>
          <t>说明：费用对比页已按《JLR-MLA 费用规则》重新核对三家实验室明细费用；预估费用仍为第一页委外费用口径，并已扣除内部费用及特殊测试项目费用。单项最低仅作为议价参考，整包比价需先确认测试项目一致。</t>
        </is>
      </c>
    </row>
    <row r="8" ht="24" customHeight="1" s="4">
      <c r="A8" s="24" t="inlineStr">
        <is>
          <t>DV 组别顺序</t>
        </is>
      </c>
      <c r="B8" s="25" t="inlineStr">
        <is>
          <t>Group A -&gt; Group B -&gt; Group C -&gt; Group D-1 -&gt; Group D-2 -&gt; Group D-3 -&gt; Group D-4 -&gt; Group D-5 -&gt; Group D-6 -&gt; Group D-7 -&gt; Group D-9</t>
        </is>
      </c>
    </row>
    <row r="9" ht="26" customHeight="1" s="4">
      <c r="A9" s="26" t="inlineStr">
        <is>
          <t>Phase: DV</t>
        </is>
      </c>
    </row>
    <row r="10" ht="24" customHeight="1" s="4">
      <c r="A10" s="11" t="inlineStr">
        <is>
          <t>组别顺序</t>
        </is>
      </c>
      <c r="B10" s="11" t="inlineStr">
        <is>
          <t>组内顺序</t>
        </is>
      </c>
      <c r="C10" s="11" t="inlineStr">
        <is>
          <t>Phase</t>
        </is>
      </c>
      <c r="D10" s="11" t="inlineStr">
        <is>
          <t>Group</t>
        </is>
      </c>
      <c r="E10" s="11" t="inlineStr">
        <is>
          <t>SGS</t>
        </is>
      </c>
      <c r="F10" s="11" t="inlineStr">
        <is>
          <t>华测</t>
        </is>
      </c>
      <c r="G10" s="11" t="inlineStr">
        <is>
          <t>苏勃</t>
        </is>
      </c>
      <c r="H10" s="11" t="inlineStr">
        <is>
          <t>最低实验室</t>
        </is>
      </c>
      <c r="I10" s="11" t="inlineStr">
        <is>
          <t>最高实验室</t>
        </is>
      </c>
      <c r="J10" s="11" t="inlineStr">
        <is>
          <t>差额</t>
        </is>
      </c>
      <c r="K10" s="11" t="inlineStr">
        <is>
          <t>预估费用</t>
        </is>
      </c>
      <c r="L10" s="11" t="inlineStr">
        <is>
          <t>SGS-预估</t>
        </is>
      </c>
      <c r="M10" s="11" t="inlineStr">
        <is>
          <t>华测-预估</t>
        </is>
      </c>
      <c r="N10" s="11" t="inlineStr">
        <is>
          <t>苏勃-预估</t>
        </is>
      </c>
      <c r="O10" s="11" t="inlineStr">
        <is>
          <t>最低报价-预估</t>
        </is>
      </c>
      <c r="P10" s="27" t="inlineStr">
        <is>
          <t>项目一致性</t>
        </is>
      </c>
      <c r="Q10" s="27" t="inlineStr">
        <is>
          <t>比价状态</t>
        </is>
      </c>
      <c r="R10" s="27" t="inlineStr">
        <is>
          <t>一致性说明</t>
        </is>
      </c>
    </row>
    <row r="11" ht="22" customHeight="1" s="4">
      <c r="A11" s="10" t="inlineStr">
        <is>
          <t>Group A</t>
        </is>
      </c>
      <c r="B11" s="10" t="n"/>
      <c r="C11" s="10" t="inlineStr">
        <is>
          <t>DV</t>
        </is>
      </c>
      <c r="D11" s="28" t="inlineStr">
        <is>
          <t>Group A Sequence Tests</t>
        </is>
      </c>
      <c r="E11" s="15" t="n">
        <v>272816</v>
      </c>
      <c r="F11" s="15" t="n">
        <v>273834</v>
      </c>
      <c r="G11" s="15" t="n">
        <v>196780</v>
      </c>
      <c r="H11" s="16" t="inlineStr">
        <is>
          <t>苏勃</t>
        </is>
      </c>
      <c r="I11" s="29" t="inlineStr">
        <is>
          <t>华测</t>
        </is>
      </c>
      <c r="J11" s="30" t="n">
        <v>77054</v>
      </c>
      <c r="K11" s="31" t="n">
        <v>222660</v>
      </c>
      <c r="L11" s="32" t="n">
        <v>50156</v>
      </c>
      <c r="M11" s="32" t="n">
        <v>51174</v>
      </c>
      <c r="N11" s="32" t="n">
        <v>-25880</v>
      </c>
      <c r="O11" s="32" t="n">
        <v>-25880</v>
      </c>
      <c r="P11" s="33" t="inlineStr">
        <is>
          <t>一致</t>
        </is>
      </c>
      <c r="Q11" s="33" t="inlineStr">
        <is>
          <t>可比</t>
        </is>
      </c>
      <c r="R11" s="34" t="inlineStr">
        <is>
          <t>三家实验室测试编号一致；预估费用已剔除特殊测试项目</t>
        </is>
      </c>
    </row>
    <row r="12" ht="22" customHeight="1" s="4">
      <c r="A12" s="35" t="inlineStr">
        <is>
          <t>Group B</t>
        </is>
      </c>
      <c r="B12" s="35" t="n"/>
      <c r="C12" s="35" t="inlineStr">
        <is>
          <t>DV</t>
        </is>
      </c>
      <c r="D12" s="36" t="inlineStr">
        <is>
          <t>Group B Sequence Tests</t>
        </is>
      </c>
      <c r="E12" s="37" t="n">
        <v>39790</v>
      </c>
      <c r="F12" s="37" t="n">
        <v>56600</v>
      </c>
      <c r="G12" s="37" t="n">
        <v>25760</v>
      </c>
      <c r="H12" s="38" t="inlineStr">
        <is>
          <t>苏勃</t>
        </is>
      </c>
      <c r="I12" s="39" t="inlineStr">
        <is>
          <t>华测</t>
        </is>
      </c>
      <c r="J12" s="40" t="n">
        <v>30840</v>
      </c>
      <c r="K12" s="31" t="n">
        <v>39790</v>
      </c>
      <c r="L12" s="37" t="n">
        <v>0</v>
      </c>
      <c r="M12" s="37" t="n">
        <v>16810</v>
      </c>
      <c r="N12" s="37" t="n">
        <v>-14030</v>
      </c>
      <c r="O12" s="37" t="n">
        <v>-14030</v>
      </c>
      <c r="P12" s="33" t="inlineStr">
        <is>
          <t>一致</t>
        </is>
      </c>
      <c r="Q12" s="33" t="inlineStr">
        <is>
          <t>可比</t>
        </is>
      </c>
      <c r="R12" s="34" t="inlineStr">
        <is>
          <t>三家实验室测试编号一致；预估费用已剔除特殊测试项目</t>
        </is>
      </c>
    </row>
    <row r="13" ht="22" customHeight="1" s="4">
      <c r="A13" s="10" t="inlineStr">
        <is>
          <t>Group C</t>
        </is>
      </c>
      <c r="B13" s="10" t="n"/>
      <c r="C13" s="10" t="inlineStr">
        <is>
          <t>DV</t>
        </is>
      </c>
      <c r="D13" s="28" t="inlineStr">
        <is>
          <t>Group C Sequence Tests</t>
        </is>
      </c>
      <c r="E13" s="15" t="n">
        <v>39958</v>
      </c>
      <c r="F13" s="15" t="n">
        <v>37838</v>
      </c>
      <c r="G13" s="15" t="n">
        <v>57960</v>
      </c>
      <c r="H13" s="16" t="inlineStr">
        <is>
          <t>华测</t>
        </is>
      </c>
      <c r="I13" s="29" t="inlineStr">
        <is>
          <t>苏勃</t>
        </is>
      </c>
      <c r="J13" s="30" t="n">
        <v>20122</v>
      </c>
      <c r="K13" s="31" t="n">
        <v>34458</v>
      </c>
      <c r="L13" s="32" t="n">
        <v>5500</v>
      </c>
      <c r="M13" s="32" t="n">
        <v>3380</v>
      </c>
      <c r="N13" s="32" t="n">
        <v>23502</v>
      </c>
      <c r="O13" s="32" t="n">
        <v>3380</v>
      </c>
      <c r="P13" s="33" t="inlineStr">
        <is>
          <t>一致</t>
        </is>
      </c>
      <c r="Q13" s="33" t="inlineStr">
        <is>
          <t>可比</t>
        </is>
      </c>
      <c r="R13" s="34" t="inlineStr">
        <is>
          <t>三家实验室测试编号一致；预估费用已剔除特殊测试项目</t>
        </is>
      </c>
    </row>
    <row r="14" ht="22" customHeight="1" s="4">
      <c r="A14" s="35" t="inlineStr">
        <is>
          <t>Group D-1</t>
        </is>
      </c>
      <c r="B14" s="35" t="n"/>
      <c r="C14" s="35" t="inlineStr">
        <is>
          <t>DV</t>
        </is>
      </c>
      <c r="D14" s="36" t="inlineStr">
        <is>
          <t>Group D Parallel Tests / D-1 Corrosive Gases</t>
        </is>
      </c>
      <c r="E14" s="37" t="n">
        <v>41760</v>
      </c>
      <c r="F14" s="37" t="n">
        <v>48720</v>
      </c>
      <c r="G14" s="37" t="n">
        <v>55200</v>
      </c>
      <c r="H14" s="38" t="inlineStr">
        <is>
          <t>SGS</t>
        </is>
      </c>
      <c r="I14" s="39" t="inlineStr">
        <is>
          <t>苏勃</t>
        </is>
      </c>
      <c r="J14" s="40" t="n">
        <v>13440</v>
      </c>
      <c r="K14" s="31" t="n">
        <v>45120</v>
      </c>
      <c r="L14" s="37" t="n">
        <v>-3360</v>
      </c>
      <c r="M14" s="37" t="n">
        <v>3600</v>
      </c>
      <c r="N14" s="37" t="n">
        <v>10080</v>
      </c>
      <c r="O14" s="37" t="n">
        <v>-3360</v>
      </c>
      <c r="P14" s="33" t="inlineStr">
        <is>
          <t>一致</t>
        </is>
      </c>
      <c r="Q14" s="33" t="inlineStr">
        <is>
          <t>可比</t>
        </is>
      </c>
      <c r="R14" s="34" t="inlineStr">
        <is>
          <t>三家实验室测试编号一致；预估费用已剔除特殊测试项目</t>
        </is>
      </c>
    </row>
    <row r="15" ht="22" customHeight="1" s="4">
      <c r="A15" s="10" t="inlineStr">
        <is>
          <t>Group D-2</t>
        </is>
      </c>
      <c r="B15" s="10" t="n"/>
      <c r="C15" s="10" t="inlineStr">
        <is>
          <t>DV</t>
        </is>
      </c>
      <c r="D15" s="28" t="inlineStr">
        <is>
          <t>Group D Parallel Tests / D-2 Solar Radiation</t>
        </is>
      </c>
      <c r="E15" s="15" t="n">
        <v>109200</v>
      </c>
      <c r="F15" s="15" t="n">
        <v>296400</v>
      </c>
      <c r="G15" s="15" t="n">
        <v>62400</v>
      </c>
      <c r="H15" s="16" t="inlineStr">
        <is>
          <t>苏勃</t>
        </is>
      </c>
      <c r="I15" s="29" t="inlineStr">
        <is>
          <t>华测</t>
        </is>
      </c>
      <c r="J15" s="30" t="n">
        <v>234000</v>
      </c>
      <c r="K15" s="31" t="n">
        <v>109200</v>
      </c>
      <c r="L15" s="32" t="n">
        <v>0</v>
      </c>
      <c r="M15" s="32" t="n">
        <v>187200</v>
      </c>
      <c r="N15" s="32" t="n">
        <v>-46800</v>
      </c>
      <c r="O15" s="32" t="n">
        <v>-46800</v>
      </c>
      <c r="P15" s="33" t="inlineStr">
        <is>
          <t>一致</t>
        </is>
      </c>
      <c r="Q15" s="33" t="inlineStr">
        <is>
          <t>可比</t>
        </is>
      </c>
      <c r="R15" s="34" t="inlineStr">
        <is>
          <t>三家实验室测试编号一致；预估费用已剔除特殊测试项目</t>
        </is>
      </c>
    </row>
    <row r="16" ht="22" customHeight="1" s="4">
      <c r="A16" s="35" t="inlineStr">
        <is>
          <t>Group D-3</t>
        </is>
      </c>
      <c r="B16" s="35" t="n"/>
      <c r="C16" s="35" t="inlineStr">
        <is>
          <t>DV</t>
        </is>
      </c>
      <c r="D16" s="36" t="inlineStr">
        <is>
          <t>Group D Parallel Tests / D-3 PCBA</t>
        </is>
      </c>
      <c r="E16" s="37" t="n">
        <v>66930</v>
      </c>
      <c r="F16" s="37" t="n">
        <v>75750</v>
      </c>
      <c r="G16" s="37" t="n">
        <v>83835</v>
      </c>
      <c r="H16" s="38" t="inlineStr">
        <is>
          <t>SGS</t>
        </is>
      </c>
      <c r="I16" s="39" t="inlineStr">
        <is>
          <t>苏勃</t>
        </is>
      </c>
      <c r="J16" s="40" t="n">
        <v>16905</v>
      </c>
      <c r="K16" s="31" t="n">
        <v>77100</v>
      </c>
      <c r="L16" s="37" t="n">
        <v>-10170</v>
      </c>
      <c r="M16" s="37" t="n">
        <v>-1350</v>
      </c>
      <c r="N16" s="37" t="n">
        <v>6735</v>
      </c>
      <c r="O16" s="37" t="n">
        <v>-10170</v>
      </c>
      <c r="P16" s="33" t="inlineStr">
        <is>
          <t>一致</t>
        </is>
      </c>
      <c r="Q16" s="33" t="inlineStr">
        <is>
          <t>可比</t>
        </is>
      </c>
      <c r="R16" s="34" t="inlineStr">
        <is>
          <t>三家实验室测试编号一致；预估费用已剔除特殊测试项目</t>
        </is>
      </c>
    </row>
    <row r="17" ht="22" customHeight="1" s="4">
      <c r="A17" s="10" t="inlineStr">
        <is>
          <t>Group D-4</t>
        </is>
      </c>
      <c r="B17" s="10" t="n"/>
      <c r="C17" s="10" t="inlineStr">
        <is>
          <t>DV</t>
        </is>
      </c>
      <c r="D17" s="28" t="inlineStr">
        <is>
          <t>Group D Parallel Tests / D-4 Dewing Test</t>
        </is>
      </c>
      <c r="E17" s="15" t="n">
        <v>8900</v>
      </c>
      <c r="F17" s="15" t="n">
        <v>13400</v>
      </c>
      <c r="G17" s="15" t="n">
        <v>9800</v>
      </c>
      <c r="H17" s="16" t="inlineStr">
        <is>
          <t>SGS</t>
        </is>
      </c>
      <c r="I17" s="29" t="inlineStr">
        <is>
          <t>华测</t>
        </is>
      </c>
      <c r="J17" s="30" t="n">
        <v>4500</v>
      </c>
      <c r="K17" s="31" t="n">
        <v>9800</v>
      </c>
      <c r="L17" s="32" t="n">
        <v>-900</v>
      </c>
      <c r="M17" s="32" t="n">
        <v>3600</v>
      </c>
      <c r="N17" s="32" t="n">
        <v>0</v>
      </c>
      <c r="O17" s="32" t="n">
        <v>-900</v>
      </c>
      <c r="P17" s="33" t="inlineStr">
        <is>
          <t>一致</t>
        </is>
      </c>
      <c r="Q17" s="33" t="inlineStr">
        <is>
          <t>可比</t>
        </is>
      </c>
      <c r="R17" s="34" t="inlineStr">
        <is>
          <t>三家实验室测试编号一致；预估费用已剔除特殊测试项目</t>
        </is>
      </c>
    </row>
    <row r="18" ht="22" customHeight="1" s="4">
      <c r="A18" s="35" t="inlineStr">
        <is>
          <t>Group D-5</t>
        </is>
      </c>
      <c r="B18" s="35" t="n"/>
      <c r="C18" s="35" t="inlineStr">
        <is>
          <t>DV</t>
        </is>
      </c>
      <c r="D18" s="36" t="inlineStr">
        <is>
          <t>Group D Parallel Tests / D-5 Life Test-1</t>
        </is>
      </c>
      <c r="E18" s="37" t="n">
        <v>27800</v>
      </c>
      <c r="F18" s="37" t="n">
        <v>23400</v>
      </c>
      <c r="G18" s="37" t="n">
        <v>34800</v>
      </c>
      <c r="H18" s="38" t="inlineStr">
        <is>
          <t>华测</t>
        </is>
      </c>
      <c r="I18" s="39" t="inlineStr">
        <is>
          <t>苏勃</t>
        </is>
      </c>
      <c r="J18" s="40" t="n">
        <v>11400</v>
      </c>
      <c r="K18" s="31" t="n">
        <v>27800</v>
      </c>
      <c r="L18" s="37" t="n">
        <v>0</v>
      </c>
      <c r="M18" s="37" t="n">
        <v>-4400</v>
      </c>
      <c r="N18" s="37" t="n">
        <v>7000</v>
      </c>
      <c r="O18" s="37" t="n">
        <v>-4400</v>
      </c>
      <c r="P18" s="33" t="inlineStr">
        <is>
          <t>一致</t>
        </is>
      </c>
      <c r="Q18" s="33" t="inlineStr">
        <is>
          <t>可比</t>
        </is>
      </c>
      <c r="R18" s="34" t="inlineStr">
        <is>
          <t>三家实验室测试编号一致；预估费用已剔除特殊测试项目</t>
        </is>
      </c>
    </row>
    <row r="19" ht="22" customHeight="1" s="4">
      <c r="A19" s="10" t="inlineStr">
        <is>
          <t>Group D-6</t>
        </is>
      </c>
      <c r="B19" s="10" t="n"/>
      <c r="C19" s="10" t="inlineStr">
        <is>
          <t>DV</t>
        </is>
      </c>
      <c r="D19" s="28" t="inlineStr">
        <is>
          <t>Group D Parallel Tests / D-6 Life Test-2-1</t>
        </is>
      </c>
      <c r="E19" s="15" t="n">
        <v>27800</v>
      </c>
      <c r="F19" s="15" t="n">
        <v>28400</v>
      </c>
      <c r="G19" s="15" t="n">
        <v>34800</v>
      </c>
      <c r="H19" s="16" t="inlineStr">
        <is>
          <t>SGS</t>
        </is>
      </c>
      <c r="I19" s="29" t="inlineStr">
        <is>
          <t>苏勃</t>
        </is>
      </c>
      <c r="J19" s="30" t="n">
        <v>7000</v>
      </c>
      <c r="K19" s="31" t="n">
        <v>27800</v>
      </c>
      <c r="L19" s="32" t="n">
        <v>0</v>
      </c>
      <c r="M19" s="32" t="n">
        <v>600</v>
      </c>
      <c r="N19" s="32" t="n">
        <v>7000</v>
      </c>
      <c r="O19" s="32" t="n">
        <v>0</v>
      </c>
      <c r="P19" s="33" t="inlineStr">
        <is>
          <t>一致</t>
        </is>
      </c>
      <c r="Q19" s="33" t="inlineStr">
        <is>
          <t>可比</t>
        </is>
      </c>
      <c r="R19" s="34" t="inlineStr">
        <is>
          <t>三家实验室测试编号一致；预估费用已剔除特殊测试项目</t>
        </is>
      </c>
    </row>
    <row r="20" ht="22" customHeight="1" s="4">
      <c r="A20" s="35" t="inlineStr">
        <is>
          <t>Group D-7</t>
        </is>
      </c>
      <c r="B20" s="35" t="n"/>
      <c r="C20" s="35" t="inlineStr">
        <is>
          <t>DV</t>
        </is>
      </c>
      <c r="D20" s="36" t="inlineStr">
        <is>
          <t>Group D Parallel Tests / D-7 Life Test-2-2</t>
        </is>
      </c>
      <c r="E20" s="37" t="n">
        <v>30100</v>
      </c>
      <c r="F20" s="37" t="n">
        <v>30400</v>
      </c>
      <c r="G20" s="37" t="n">
        <v>37800</v>
      </c>
      <c r="H20" s="38" t="inlineStr">
        <is>
          <t>SGS</t>
        </is>
      </c>
      <c r="I20" s="39" t="inlineStr">
        <is>
          <t>苏勃</t>
        </is>
      </c>
      <c r="J20" s="40" t="n">
        <v>7700</v>
      </c>
      <c r="K20" s="31" t="n">
        <v>30100</v>
      </c>
      <c r="L20" s="37" t="n">
        <v>0</v>
      </c>
      <c r="M20" s="37" t="n">
        <v>300</v>
      </c>
      <c r="N20" s="37" t="n">
        <v>7700</v>
      </c>
      <c r="O20" s="37" t="n">
        <v>0</v>
      </c>
      <c r="P20" s="33" t="inlineStr">
        <is>
          <t>一致</t>
        </is>
      </c>
      <c r="Q20" s="33" t="inlineStr">
        <is>
          <t>可比</t>
        </is>
      </c>
      <c r="R20" s="34" t="inlineStr">
        <is>
          <t>三家实验室测试编号一致；预估费用已剔除特殊测试项目</t>
        </is>
      </c>
    </row>
    <row r="21" ht="22" customHeight="1" s="4">
      <c r="A21" s="10" t="inlineStr">
        <is>
          <t>Group D-9</t>
        </is>
      </c>
      <c r="B21" s="10" t="n"/>
      <c r="C21" s="10" t="inlineStr">
        <is>
          <t>DV</t>
        </is>
      </c>
      <c r="D21" s="28" t="inlineStr">
        <is>
          <t>Group D Parallel Tests / D-9</t>
        </is>
      </c>
      <c r="E21" s="15" t="n">
        <v>11400</v>
      </c>
      <c r="F21" s="15" t="n">
        <v>15600</v>
      </c>
      <c r="G21" s="15" t="n">
        <v>11400</v>
      </c>
      <c r="H21" s="16" t="inlineStr">
        <is>
          <t>SGS</t>
        </is>
      </c>
      <c r="I21" s="29" t="inlineStr">
        <is>
          <t>华测</t>
        </is>
      </c>
      <c r="J21" s="30" t="n">
        <v>4200</v>
      </c>
      <c r="K21" s="31" t="n">
        <v>11400</v>
      </c>
      <c r="L21" s="32" t="n">
        <v>0</v>
      </c>
      <c r="M21" s="32" t="n">
        <v>4200</v>
      </c>
      <c r="N21" s="32" t="n">
        <v>0</v>
      </c>
      <c r="O21" s="32" t="n">
        <v>0</v>
      </c>
      <c r="P21" s="33" t="inlineStr">
        <is>
          <t>一致</t>
        </is>
      </c>
      <c r="Q21" s="33" t="inlineStr">
        <is>
          <t>可比</t>
        </is>
      </c>
      <c r="R21" s="34" t="inlineStr">
        <is>
          <t>三家实验室测试编号一致；预估费用已剔除特殊测试项目</t>
        </is>
      </c>
    </row>
    <row r="22" ht="22" customHeight="1" s="4">
      <c r="A22" s="17" t="n"/>
      <c r="B22" s="17" t="n"/>
      <c r="C22" s="17" t="n"/>
      <c r="D22" s="41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 ht="24" customHeight="1" s="4">
      <c r="A23" s="24" t="inlineStr">
        <is>
          <t>PV 组别顺序</t>
        </is>
      </c>
      <c r="B23" s="25" t="inlineStr">
        <is>
          <t>Group A -&gt; Group B -&gt; Group C -&gt; Group D-1 -&gt; Group D-2 -&gt; Group D-3 -&gt; Group D-4 -&gt; Group D-5 -&gt; Group D-6 -&gt; Group D-7 -&gt; Group D-8 -&gt; Group D-9</t>
        </is>
      </c>
    </row>
    <row r="24" ht="26" customHeight="1" s="4">
      <c r="A24" s="42" t="inlineStr">
        <is>
          <t>Phase: PV</t>
        </is>
      </c>
    </row>
    <row r="25" ht="24" customHeight="1" s="4">
      <c r="A25" s="11" t="inlineStr">
        <is>
          <t>组别顺序</t>
        </is>
      </c>
      <c r="B25" s="11" t="inlineStr">
        <is>
          <t>组内顺序</t>
        </is>
      </c>
      <c r="C25" s="11" t="inlineStr">
        <is>
          <t>Phase</t>
        </is>
      </c>
      <c r="D25" s="43" t="inlineStr">
        <is>
          <t>Group</t>
        </is>
      </c>
      <c r="E25" s="11" t="inlineStr">
        <is>
          <t>SGS</t>
        </is>
      </c>
      <c r="F25" s="11" t="inlineStr">
        <is>
          <t>华测</t>
        </is>
      </c>
      <c r="G25" s="11" t="inlineStr">
        <is>
          <t>苏勃</t>
        </is>
      </c>
      <c r="H25" s="11" t="inlineStr">
        <is>
          <t>最低实验室</t>
        </is>
      </c>
      <c r="I25" s="11" t="inlineStr">
        <is>
          <t>最高实验室</t>
        </is>
      </c>
      <c r="J25" s="11" t="inlineStr">
        <is>
          <t>差额</t>
        </is>
      </c>
      <c r="K25" s="11" t="inlineStr">
        <is>
          <t>预估费用</t>
        </is>
      </c>
      <c r="L25" s="11" t="inlineStr">
        <is>
          <t>SGS-预估</t>
        </is>
      </c>
      <c r="M25" s="11" t="inlineStr">
        <is>
          <t>华测-预估</t>
        </is>
      </c>
      <c r="N25" s="11" t="inlineStr">
        <is>
          <t>苏勃-预估</t>
        </is>
      </c>
      <c r="O25" s="11" t="inlineStr">
        <is>
          <t>最低报价-预估</t>
        </is>
      </c>
      <c r="P25" s="27" t="inlineStr">
        <is>
          <t>项目一致性</t>
        </is>
      </c>
      <c r="Q25" s="27" t="inlineStr">
        <is>
          <t>比价状态</t>
        </is>
      </c>
      <c r="R25" s="27" t="inlineStr">
        <is>
          <t>一致性说明</t>
        </is>
      </c>
    </row>
    <row r="26" ht="22" customHeight="1" s="4">
      <c r="A26" s="10" t="inlineStr">
        <is>
          <t>Group A</t>
        </is>
      </c>
      <c r="B26" s="10" t="n"/>
      <c r="C26" s="10" t="inlineStr">
        <is>
          <t>PV</t>
        </is>
      </c>
      <c r="D26" s="28" t="inlineStr">
        <is>
          <t>Group A Sequence Tests</t>
        </is>
      </c>
      <c r="E26" s="15" t="n">
        <v>278816</v>
      </c>
      <c r="F26" s="15" t="n">
        <v>284334</v>
      </c>
      <c r="G26" s="15" t="n">
        <v>202780</v>
      </c>
      <c r="H26" s="16" t="inlineStr">
        <is>
          <t>苏勃</t>
        </is>
      </c>
      <c r="I26" s="29" t="inlineStr">
        <is>
          <t>华测</t>
        </is>
      </c>
      <c r="J26" s="30" t="n">
        <v>81554</v>
      </c>
      <c r="K26" s="31" t="n">
        <v>222660</v>
      </c>
      <c r="L26" s="32" t="n">
        <v>56156</v>
      </c>
      <c r="M26" s="32" t="n">
        <v>61674</v>
      </c>
      <c r="N26" s="32" t="n">
        <v>-19880</v>
      </c>
      <c r="O26" s="32" t="n">
        <v>-19880</v>
      </c>
      <c r="P26" s="33" t="inlineStr">
        <is>
          <t>一致</t>
        </is>
      </c>
      <c r="Q26" s="33" t="inlineStr">
        <is>
          <t>可比</t>
        </is>
      </c>
      <c r="R26" s="34" t="inlineStr">
        <is>
          <t>三家实验室测试编号一致；预估费用已剔除特殊测试项目</t>
        </is>
      </c>
    </row>
    <row r="27" ht="22" customHeight="1" s="4">
      <c r="A27" s="35" t="inlineStr">
        <is>
          <t>Group B</t>
        </is>
      </c>
      <c r="B27" s="35" t="n"/>
      <c r="C27" s="35" t="inlineStr">
        <is>
          <t>PV</t>
        </is>
      </c>
      <c r="D27" s="36" t="inlineStr">
        <is>
          <t>Group B Sequence Tests</t>
        </is>
      </c>
      <c r="E27" s="37" t="n">
        <v>39790</v>
      </c>
      <c r="F27" s="37" t="n">
        <v>56600</v>
      </c>
      <c r="G27" s="37" t="n">
        <v>25760</v>
      </c>
      <c r="H27" s="38" t="inlineStr">
        <is>
          <t>苏勃</t>
        </is>
      </c>
      <c r="I27" s="39" t="inlineStr">
        <is>
          <t>华测</t>
        </is>
      </c>
      <c r="J27" s="40" t="n">
        <v>30840</v>
      </c>
      <c r="K27" s="31" t="n">
        <v>39790</v>
      </c>
      <c r="L27" s="37" t="n">
        <v>0</v>
      </c>
      <c r="M27" s="37" t="n">
        <v>16810</v>
      </c>
      <c r="N27" s="37" t="n">
        <v>-14030</v>
      </c>
      <c r="O27" s="37" t="n">
        <v>-14030</v>
      </c>
      <c r="P27" s="33" t="inlineStr">
        <is>
          <t>一致</t>
        </is>
      </c>
      <c r="Q27" s="33" t="inlineStr">
        <is>
          <t>可比</t>
        </is>
      </c>
      <c r="R27" s="34" t="inlineStr">
        <is>
          <t>三家实验室测试编号一致；预估费用已剔除特殊测试项目</t>
        </is>
      </c>
    </row>
    <row r="28" ht="22" customHeight="1" s="4">
      <c r="A28" s="10" t="inlineStr">
        <is>
          <t>Group C</t>
        </is>
      </c>
      <c r="B28" s="10" t="n"/>
      <c r="C28" s="10" t="inlineStr">
        <is>
          <t>PV</t>
        </is>
      </c>
      <c r="D28" s="28" t="inlineStr">
        <is>
          <t>Group C Sequence Tests</t>
        </is>
      </c>
      <c r="E28" s="15" t="n">
        <v>39958</v>
      </c>
      <c r="F28" s="15" t="n">
        <v>37838</v>
      </c>
      <c r="G28" s="15" t="n">
        <v>57960</v>
      </c>
      <c r="H28" s="16" t="inlineStr">
        <is>
          <t>华测</t>
        </is>
      </c>
      <c r="I28" s="29" t="inlineStr">
        <is>
          <t>苏勃</t>
        </is>
      </c>
      <c r="J28" s="30" t="n">
        <v>20122</v>
      </c>
      <c r="K28" s="31" t="n">
        <v>34458</v>
      </c>
      <c r="L28" s="32" t="n">
        <v>5500</v>
      </c>
      <c r="M28" s="32" t="n">
        <v>3380</v>
      </c>
      <c r="N28" s="32" t="n">
        <v>23502</v>
      </c>
      <c r="O28" s="32" t="n">
        <v>3380</v>
      </c>
      <c r="P28" s="33" t="inlineStr">
        <is>
          <t>一致</t>
        </is>
      </c>
      <c r="Q28" s="33" t="inlineStr">
        <is>
          <t>可比</t>
        </is>
      </c>
      <c r="R28" s="34" t="inlineStr">
        <is>
          <t>三家实验室测试编号一致；预估费用已剔除特殊测试项目</t>
        </is>
      </c>
    </row>
    <row r="29" ht="22" customHeight="1" s="4">
      <c r="A29" s="35" t="inlineStr">
        <is>
          <t>Group D-1</t>
        </is>
      </c>
      <c r="B29" s="35" t="n"/>
      <c r="C29" s="35" t="inlineStr">
        <is>
          <t>PV</t>
        </is>
      </c>
      <c r="D29" s="36" t="inlineStr">
        <is>
          <t>Group D Parallel Tests / D-1 Corrosive Gases</t>
        </is>
      </c>
      <c r="E29" s="37" t="n">
        <v>41760</v>
      </c>
      <c r="F29" s="37" t="n">
        <v>48720</v>
      </c>
      <c r="G29" s="37" t="n">
        <v>55200</v>
      </c>
      <c r="H29" s="38" t="inlineStr">
        <is>
          <t>SGS</t>
        </is>
      </c>
      <c r="I29" s="39" t="inlineStr">
        <is>
          <t>苏勃</t>
        </is>
      </c>
      <c r="J29" s="40" t="n">
        <v>13440</v>
      </c>
      <c r="K29" s="31" t="n">
        <v>45120</v>
      </c>
      <c r="L29" s="37" t="n">
        <v>-3360</v>
      </c>
      <c r="M29" s="37" t="n">
        <v>3600</v>
      </c>
      <c r="N29" s="37" t="n">
        <v>10080</v>
      </c>
      <c r="O29" s="37" t="n">
        <v>-3360</v>
      </c>
      <c r="P29" s="33" t="inlineStr">
        <is>
          <t>一致</t>
        </is>
      </c>
      <c r="Q29" s="33" t="inlineStr">
        <is>
          <t>可比</t>
        </is>
      </c>
      <c r="R29" s="34" t="inlineStr">
        <is>
          <t>三家实验室测试编号一致；预估费用已剔除特殊测试项目</t>
        </is>
      </c>
    </row>
    <row r="30" ht="22" customHeight="1" s="4">
      <c r="A30" s="10" t="inlineStr">
        <is>
          <t>Group D-2</t>
        </is>
      </c>
      <c r="B30" s="10" t="n"/>
      <c r="C30" s="10" t="inlineStr">
        <is>
          <t>PV</t>
        </is>
      </c>
      <c r="D30" s="28" t="inlineStr">
        <is>
          <t>Group D Parallel Tests / D-2 Solar Radiation</t>
        </is>
      </c>
      <c r="E30" s="15" t="n">
        <v>109200</v>
      </c>
      <c r="F30" s="15" t="n">
        <v>296400</v>
      </c>
      <c r="G30" s="15" t="n">
        <v>62400</v>
      </c>
      <c r="H30" s="16" t="inlineStr">
        <is>
          <t>苏勃</t>
        </is>
      </c>
      <c r="I30" s="29" t="inlineStr">
        <is>
          <t>华测</t>
        </is>
      </c>
      <c r="J30" s="30" t="n">
        <v>234000</v>
      </c>
      <c r="K30" s="31" t="n">
        <v>109200</v>
      </c>
      <c r="L30" s="32" t="n">
        <v>0</v>
      </c>
      <c r="M30" s="32" t="n">
        <v>187200</v>
      </c>
      <c r="N30" s="32" t="n">
        <v>-46800</v>
      </c>
      <c r="O30" s="32" t="n">
        <v>-46800</v>
      </c>
      <c r="P30" s="33" t="inlineStr">
        <is>
          <t>一致</t>
        </is>
      </c>
      <c r="Q30" s="33" t="inlineStr">
        <is>
          <t>可比</t>
        </is>
      </c>
      <c r="R30" s="34" t="inlineStr">
        <is>
          <t>三家实验室测试编号一致；预估费用已剔除特殊测试项目</t>
        </is>
      </c>
    </row>
    <row r="31" ht="22" customHeight="1" s="4">
      <c r="A31" s="35" t="inlineStr">
        <is>
          <t>Group D-3</t>
        </is>
      </c>
      <c r="B31" s="35" t="n"/>
      <c r="C31" s="35" t="inlineStr">
        <is>
          <t>PV</t>
        </is>
      </c>
      <c r="D31" s="36" t="inlineStr">
        <is>
          <t>Group D Parallel Tests / D-3 PCBA</t>
        </is>
      </c>
      <c r="E31" s="37" t="n">
        <v>66930</v>
      </c>
      <c r="F31" s="37" t="n">
        <v>75750</v>
      </c>
      <c r="G31" s="37" t="n">
        <v>83835</v>
      </c>
      <c r="H31" s="38" t="inlineStr">
        <is>
          <t>SGS</t>
        </is>
      </c>
      <c r="I31" s="39" t="inlineStr">
        <is>
          <t>苏勃</t>
        </is>
      </c>
      <c r="J31" s="40" t="n">
        <v>16905</v>
      </c>
      <c r="K31" s="31" t="n">
        <v>77100</v>
      </c>
      <c r="L31" s="37" t="n">
        <v>-10170</v>
      </c>
      <c r="M31" s="37" t="n">
        <v>-1350</v>
      </c>
      <c r="N31" s="37" t="n">
        <v>6735</v>
      </c>
      <c r="O31" s="37" t="n">
        <v>-10170</v>
      </c>
      <c r="P31" s="33" t="inlineStr">
        <is>
          <t>一致</t>
        </is>
      </c>
      <c r="Q31" s="33" t="inlineStr">
        <is>
          <t>可比</t>
        </is>
      </c>
      <c r="R31" s="34" t="inlineStr">
        <is>
          <t>三家实验室测试编号一致；预估费用已剔除特殊测试项目</t>
        </is>
      </c>
    </row>
    <row r="32" ht="22" customHeight="1" s="4">
      <c r="A32" s="10" t="inlineStr">
        <is>
          <t>Group D-4</t>
        </is>
      </c>
      <c r="B32" s="10" t="n"/>
      <c r="C32" s="10" t="inlineStr">
        <is>
          <t>PV</t>
        </is>
      </c>
      <c r="D32" s="28" t="inlineStr">
        <is>
          <t>Group D Parallel Tests / D-4 Dewing Test</t>
        </is>
      </c>
      <c r="E32" s="15" t="n">
        <v>8900</v>
      </c>
      <c r="F32" s="15" t="n">
        <v>13400</v>
      </c>
      <c r="G32" s="15" t="n">
        <v>9800</v>
      </c>
      <c r="H32" s="16" t="inlineStr">
        <is>
          <t>SGS</t>
        </is>
      </c>
      <c r="I32" s="29" t="inlineStr">
        <is>
          <t>华测</t>
        </is>
      </c>
      <c r="J32" s="30" t="n">
        <v>4500</v>
      </c>
      <c r="K32" s="31" t="n">
        <v>9800</v>
      </c>
      <c r="L32" s="32" t="n">
        <v>-900</v>
      </c>
      <c r="M32" s="32" t="n">
        <v>3600</v>
      </c>
      <c r="N32" s="32" t="n">
        <v>0</v>
      </c>
      <c r="O32" s="32" t="n">
        <v>-900</v>
      </c>
      <c r="P32" s="33" t="inlineStr">
        <is>
          <t>一致</t>
        </is>
      </c>
      <c r="Q32" s="33" t="inlineStr">
        <is>
          <t>可比</t>
        </is>
      </c>
      <c r="R32" s="34" t="inlineStr">
        <is>
          <t>三家实验室测试编号一致；预估费用已剔除特殊测试项目</t>
        </is>
      </c>
    </row>
    <row r="33" ht="22" customHeight="1" s="4">
      <c r="A33" s="35" t="inlineStr">
        <is>
          <t>Group D-5</t>
        </is>
      </c>
      <c r="B33" s="35" t="n"/>
      <c r="C33" s="35" t="inlineStr">
        <is>
          <t>PV</t>
        </is>
      </c>
      <c r="D33" s="36" t="inlineStr">
        <is>
          <t>Group D Parallel Tests / D-5 Life Test-1</t>
        </is>
      </c>
      <c r="E33" s="37" t="n">
        <v>27800</v>
      </c>
      <c r="F33" s="37" t="n">
        <v>23400</v>
      </c>
      <c r="G33" s="37" t="n">
        <v>34800</v>
      </c>
      <c r="H33" s="38" t="inlineStr">
        <is>
          <t>华测</t>
        </is>
      </c>
      <c r="I33" s="39" t="inlineStr">
        <is>
          <t>苏勃</t>
        </is>
      </c>
      <c r="J33" s="40" t="n">
        <v>11400</v>
      </c>
      <c r="K33" s="31" t="n">
        <v>27800</v>
      </c>
      <c r="L33" s="37" t="n">
        <v>0</v>
      </c>
      <c r="M33" s="37" t="n">
        <v>-4400</v>
      </c>
      <c r="N33" s="37" t="n">
        <v>7000</v>
      </c>
      <c r="O33" s="37" t="n">
        <v>-4400</v>
      </c>
      <c r="P33" s="33" t="inlineStr">
        <is>
          <t>一致</t>
        </is>
      </c>
      <c r="Q33" s="33" t="inlineStr">
        <is>
          <t>可比</t>
        </is>
      </c>
      <c r="R33" s="34" t="inlineStr">
        <is>
          <t>三家实验室测试编号一致；预估费用已剔除特殊测试项目</t>
        </is>
      </c>
    </row>
    <row r="34" ht="22" customHeight="1" s="4">
      <c r="A34" s="10" t="inlineStr">
        <is>
          <t>Group D-6</t>
        </is>
      </c>
      <c r="B34" s="10" t="n"/>
      <c r="C34" s="10" t="inlineStr">
        <is>
          <t>PV</t>
        </is>
      </c>
      <c r="D34" s="28" t="inlineStr">
        <is>
          <t>Group D Parallel Tests / D-6 Life Test-2-1</t>
        </is>
      </c>
      <c r="E34" s="15" t="n">
        <v>27800</v>
      </c>
      <c r="F34" s="15" t="n">
        <v>28400</v>
      </c>
      <c r="G34" s="15" t="n">
        <v>34800</v>
      </c>
      <c r="H34" s="16" t="inlineStr">
        <is>
          <t>SGS</t>
        </is>
      </c>
      <c r="I34" s="29" t="inlineStr">
        <is>
          <t>苏勃</t>
        </is>
      </c>
      <c r="J34" s="30" t="n">
        <v>7000</v>
      </c>
      <c r="K34" s="31" t="n">
        <v>27800</v>
      </c>
      <c r="L34" s="32" t="n">
        <v>0</v>
      </c>
      <c r="M34" s="32" t="n">
        <v>600</v>
      </c>
      <c r="N34" s="32" t="n">
        <v>7000</v>
      </c>
      <c r="O34" s="32" t="n">
        <v>0</v>
      </c>
      <c r="P34" s="33" t="inlineStr">
        <is>
          <t>一致</t>
        </is>
      </c>
      <c r="Q34" s="33" t="inlineStr">
        <is>
          <t>可比</t>
        </is>
      </c>
      <c r="R34" s="34" t="inlineStr">
        <is>
          <t>三家实验室测试编号一致；预估费用已剔除特殊测试项目</t>
        </is>
      </c>
    </row>
    <row r="35" ht="22" customHeight="1" s="4">
      <c r="A35" s="35" t="inlineStr">
        <is>
          <t>Group D-7</t>
        </is>
      </c>
      <c r="B35" s="35" t="n"/>
      <c r="C35" s="35" t="inlineStr">
        <is>
          <t>PV</t>
        </is>
      </c>
      <c r="D35" s="36" t="inlineStr">
        <is>
          <t>Group D Parallel Tests / D-7 Life Test-2-2</t>
        </is>
      </c>
      <c r="E35" s="37" t="n">
        <v>30100</v>
      </c>
      <c r="F35" s="37" t="n">
        <v>30400</v>
      </c>
      <c r="G35" s="37" t="n">
        <v>37800</v>
      </c>
      <c r="H35" s="38" t="inlineStr">
        <is>
          <t>SGS</t>
        </is>
      </c>
      <c r="I35" s="39" t="inlineStr">
        <is>
          <t>苏勃</t>
        </is>
      </c>
      <c r="J35" s="40" t="n">
        <v>7700</v>
      </c>
      <c r="K35" s="31" t="n">
        <v>30100</v>
      </c>
      <c r="L35" s="37" t="n">
        <v>0</v>
      </c>
      <c r="M35" s="37" t="n">
        <v>300</v>
      </c>
      <c r="N35" s="37" t="n">
        <v>7700</v>
      </c>
      <c r="O35" s="37" t="n">
        <v>0</v>
      </c>
      <c r="P35" s="33" t="inlineStr">
        <is>
          <t>一致</t>
        </is>
      </c>
      <c r="Q35" s="33" t="inlineStr">
        <is>
          <t>可比</t>
        </is>
      </c>
      <c r="R35" s="34" t="inlineStr">
        <is>
          <t>三家实验室测试编号一致；预估费用已剔除特殊测试项目</t>
        </is>
      </c>
    </row>
    <row r="36" ht="22" customHeight="1" s="4">
      <c r="A36" s="10" t="inlineStr">
        <is>
          <t>Group D-8</t>
        </is>
      </c>
      <c r="B36" s="10" t="n"/>
      <c r="C36" s="10" t="inlineStr">
        <is>
          <t>PV</t>
        </is>
      </c>
      <c r="D36" s="28" t="inlineStr">
        <is>
          <t>Group D Parallel Tests / D-8</t>
        </is>
      </c>
      <c r="E36" s="15" t="n">
        <v>41600</v>
      </c>
      <c r="F36" s="15" t="n">
        <v>40800</v>
      </c>
      <c r="G36" s="15" t="n">
        <v>69600</v>
      </c>
      <c r="H36" s="16" t="inlineStr">
        <is>
          <t>华测</t>
        </is>
      </c>
      <c r="I36" s="29" t="inlineStr">
        <is>
          <t>苏勃</t>
        </is>
      </c>
      <c r="J36" s="30" t="n">
        <v>28800</v>
      </c>
      <c r="K36" s="31" t="n">
        <v>41600</v>
      </c>
      <c r="L36" s="32" t="n">
        <v>0</v>
      </c>
      <c r="M36" s="32" t="n">
        <v>-800</v>
      </c>
      <c r="N36" s="32" t="n">
        <v>28000</v>
      </c>
      <c r="O36" s="32" t="n">
        <v>-800</v>
      </c>
      <c r="P36" s="33" t="inlineStr">
        <is>
          <t>一致</t>
        </is>
      </c>
      <c r="Q36" s="33" t="inlineStr">
        <is>
          <t>可比</t>
        </is>
      </c>
      <c r="R36" s="34" t="inlineStr">
        <is>
          <t>三家实验室测试编号一致；预估费用已剔除特殊测试项目</t>
        </is>
      </c>
    </row>
    <row r="37" ht="22" customHeight="1" s="4">
      <c r="A37" s="35" t="inlineStr">
        <is>
          <t>Group D-9</t>
        </is>
      </c>
      <c r="B37" s="35" t="n"/>
      <c r="C37" s="35" t="inlineStr">
        <is>
          <t>PV</t>
        </is>
      </c>
      <c r="D37" s="36" t="inlineStr">
        <is>
          <t>Group D Parallel Tests / D-9</t>
        </is>
      </c>
      <c r="E37" s="37" t="n">
        <v>11400</v>
      </c>
      <c r="F37" s="37" t="n">
        <v>15600</v>
      </c>
      <c r="G37" s="37" t="n">
        <v>11400</v>
      </c>
      <c r="H37" s="38" t="inlineStr">
        <is>
          <t>SGS</t>
        </is>
      </c>
      <c r="I37" s="39" t="inlineStr">
        <is>
          <t>华测</t>
        </is>
      </c>
      <c r="J37" s="40" t="n">
        <v>4200</v>
      </c>
      <c r="K37" s="31" t="n">
        <v>11400</v>
      </c>
      <c r="L37" s="37" t="n">
        <v>0</v>
      </c>
      <c r="M37" s="37" t="n">
        <v>4200</v>
      </c>
      <c r="N37" s="37" t="n">
        <v>0</v>
      </c>
      <c r="O37" s="37" t="n">
        <v>0</v>
      </c>
      <c r="P37" s="33" t="inlineStr">
        <is>
          <t>一致</t>
        </is>
      </c>
      <c r="Q37" s="33" t="inlineStr">
        <is>
          <t>可比</t>
        </is>
      </c>
      <c r="R37" s="34" t="inlineStr">
        <is>
          <t>三家实验室测试编号一致；预估费用已剔除特殊测试项目</t>
        </is>
      </c>
    </row>
  </sheetData>
  <mergeCells count="9">
    <mergeCell ref="A1:D1"/>
    <mergeCell ref="B8:O8"/>
    <mergeCell ref="P1:R1"/>
    <mergeCell ref="A24:O24"/>
    <mergeCell ref="F7:O7"/>
    <mergeCell ref="F1:K1"/>
    <mergeCell ref="B23:O23"/>
    <mergeCell ref="A9:O9"/>
    <mergeCell ref="L1:O1"/>
  </mergeCells>
  <conditionalFormatting sqref="J11:J21">
    <cfRule type="dataBar" priority="9">
      <dataBar>
        <cfvo type="min"/>
        <cfvo type="max"/>
        <color rgb="FF5B9BD5"/>
      </dataBar>
    </cfRule>
  </conditionalFormatting>
  <conditionalFormatting sqref="J26:J37">
    <cfRule type="dataBar" priority="10">
      <dataBar>
        <cfvo type="min"/>
        <cfvo type="max"/>
        <color rgb="FF5B9BD5"/>
      </dataBar>
    </cfRule>
  </conditionalFormatting>
  <conditionalFormatting sqref="L11:O21">
    <cfRule type="expression" priority="5" dxfId="30">
      <formula>L11&lt;0</formula>
    </cfRule>
    <cfRule type="expression" priority="6" dxfId="31">
      <formula>L11&gt;0</formula>
    </cfRule>
  </conditionalFormatting>
  <conditionalFormatting sqref="L26:O37">
    <cfRule type="expression" priority="7" dxfId="30">
      <formula>L26&lt;0</formula>
    </cfRule>
    <cfRule type="expression" priority="8" dxfId="31">
      <formula>L26&gt;0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ColWidth="9.642857142857141" defaultRowHeight="17.6"/>
  <sheetData>
    <row r="1" s="4">
      <c r="A1" s="0" t="inlineStr">
        <is>
          <t>项目概要</t>
        </is>
      </c>
    </row>
    <row r="2" s="4">
      <c r="A2" s="0" t="inlineStr">
        <is>
          <t>OEM</t>
        </is>
      </c>
      <c r="B2" s="0" t="inlineStr">
        <is>
          <t>JLR</t>
        </is>
      </c>
      <c r="C2" s="0" t="inlineStr">
        <is>
          <t>平台</t>
        </is>
      </c>
      <c r="D2" s="0" t="inlineStr">
        <is>
          <t>MLA</t>
        </is>
      </c>
    </row>
    <row r="3" s="4">
      <c r="A3" s="0" t="inlineStr">
        <is>
          <t>项目名称/编号</t>
        </is>
      </c>
      <c r="B3" s="0" t="inlineStr">
        <is>
          <t>L463</t>
        </is>
      </c>
      <c r="C3" s="0" t="inlineStr">
        <is>
          <t>驾驶方向</t>
        </is>
      </c>
      <c r="D3" s="0" t="inlineStr">
        <is>
          <t>LHD</t>
        </is>
      </c>
    </row>
    <row r="4" s="4">
      <c r="A4" s="0" t="inlineStr">
        <is>
          <t>项目类型</t>
        </is>
      </c>
      <c r="B4" s="0" t="inlineStr">
        <is>
          <t>新增项目</t>
        </is>
      </c>
      <c r="C4" s="0" t="inlineStr">
        <is>
          <t>导出范围</t>
        </is>
      </c>
      <c r="D4" s="0" t="inlineStr">
        <is>
          <t>DV + PV</t>
        </is>
      </c>
    </row>
    <row r="5" s="4">
      <c r="A5" s="0" t="inlineStr">
        <is>
          <t>是否完全复用</t>
        </is>
      </c>
      <c r="B5" s="0" t="inlineStr">
        <is>
          <t>是</t>
        </is>
      </c>
      <c r="C5" s="0" t="inlineStr">
        <is>
          <t>环境模板</t>
        </is>
      </c>
      <c r="D5" s="0" t="inlineStr">
        <is>
          <t>完全复用</t>
        </is>
      </c>
    </row>
    <row r="6" s="4"/>
    <row r="8" s="4">
      <c r="A8" s="0" t="inlineStr">
        <is>
          <t>DV 组别顺序</t>
        </is>
      </c>
      <c r="B8" s="0" t="inlineStr">
        <is>
          <t>Group A -&gt; Group C -&gt; Group E-1 -&gt; Group E-2</t>
        </is>
      </c>
    </row>
    <row r="9" s="4">
      <c r="A9" s="0" t="inlineStr">
        <is>
          <t>Phase: DV</t>
        </is>
      </c>
    </row>
    <row r="10" s="4">
      <c r="A10" s="0" t="inlineStr">
        <is>
          <t>Group A：DV / Group A Sequence Tests</t>
        </is>
      </c>
    </row>
    <row r="11" s="4">
      <c r="A11" s="0" t="inlineStr">
        <is>
          <t>组别顺序</t>
        </is>
      </c>
      <c r="B11" s="0" t="inlineStr">
        <is>
          <t>组内顺序</t>
        </is>
      </c>
      <c r="C11" s="0" t="inlineStr">
        <is>
          <t>Phase</t>
        </is>
      </c>
      <c r="D11" s="0" t="inlineStr">
        <is>
          <t>Group</t>
        </is>
      </c>
      <c r="E11" s="0" t="inlineStr">
        <is>
          <t>测试编号</t>
        </is>
      </c>
      <c r="F11" s="0" t="inlineStr">
        <is>
          <t>测试项目</t>
        </is>
      </c>
      <c r="G11" s="0" t="inlineStr">
        <is>
          <t>样品范围</t>
        </is>
      </c>
      <c r="H11" s="0" t="inlineStr">
        <is>
          <t>计费基数</t>
        </is>
      </c>
      <c r="I11" s="0" t="inlineStr">
        <is>
          <t>测试时间</t>
        </is>
      </c>
      <c r="J11" s="0" t="inlineStr">
        <is>
          <t>当前规则费用</t>
        </is>
      </c>
      <c r="K11" s="0" t="inlineStr">
        <is>
          <t>实验室/参考口径</t>
        </is>
      </c>
      <c r="L11" s="0" t="inlineStr">
        <is>
          <t>费用计算公式</t>
        </is>
      </c>
      <c r="M11" s="0" t="inlineStr">
        <is>
          <t>备注</t>
        </is>
      </c>
    </row>
    <row r="12" s="4">
      <c r="A12" s="0" t="inlineStr">
        <is>
          <t>Group A</t>
        </is>
      </c>
      <c r="B12" s="0" t="n">
        <v>18</v>
      </c>
      <c r="C12" s="0" t="inlineStr">
        <is>
          <t>DV</t>
        </is>
      </c>
      <c r="D12" s="0" t="inlineStr">
        <is>
          <t>Group A Sequence Tests</t>
        </is>
      </c>
      <c r="E12" s="0" t="inlineStr">
        <is>
          <t>K14</t>
        </is>
      </c>
      <c r="F12" s="0" t="inlineStr">
        <is>
          <t>K14 Dust Blowing Test</t>
        </is>
      </c>
      <c r="G12" s="0" t="inlineStr">
        <is>
          <t>1-12</t>
        </is>
      </c>
      <c r="H12" s="0" t="inlineStr">
        <is>
          <t>4 批</t>
        </is>
      </c>
      <c r="I12" s="0" t="inlineStr">
        <is>
          <t>120 h</t>
        </is>
      </c>
      <c r="J12" s="0" t="n">
        <v>12000</v>
      </c>
      <c r="K12" s="0" t="inlineStr">
        <is>
          <t>指定国测</t>
        </is>
      </c>
      <c r="L12" s="0" t="inlineStr">
        <is>
          <t>4批 × 3000/批 = 12,000</t>
        </is>
      </c>
      <c r="M12" s="0" t="inlineStr">
        <is>
          <t>K14 Dust Blowing 指定国测，按 3000/批计算；每批 3 台样品</t>
        </is>
      </c>
    </row>
    <row r="13" s="4">
      <c r="A13" s="0" t="inlineStr">
        <is>
          <t>Group C：DV / Group C Sequence Tests</t>
        </is>
      </c>
    </row>
    <row r="14" s="4">
      <c r="A14" s="0" t="inlineStr">
        <is>
          <t>组别顺序</t>
        </is>
      </c>
      <c r="B14" s="0" t="inlineStr">
        <is>
          <t>组内顺序</t>
        </is>
      </c>
      <c r="C14" s="0" t="inlineStr">
        <is>
          <t>Phase</t>
        </is>
      </c>
      <c r="D14" s="0" t="inlineStr">
        <is>
          <t>Group</t>
        </is>
      </c>
      <c r="E14" s="0" t="inlineStr">
        <is>
          <t>测试编号</t>
        </is>
      </c>
      <c r="F14" s="0" t="inlineStr">
        <is>
          <t>测试项目</t>
        </is>
      </c>
      <c r="G14" s="0" t="inlineStr">
        <is>
          <t>样品范围</t>
        </is>
      </c>
      <c r="H14" s="0" t="inlineStr">
        <is>
          <t>计费基数</t>
        </is>
      </c>
      <c r="I14" s="0" t="inlineStr">
        <is>
          <t>测试时间</t>
        </is>
      </c>
      <c r="J14" s="0" t="inlineStr">
        <is>
          <t>当前规则费用</t>
        </is>
      </c>
      <c r="K14" s="0" t="inlineStr">
        <is>
          <t>实验室/参考口径</t>
        </is>
      </c>
      <c r="L14" s="0" t="inlineStr">
        <is>
          <t>费用计算公式</t>
        </is>
      </c>
      <c r="M14" s="0" t="inlineStr">
        <is>
          <t>备注</t>
        </is>
      </c>
    </row>
    <row r="15" s="4">
      <c r="A15" s="0" t="inlineStr">
        <is>
          <t>Group C</t>
        </is>
      </c>
      <c r="B15" s="0" t="n">
        <v>7</v>
      </c>
      <c r="C15" s="0" t="inlineStr">
        <is>
          <t>DV</t>
        </is>
      </c>
      <c r="D15" s="0" t="inlineStr">
        <is>
          <t>Group C Sequence Tests</t>
        </is>
      </c>
      <c r="E15" s="0" t="inlineStr">
        <is>
          <t>K14</t>
        </is>
      </c>
      <c r="F15" s="0" t="inlineStr">
        <is>
          <t>K14 Dust Blowing Test</t>
        </is>
      </c>
      <c r="G15" s="0" t="inlineStr">
        <is>
          <t>27-32</t>
        </is>
      </c>
      <c r="H15" s="0" t="inlineStr">
        <is>
          <t>2 批</t>
        </is>
      </c>
      <c r="I15" s="0" t="inlineStr">
        <is>
          <t>72 h</t>
        </is>
      </c>
      <c r="J15" s="0" t="n">
        <v>6000</v>
      </c>
      <c r="K15" s="0" t="inlineStr">
        <is>
          <t>指定国测</t>
        </is>
      </c>
      <c r="L15" s="0" t="inlineStr">
        <is>
          <t>2批 × 3000/批 = 6,000</t>
        </is>
      </c>
      <c r="M15" s="0" t="inlineStr">
        <is>
          <t>K14 Dust Blowing 指定国测，按 3000/批计算；每批 3 台样品</t>
        </is>
      </c>
    </row>
    <row r="16" s="4">
      <c r="A16" s="0" t="inlineStr">
        <is>
          <t>Group E-1：DV / Group F Other Tests / Restricted Substance</t>
        </is>
      </c>
    </row>
    <row r="17" s="4">
      <c r="A17" s="0" t="inlineStr">
        <is>
          <t>组别顺序</t>
        </is>
      </c>
      <c r="B17" s="0" t="inlineStr">
        <is>
          <t>组内顺序</t>
        </is>
      </c>
      <c r="C17" s="0" t="inlineStr">
        <is>
          <t>Phase</t>
        </is>
      </c>
      <c r="D17" s="0" t="inlineStr">
        <is>
          <t>Group</t>
        </is>
      </c>
      <c r="E17" s="0" t="inlineStr">
        <is>
          <t>测试编号</t>
        </is>
      </c>
      <c r="F17" s="0" t="inlineStr">
        <is>
          <t>测试项目</t>
        </is>
      </c>
      <c r="G17" s="0" t="inlineStr">
        <is>
          <t>样品范围</t>
        </is>
      </c>
      <c r="H17" s="0" t="inlineStr">
        <is>
          <t>计费基数</t>
        </is>
      </c>
      <c r="I17" s="0" t="inlineStr">
        <is>
          <t>测试时间</t>
        </is>
      </c>
      <c r="J17" s="0" t="inlineStr">
        <is>
          <t>当前规则费用</t>
        </is>
      </c>
      <c r="K17" s="0" t="inlineStr">
        <is>
          <t>实验室/参考口径</t>
        </is>
      </c>
      <c r="L17" s="0" t="inlineStr">
        <is>
          <t>费用计算公式</t>
        </is>
      </c>
      <c r="M17" s="0" t="inlineStr">
        <is>
          <t>备注</t>
        </is>
      </c>
    </row>
    <row r="18" s="4">
      <c r="A18" s="0" t="inlineStr">
        <is>
          <t>Group E-1</t>
        </is>
      </c>
      <c r="B18" s="0" t="n">
        <v>1</v>
      </c>
      <c r="C18" s="0" t="inlineStr">
        <is>
          <t>DV</t>
        </is>
      </c>
      <c r="D18" s="0" t="inlineStr">
        <is>
          <t>Group F Other Tests / Restricted Substance</t>
        </is>
      </c>
      <c r="E18" s="0" t="inlineStr">
        <is>
          <t>E-1</t>
        </is>
      </c>
      <c r="F18" s="0" t="inlineStr">
        <is>
          <t>E-1 Restricted Substance Management</t>
        </is>
      </c>
      <c r="G18" s="0" t="inlineStr">
        <is>
          <t>83</t>
        </is>
      </c>
      <c r="H18" s="0" t="inlineStr">
        <is>
          <t>1 个样品</t>
        </is>
      </c>
      <c r="I18" s="0" t="inlineStr">
        <is>
          <t>960 h</t>
        </is>
      </c>
      <c r="J18" s="0" t="n">
        <v>20000</v>
      </c>
      <c r="K18" s="0" t="inlineStr">
        <is>
          <t>固定规则</t>
        </is>
      </c>
      <c r="L18" s="0" t="inlineStr">
        <is>
          <t>固定总价 20000 (含评估费 1500)</t>
        </is>
      </c>
      <c r="M18" s="0" t="inlineStr">
        <is>
          <t>禁限用物质总价 20000，其中 1500 为评估费</t>
        </is>
      </c>
    </row>
    <row r="19" s="4">
      <c r="A19" s="0" t="inlineStr">
        <is>
          <t>Group E-2：DV / Group F Other Tests / Noise test</t>
        </is>
      </c>
    </row>
    <row r="20" s="4">
      <c r="A20" s="0" t="inlineStr">
        <is>
          <t>组别顺序</t>
        </is>
      </c>
      <c r="B20" s="0" t="inlineStr">
        <is>
          <t>组内顺序</t>
        </is>
      </c>
      <c r="C20" s="0" t="inlineStr">
        <is>
          <t>Phase</t>
        </is>
      </c>
      <c r="D20" s="0" t="inlineStr">
        <is>
          <t>Group</t>
        </is>
      </c>
      <c r="E20" s="0" t="inlineStr">
        <is>
          <t>测试编号</t>
        </is>
      </c>
      <c r="F20" s="0" t="inlineStr">
        <is>
          <t>测试项目</t>
        </is>
      </c>
      <c r="G20" s="0" t="inlineStr">
        <is>
          <t>样品范围</t>
        </is>
      </c>
      <c r="H20" s="0" t="inlineStr">
        <is>
          <t>计费基数</t>
        </is>
      </c>
      <c r="I20" s="0" t="inlineStr">
        <is>
          <t>测试时间</t>
        </is>
      </c>
      <c r="J20" s="0" t="inlineStr">
        <is>
          <t>当前规则费用</t>
        </is>
      </c>
      <c r="K20" s="0" t="inlineStr">
        <is>
          <t>实验室/参考口径</t>
        </is>
      </c>
      <c r="L20" s="0" t="inlineStr">
        <is>
          <t>费用计算公式</t>
        </is>
      </c>
      <c r="M20" s="0" t="inlineStr">
        <is>
          <t>备注</t>
        </is>
      </c>
    </row>
    <row r="21" s="4">
      <c r="A21" s="0" t="inlineStr">
        <is>
          <t>Group E-2</t>
        </is>
      </c>
      <c r="B21" s="0" t="n">
        <v>1</v>
      </c>
      <c r="C21" s="0" t="inlineStr">
        <is>
          <t>DV</t>
        </is>
      </c>
      <c r="D21" s="0" t="inlineStr">
        <is>
          <t>Group F Other Tests / Noise test</t>
        </is>
      </c>
      <c r="E21" s="0" t="inlineStr">
        <is>
          <t>E-2</t>
        </is>
      </c>
      <c r="F21" s="0" t="inlineStr">
        <is>
          <t>E-2 Operating Noise &amp; Transient Noise</t>
        </is>
      </c>
      <c r="G21" s="0" t="inlineStr">
        <is>
          <t>84-108</t>
        </is>
      </c>
      <c r="H21" s="0" t="inlineStr">
        <is>
          <t>25 个样品</t>
        </is>
      </c>
      <c r="I21" s="0" t="inlineStr">
        <is>
          <t>480 h</t>
        </is>
      </c>
      <c r="J21" s="0" t="n">
        <v>42500</v>
      </c>
      <c r="K21" s="0" t="inlineStr">
        <is>
          <t>SGS 参考价</t>
        </is>
      </c>
      <c r="L21" s="0" t="inlineStr">
        <is>
          <t>25台样机 × 1700/台 = 42,500</t>
        </is>
      </c>
      <c r="M21" s="0" t="inlineStr">
        <is>
          <t>操作噪声暂按 SGS 合作价 1700/台样机计算</t>
        </is>
      </c>
    </row>
    <row r="23" s="4">
      <c r="A23" s="0" t="inlineStr">
        <is>
          <t>PV 组别顺序</t>
        </is>
      </c>
      <c r="B23" s="0" t="inlineStr">
        <is>
          <t>Group A -&gt; Group C -&gt; Group E-1 -&gt; Group E-2</t>
        </is>
      </c>
    </row>
    <row r="24" s="4">
      <c r="A24" s="0" t="inlineStr">
        <is>
          <t>Phase: PV</t>
        </is>
      </c>
    </row>
    <row r="25" s="4">
      <c r="A25" s="0" t="inlineStr">
        <is>
          <t>Group A：PV / Group A Sequence Tests</t>
        </is>
      </c>
    </row>
    <row r="26" s="4">
      <c r="A26" s="0" t="inlineStr">
        <is>
          <t>组别顺序</t>
        </is>
      </c>
      <c r="B26" s="0" t="inlineStr">
        <is>
          <t>组内顺序</t>
        </is>
      </c>
      <c r="C26" s="0" t="inlineStr">
        <is>
          <t>Phase</t>
        </is>
      </c>
      <c r="D26" s="0" t="inlineStr">
        <is>
          <t>Group</t>
        </is>
      </c>
      <c r="E26" s="0" t="inlineStr">
        <is>
          <t>测试编号</t>
        </is>
      </c>
      <c r="F26" s="0" t="inlineStr">
        <is>
          <t>测试项目</t>
        </is>
      </c>
      <c r="G26" s="0" t="inlineStr">
        <is>
          <t>样品范围</t>
        </is>
      </c>
      <c r="H26" s="0" t="inlineStr">
        <is>
          <t>计费基数</t>
        </is>
      </c>
      <c r="I26" s="0" t="inlineStr">
        <is>
          <t>测试时间</t>
        </is>
      </c>
      <c r="J26" s="0" t="inlineStr">
        <is>
          <t>当前规则费用</t>
        </is>
      </c>
      <c r="K26" s="0" t="inlineStr">
        <is>
          <t>实验室/参考口径</t>
        </is>
      </c>
      <c r="L26" s="0" t="inlineStr">
        <is>
          <t>费用计算公式</t>
        </is>
      </c>
      <c r="M26" s="0" t="inlineStr">
        <is>
          <t>备注</t>
        </is>
      </c>
    </row>
    <row r="27" s="4">
      <c r="A27" s="0" t="inlineStr">
        <is>
          <t>Group A</t>
        </is>
      </c>
      <c r="B27" s="0" t="n">
        <v>18</v>
      </c>
      <c r="C27" s="0" t="inlineStr">
        <is>
          <t>PV</t>
        </is>
      </c>
      <c r="D27" s="0" t="inlineStr">
        <is>
          <t>Group A Sequence Tests</t>
        </is>
      </c>
      <c r="E27" s="0" t="inlineStr">
        <is>
          <t>K14</t>
        </is>
      </c>
      <c r="F27" s="0" t="inlineStr">
        <is>
          <t>K14 Dust Blowing Test</t>
        </is>
      </c>
      <c r="G27" s="0" t="inlineStr">
        <is>
          <t>1-12</t>
        </is>
      </c>
      <c r="H27" s="0" t="inlineStr">
        <is>
          <t>4 批</t>
        </is>
      </c>
      <c r="I27" s="0" t="inlineStr">
        <is>
          <t>120 h</t>
        </is>
      </c>
      <c r="J27" s="0" t="n">
        <v>12000</v>
      </c>
      <c r="K27" s="0" t="inlineStr">
        <is>
          <t>指定国测</t>
        </is>
      </c>
      <c r="L27" s="0" t="inlineStr">
        <is>
          <t>4批 × 3000/批 = 12,000</t>
        </is>
      </c>
      <c r="M27" s="0" t="inlineStr">
        <is>
          <t>K14 Dust Blowing 指定国测，按 3000/批计算；每批 3 台样品</t>
        </is>
      </c>
    </row>
    <row r="28" s="4">
      <c r="A28" s="0" t="inlineStr">
        <is>
          <t>Group C：PV / Group C Sequence Tests</t>
        </is>
      </c>
    </row>
    <row r="29" s="4">
      <c r="A29" s="0" t="inlineStr">
        <is>
          <t>组别顺序</t>
        </is>
      </c>
      <c r="B29" s="0" t="inlineStr">
        <is>
          <t>组内顺序</t>
        </is>
      </c>
      <c r="C29" s="0" t="inlineStr">
        <is>
          <t>Phase</t>
        </is>
      </c>
      <c r="D29" s="0" t="inlineStr">
        <is>
          <t>Group</t>
        </is>
      </c>
      <c r="E29" s="0" t="inlineStr">
        <is>
          <t>测试编号</t>
        </is>
      </c>
      <c r="F29" s="0" t="inlineStr">
        <is>
          <t>测试项目</t>
        </is>
      </c>
      <c r="G29" s="0" t="inlineStr">
        <is>
          <t>样品范围</t>
        </is>
      </c>
      <c r="H29" s="0" t="inlineStr">
        <is>
          <t>计费基数</t>
        </is>
      </c>
      <c r="I29" s="0" t="inlineStr">
        <is>
          <t>测试时间</t>
        </is>
      </c>
      <c r="J29" s="0" t="inlineStr">
        <is>
          <t>当前规则费用</t>
        </is>
      </c>
      <c r="K29" s="0" t="inlineStr">
        <is>
          <t>实验室/参考口径</t>
        </is>
      </c>
      <c r="L29" s="0" t="inlineStr">
        <is>
          <t>费用计算公式</t>
        </is>
      </c>
      <c r="M29" s="0" t="inlineStr">
        <is>
          <t>备注</t>
        </is>
      </c>
    </row>
    <row r="30" s="4">
      <c r="A30" s="0" t="inlineStr">
        <is>
          <t>Group C</t>
        </is>
      </c>
      <c r="B30" s="0" t="n">
        <v>7</v>
      </c>
      <c r="C30" s="0" t="inlineStr">
        <is>
          <t>PV</t>
        </is>
      </c>
      <c r="D30" s="0" t="inlineStr">
        <is>
          <t>Group C Sequence Tests</t>
        </is>
      </c>
      <c r="E30" s="0" t="inlineStr">
        <is>
          <t>K14</t>
        </is>
      </c>
      <c r="F30" s="0" t="inlineStr">
        <is>
          <t>K14 Dust Blowing Test</t>
        </is>
      </c>
      <c r="G30" s="0" t="inlineStr">
        <is>
          <t>27-32</t>
        </is>
      </c>
      <c r="H30" s="0" t="inlineStr">
        <is>
          <t>2 批</t>
        </is>
      </c>
      <c r="I30" s="0" t="inlineStr">
        <is>
          <t>72 h</t>
        </is>
      </c>
      <c r="J30" s="0" t="n">
        <v>6000</v>
      </c>
      <c r="K30" s="0" t="inlineStr">
        <is>
          <t>指定国测</t>
        </is>
      </c>
      <c r="L30" s="0" t="inlineStr">
        <is>
          <t>2批 × 3000/批 = 6,000</t>
        </is>
      </c>
      <c r="M30" s="0" t="inlineStr">
        <is>
          <t>K14 Dust Blowing 指定国测，按 3000/批计算；每批 3 台样品</t>
        </is>
      </c>
    </row>
    <row r="31" s="4">
      <c r="A31" s="0" t="inlineStr">
        <is>
          <t>Group E-1：PV / Group F Other Tests / Restricted Substance</t>
        </is>
      </c>
    </row>
    <row r="32" s="4">
      <c r="A32" s="0" t="inlineStr">
        <is>
          <t>组别顺序</t>
        </is>
      </c>
      <c r="B32" s="0" t="inlineStr">
        <is>
          <t>组内顺序</t>
        </is>
      </c>
      <c r="C32" s="0" t="inlineStr">
        <is>
          <t>Phase</t>
        </is>
      </c>
      <c r="D32" s="0" t="inlineStr">
        <is>
          <t>Group</t>
        </is>
      </c>
      <c r="E32" s="0" t="inlineStr">
        <is>
          <t>测试编号</t>
        </is>
      </c>
      <c r="F32" s="0" t="inlineStr">
        <is>
          <t>测试项目</t>
        </is>
      </c>
      <c r="G32" s="0" t="inlineStr">
        <is>
          <t>样品范围</t>
        </is>
      </c>
      <c r="H32" s="0" t="inlineStr">
        <is>
          <t>计费基数</t>
        </is>
      </c>
      <c r="I32" s="0" t="inlineStr">
        <is>
          <t>测试时间</t>
        </is>
      </c>
      <c r="J32" s="0" t="inlineStr">
        <is>
          <t>当前规则费用</t>
        </is>
      </c>
      <c r="K32" s="0" t="inlineStr">
        <is>
          <t>实验室/参考口径</t>
        </is>
      </c>
      <c r="L32" s="0" t="inlineStr">
        <is>
          <t>费用计算公式</t>
        </is>
      </c>
      <c r="M32" s="0" t="inlineStr">
        <is>
          <t>备注</t>
        </is>
      </c>
    </row>
    <row r="33" s="4">
      <c r="A33" s="0" t="inlineStr">
        <is>
          <t>Group E-1</t>
        </is>
      </c>
      <c r="B33" s="0" t="n">
        <v>1</v>
      </c>
      <c r="C33" s="0" t="inlineStr">
        <is>
          <t>PV</t>
        </is>
      </c>
      <c r="D33" s="0" t="inlineStr">
        <is>
          <t>Group F Other Tests / Restricted Substance</t>
        </is>
      </c>
      <c r="E33" s="0" t="inlineStr">
        <is>
          <t>E-1</t>
        </is>
      </c>
      <c r="F33" s="0" t="inlineStr">
        <is>
          <t>E-1 Restricted Substance Management</t>
        </is>
      </c>
      <c r="G33" s="0" t="inlineStr">
        <is>
          <t>98</t>
        </is>
      </c>
      <c r="H33" s="0" t="inlineStr">
        <is>
          <t>1 个样品</t>
        </is>
      </c>
      <c r="I33" s="0" t="inlineStr">
        <is>
          <t>960 h</t>
        </is>
      </c>
      <c r="J33" s="0" t="n">
        <v>20000</v>
      </c>
      <c r="K33" s="0" t="inlineStr">
        <is>
          <t>固定规则</t>
        </is>
      </c>
      <c r="L33" s="0" t="inlineStr">
        <is>
          <t>固定总价 20000 (含评估费 1500)</t>
        </is>
      </c>
      <c r="M33" s="0" t="inlineStr">
        <is>
          <t>禁限用物质总价 20000，其中 1500 为评估费</t>
        </is>
      </c>
    </row>
    <row r="34" s="4">
      <c r="A34" s="0" t="inlineStr">
        <is>
          <t>Group E-2：PV / Group F Other Tests / Noise test</t>
        </is>
      </c>
    </row>
    <row r="35" s="4">
      <c r="A35" s="0" t="inlineStr">
        <is>
          <t>组别顺序</t>
        </is>
      </c>
      <c r="B35" s="0" t="inlineStr">
        <is>
          <t>组内顺序</t>
        </is>
      </c>
      <c r="C35" s="0" t="inlineStr">
        <is>
          <t>Phase</t>
        </is>
      </c>
      <c r="D35" s="0" t="inlineStr">
        <is>
          <t>Group</t>
        </is>
      </c>
      <c r="E35" s="0" t="inlineStr">
        <is>
          <t>测试编号</t>
        </is>
      </c>
      <c r="F35" s="0" t="inlineStr">
        <is>
          <t>测试项目</t>
        </is>
      </c>
      <c r="G35" s="0" t="inlineStr">
        <is>
          <t>样品范围</t>
        </is>
      </c>
      <c r="H35" s="0" t="inlineStr">
        <is>
          <t>计费基数</t>
        </is>
      </c>
      <c r="I35" s="0" t="inlineStr">
        <is>
          <t>测试时间</t>
        </is>
      </c>
      <c r="J35" s="0" t="inlineStr">
        <is>
          <t>当前规则费用</t>
        </is>
      </c>
      <c r="K35" s="0" t="inlineStr">
        <is>
          <t>实验室/参考口径</t>
        </is>
      </c>
      <c r="L35" s="0" t="inlineStr">
        <is>
          <t>费用计算公式</t>
        </is>
      </c>
      <c r="M35" s="0" t="inlineStr">
        <is>
          <t>备注</t>
        </is>
      </c>
    </row>
    <row r="36" s="4">
      <c r="A36" s="0" t="inlineStr">
        <is>
          <t>Group E-2</t>
        </is>
      </c>
      <c r="B36" s="0" t="n">
        <v>1</v>
      </c>
      <c r="C36" s="0" t="inlineStr">
        <is>
          <t>PV</t>
        </is>
      </c>
      <c r="D36" s="0" t="inlineStr">
        <is>
          <t>Group F Other Tests / Noise test</t>
        </is>
      </c>
      <c r="E36" s="0" t="inlineStr">
        <is>
          <t>E-2</t>
        </is>
      </c>
      <c r="F36" s="0" t="inlineStr">
        <is>
          <t>E-2 Operating Noise &amp; Transient Noise</t>
        </is>
      </c>
      <c r="G36" s="0" t="inlineStr">
        <is>
          <t>99-123</t>
        </is>
      </c>
      <c r="H36" s="0" t="inlineStr">
        <is>
          <t>25 个样品</t>
        </is>
      </c>
      <c r="I36" s="0" t="inlineStr">
        <is>
          <t>480 h</t>
        </is>
      </c>
      <c r="J36" s="0" t="n">
        <v>42500</v>
      </c>
      <c r="K36" s="0" t="inlineStr">
        <is>
          <t>SGS 参考价</t>
        </is>
      </c>
      <c r="L36" s="0" t="inlineStr">
        <is>
          <t>25台样机 × 1700/台 = 42,500</t>
        </is>
      </c>
      <c r="M36" s="0" t="inlineStr">
        <is>
          <t>操作噪声暂按 SGS 合作价 1700/台样机计算</t>
        </is>
      </c>
    </row>
    <row r="38" s="4">
      <c r="A38" s="0" t="inlineStr">
        <is>
          <t>DV 附加费用</t>
        </is>
      </c>
      <c r="B38" s="0" t="inlineStr">
        <is>
          <t>Computer Fee -&gt; Report Fee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 s="4">
      <c r="A39" s="0" t="inlineStr">
        <is>
          <t>Phase: DV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 s="4">
      <c r="A40" s="0" t="inlineStr">
        <is>
          <t>DV / 费用汇总附加费用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 s="4">
      <c r="A41" s="0" t="inlineStr">
        <is>
          <t>组别顺序</t>
        </is>
      </c>
      <c r="B41" s="0" t="inlineStr">
        <is>
          <t>组内顺序</t>
        </is>
      </c>
      <c r="C41" s="0" t="inlineStr">
        <is>
          <t>Phase</t>
        </is>
      </c>
      <c r="D41" s="0" t="inlineStr">
        <is>
          <t>Group</t>
        </is>
      </c>
      <c r="E41" s="0" t="inlineStr">
        <is>
          <t>测试编号</t>
        </is>
      </c>
      <c r="F41" s="0" t="inlineStr">
        <is>
          <t>测试项目</t>
        </is>
      </c>
      <c r="G41" s="0" t="inlineStr">
        <is>
          <t>样品范围</t>
        </is>
      </c>
      <c r="H41" s="0" t="inlineStr">
        <is>
          <t>计费基数</t>
        </is>
      </c>
      <c r="I41" s="0" t="inlineStr">
        <is>
          <t>测试时间</t>
        </is>
      </c>
      <c r="J41" s="0" t="inlineStr">
        <is>
          <t>当前规则费用</t>
        </is>
      </c>
      <c r="K41" s="0" t="inlineStr">
        <is>
          <t>实验室/参考口径</t>
        </is>
      </c>
      <c r="L41" s="0" t="inlineStr">
        <is>
          <t>费用计算公式</t>
        </is>
      </c>
      <c r="M41" s="0" t="inlineStr">
        <is>
          <t>备注</t>
        </is>
      </c>
    </row>
    <row r="42" s="4">
      <c r="A42" s="0" t="inlineStr">
        <is>
          <t>Additional Fee</t>
        </is>
      </c>
      <c r="B42" s="0" t="n">
        <v>1</v>
      </c>
      <c r="C42" s="0" t="inlineStr">
        <is>
          <t>DV</t>
        </is>
      </c>
      <c r="D42" s="0" t="inlineStr">
        <is>
          <t>费用汇总附加费用</t>
        </is>
      </c>
      <c r="E42" s="0" t="inlineStr">
        <is>
          <t>Computer Fee</t>
        </is>
      </c>
      <c r="F42" s="0" t="inlineStr">
        <is>
          <t>Computer Fee</t>
        </is>
      </c>
      <c r="G42" s="0" t="inlineStr"/>
      <c r="H42" s="0" t="inlineStr">
        <is>
          <t>48 月/台系数</t>
        </is>
      </c>
      <c r="I42" s="0" t="inlineStr"/>
      <c r="J42" s="0" t="n">
        <v>12000</v>
      </c>
      <c r="K42" s="0" t="inlineStr">
        <is>
          <t>SGS 参考价</t>
        </is>
      </c>
      <c r="L42" s="0" t="inlineStr">
        <is>
          <t>SGS 250/月/台 × 48 = 12,000</t>
        </is>
      </c>
      <c r="M42" s="0" t="inlineStr">
        <is>
          <t>Computer Fee 当前按 SGS 报价计入</t>
        </is>
      </c>
    </row>
    <row r="43" s="4">
      <c r="A43" s="0" t="inlineStr">
        <is>
          <t>Additional Fee</t>
        </is>
      </c>
      <c r="B43" s="0" t="n">
        <v>2</v>
      </c>
      <c r="C43" s="0" t="inlineStr">
        <is>
          <t>DV</t>
        </is>
      </c>
      <c r="D43" s="0" t="inlineStr">
        <is>
          <t>费用汇总附加费用</t>
        </is>
      </c>
      <c r="E43" s="0" t="inlineStr">
        <is>
          <t>Report Fee</t>
        </is>
      </c>
      <c r="F43" s="0" t="inlineStr">
        <is>
          <t>Report Fee</t>
        </is>
      </c>
      <c r="G43" s="0" t="inlineStr"/>
      <c r="H43" s="0" t="inlineStr">
        <is>
          <t>13 份报告</t>
        </is>
      </c>
      <c r="I43" s="0" t="inlineStr"/>
      <c r="J43" s="0" t="n">
        <v>1950</v>
      </c>
      <c r="K43" s="0" t="inlineStr">
        <is>
          <t>苏勃 计入口径</t>
        </is>
      </c>
      <c r="L43" s="0" t="inlineStr">
        <is>
          <t>苏勃 150/份 × 13 份 = 1,950</t>
        </is>
      </c>
      <c r="M43" s="0" t="inlineStr">
        <is>
          <t>Report Fee 当前按苏勃报价计入</t>
        </is>
      </c>
    </row>
    <row r="44" s="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 s="4">
      <c r="A45" s="0" t="inlineStr">
        <is>
          <t>PV 附加费用</t>
        </is>
      </c>
      <c r="B45" s="0" t="inlineStr">
        <is>
          <t>Computer Fee -&gt; Report Fee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 s="4">
      <c r="A46" s="0" t="inlineStr">
        <is>
          <t>Phase: PV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 s="4">
      <c r="A47" s="0" t="inlineStr">
        <is>
          <t>PV / 费用汇总附加费用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 s="4">
      <c r="A48" s="0" t="inlineStr">
        <is>
          <t>组别顺序</t>
        </is>
      </c>
      <c r="B48" s="0" t="inlineStr">
        <is>
          <t>组内顺序</t>
        </is>
      </c>
      <c r="C48" s="0" t="inlineStr">
        <is>
          <t>Phase</t>
        </is>
      </c>
      <c r="D48" s="0" t="inlineStr">
        <is>
          <t>Group</t>
        </is>
      </c>
      <c r="E48" s="0" t="inlineStr">
        <is>
          <t>测试编号</t>
        </is>
      </c>
      <c r="F48" s="0" t="inlineStr">
        <is>
          <t>测试项目</t>
        </is>
      </c>
      <c r="G48" s="0" t="inlineStr">
        <is>
          <t>样品范围</t>
        </is>
      </c>
      <c r="H48" s="0" t="inlineStr">
        <is>
          <t>计费基数</t>
        </is>
      </c>
      <c r="I48" s="0" t="inlineStr">
        <is>
          <t>测试时间</t>
        </is>
      </c>
      <c r="J48" s="0" t="inlineStr">
        <is>
          <t>当前规则费用</t>
        </is>
      </c>
      <c r="K48" s="0" t="inlineStr">
        <is>
          <t>实验室/参考口径</t>
        </is>
      </c>
      <c r="L48" s="0" t="inlineStr">
        <is>
          <t>费用计算公式</t>
        </is>
      </c>
      <c r="M48" s="0" t="inlineStr">
        <is>
          <t>备注</t>
        </is>
      </c>
    </row>
    <row r="49" s="4">
      <c r="A49" s="0" t="inlineStr">
        <is>
          <t>Additional Fee</t>
        </is>
      </c>
      <c r="B49" s="0" t="n">
        <v>1</v>
      </c>
      <c r="C49" s="0" t="inlineStr">
        <is>
          <t>PV</t>
        </is>
      </c>
      <c r="D49" s="0" t="inlineStr">
        <is>
          <t>费用汇总附加费用</t>
        </is>
      </c>
      <c r="E49" s="0" t="inlineStr">
        <is>
          <t>Computer Fee</t>
        </is>
      </c>
      <c r="F49" s="0" t="inlineStr">
        <is>
          <t>Computer Fee</t>
        </is>
      </c>
      <c r="G49" s="0" t="inlineStr"/>
      <c r="H49" s="0" t="inlineStr">
        <is>
          <t>48 月/台系数</t>
        </is>
      </c>
      <c r="I49" s="0" t="inlineStr"/>
      <c r="J49" s="0" t="n">
        <v>12000</v>
      </c>
      <c r="K49" s="0" t="inlineStr">
        <is>
          <t>SGS 参考价</t>
        </is>
      </c>
      <c r="L49" s="0" t="inlineStr">
        <is>
          <t>SGS 250/月/台 × 48 = 12,000</t>
        </is>
      </c>
      <c r="M49" s="0" t="inlineStr">
        <is>
          <t>Computer Fee 当前按 SGS 报价计入</t>
        </is>
      </c>
    </row>
    <row r="50" s="4">
      <c r="A50" s="0" t="inlineStr">
        <is>
          <t>Additional Fee</t>
        </is>
      </c>
      <c r="B50" s="0" t="n">
        <v>2</v>
      </c>
      <c r="C50" s="0" t="inlineStr">
        <is>
          <t>PV</t>
        </is>
      </c>
      <c r="D50" s="0" t="inlineStr">
        <is>
          <t>费用汇总附加费用</t>
        </is>
      </c>
      <c r="E50" s="0" t="inlineStr">
        <is>
          <t>Report Fee</t>
        </is>
      </c>
      <c r="F50" s="0" t="inlineStr">
        <is>
          <t>Report Fee</t>
        </is>
      </c>
      <c r="G50" s="0" t="inlineStr"/>
      <c r="H50" s="0" t="inlineStr">
        <is>
          <t>14 份报告</t>
        </is>
      </c>
      <c r="I50" s="0" t="inlineStr"/>
      <c r="J50" s="0" t="n">
        <v>2100</v>
      </c>
      <c r="K50" s="0" t="inlineStr">
        <is>
          <t>苏勃 计入口径</t>
        </is>
      </c>
      <c r="L50" s="0" t="inlineStr">
        <is>
          <t>苏勃 150/份 × 14 份 = 2,100</t>
        </is>
      </c>
      <c r="M50" s="0" t="inlineStr">
        <is>
          <t>Report Fee 当前按苏勃报价计入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0"/>
  <sheetViews>
    <sheetView workbookViewId="0">
      <selection activeCell="A1" sqref="A1"/>
    </sheetView>
  </sheetViews>
  <sheetFormatPr baseColWidth="8" defaultColWidth="9" defaultRowHeight="17.6"/>
  <cols>
    <col width="10" customWidth="1" style="4" min="1" max="1"/>
    <col width="9" customWidth="1" style="4" min="2" max="2"/>
    <col width="8" customWidth="1" style="4" min="3" max="3"/>
    <col width="34" customWidth="1" style="4" min="4" max="4"/>
    <col width="12" customWidth="1" style="4" min="5" max="5"/>
    <col width="34" customWidth="1" style="4" min="6" max="6"/>
    <col width="10" customWidth="1" style="4" min="7" max="7"/>
    <col width="12" customWidth="1" style="4" min="8" max="11"/>
    <col width="10" customWidth="1" style="4" min="12" max="12"/>
    <col width="55" customWidth="1" style="4" min="13" max="13"/>
  </cols>
  <sheetData>
    <row r="1" ht="36" customHeight="1" s="4">
      <c r="A1" s="1" t="inlineStr">
        <is>
          <t>实验室</t>
        </is>
      </c>
      <c r="B1" s="1" t="inlineStr">
        <is>
          <t>Excel行号</t>
        </is>
      </c>
      <c r="C1" s="1" t="inlineStr">
        <is>
          <t>Phase</t>
        </is>
      </c>
      <c r="D1" s="1" t="inlineStr">
        <is>
          <t>Group</t>
        </is>
      </c>
      <c r="E1" s="1" t="inlineStr">
        <is>
          <t>测试编号</t>
        </is>
      </c>
      <c r="F1" s="1" t="inlineStr">
        <is>
          <t>测试项目</t>
        </is>
      </c>
      <c r="G1" s="1" t="inlineStr">
        <is>
          <t>样品范围</t>
        </is>
      </c>
      <c r="H1" s="1" t="inlineStr">
        <is>
          <t>计费基数</t>
        </is>
      </c>
      <c r="I1" s="1" t="inlineStr">
        <is>
          <t>当前费用</t>
        </is>
      </c>
      <c r="J1" s="1" t="inlineStr">
        <is>
          <t>规则费用</t>
        </is>
      </c>
      <c r="K1" s="1" t="inlineStr">
        <is>
          <t>差异</t>
        </is>
      </c>
      <c r="L1" s="1" t="inlineStr">
        <is>
          <t>校验结果</t>
        </is>
      </c>
      <c r="M1" s="1" t="inlineStr">
        <is>
          <t>规则/公式说明</t>
        </is>
      </c>
    </row>
    <row r="2" ht="36" customHeight="1" s="4">
      <c r="A2" s="2" t="inlineStr">
        <is>
          <t>SGS</t>
        </is>
      </c>
      <c r="B2" s="2" t="n">
        <v>9</v>
      </c>
      <c r="C2" s="2" t="inlineStr">
        <is>
          <t>DV</t>
        </is>
      </c>
      <c r="D2" s="2" t="inlineStr">
        <is>
          <t>Group A Sequence Tests</t>
        </is>
      </c>
      <c r="E2" s="2" t="inlineStr">
        <is>
          <t>L1&amp;L4</t>
        </is>
      </c>
      <c r="F2" s="2" t="inlineStr">
        <is>
          <t>L1&amp;L4 Performance Evaluation &amp; Functional Evaluation</t>
        </is>
      </c>
      <c r="G2" s="2" t="inlineStr">
        <is>
          <t>1-14</t>
        </is>
      </c>
      <c r="H2" s="2" t="inlineStr">
        <is>
          <t>14 个样品</t>
        </is>
      </c>
      <c r="I2" s="3" t="n">
        <v>5600</v>
      </c>
      <c r="J2" s="3" t="n">
        <v>5600</v>
      </c>
      <c r="K2" s="3" t="n">
        <v>0</v>
      </c>
      <c r="L2" s="2" t="inlineStr">
        <is>
          <t>OK</t>
        </is>
      </c>
      <c r="M2" s="2" t="inlineStr">
        <is>
          <t>14个 × 400/个 = 5,600</t>
        </is>
      </c>
    </row>
    <row r="3" ht="18" customHeight="1" s="4">
      <c r="A3" s="2" t="inlineStr">
        <is>
          <t>SGS</t>
        </is>
      </c>
      <c r="B3" s="2" t="n">
        <v>10</v>
      </c>
      <c r="C3" s="2" t="inlineStr">
        <is>
          <t>DV</t>
        </is>
      </c>
      <c r="D3" s="2" t="inlineStr">
        <is>
          <t>Group A Sequence Tests</t>
        </is>
      </c>
      <c r="E3" s="2" t="inlineStr">
        <is>
          <t>Particle</t>
        </is>
      </c>
      <c r="F3" s="2" t="inlineStr">
        <is>
          <t>Particle Exposure</t>
        </is>
      </c>
      <c r="G3" s="2" t="inlineStr">
        <is>
          <t>1-12</t>
        </is>
      </c>
      <c r="H3" s="2" t="n"/>
      <c r="I3" s="3" t="n">
        <v>13000</v>
      </c>
      <c r="J3" s="3" t="n">
        <v>13000</v>
      </c>
      <c r="K3" s="3" t="n">
        <v>0</v>
      </c>
      <c r="L3" s="2" t="inlineStr">
        <is>
          <t>OK</t>
        </is>
      </c>
      <c r="M3" s="2" t="inlineStr">
        <is>
          <t>2批 × 2,500/批 + 粉尘费 8,000 + 清洁费 0 = 13,000</t>
        </is>
      </c>
    </row>
    <row r="4" ht="18" customHeight="1" s="4">
      <c r="A4" s="2" t="inlineStr">
        <is>
          <t>SGS</t>
        </is>
      </c>
      <c r="B4" s="2" t="n">
        <v>11</v>
      </c>
      <c r="C4" s="2" t="inlineStr">
        <is>
          <t>DV</t>
        </is>
      </c>
      <c r="D4" s="2" t="inlineStr">
        <is>
          <t>Group A Sequence Tests</t>
        </is>
      </c>
      <c r="E4" s="2" t="inlineStr">
        <is>
          <t>K1</t>
        </is>
      </c>
      <c r="F4" s="2" t="inlineStr">
        <is>
          <t>K1 Low Temperature Exposure</t>
        </is>
      </c>
      <c r="G4" s="2" t="inlineStr">
        <is>
          <t>1-12</t>
        </is>
      </c>
      <c r="H4" s="2" t="inlineStr">
        <is>
          <t>24 h</t>
        </is>
      </c>
      <c r="I4" s="3" t="n">
        <v>720</v>
      </c>
      <c r="J4" s="3" t="n">
        <v>720</v>
      </c>
      <c r="K4" s="3" t="n">
        <v>0</v>
      </c>
      <c r="L4" s="2" t="inlineStr">
        <is>
          <t>OK</t>
        </is>
      </c>
      <c r="M4" s="2" t="inlineStr">
        <is>
          <t>24h × 30/h = 720（大环境箱单价）</t>
        </is>
      </c>
    </row>
    <row r="5" ht="18" customHeight="1" s="4">
      <c r="A5" s="2" t="inlineStr">
        <is>
          <t>SGS</t>
        </is>
      </c>
      <c r="B5" s="2" t="n">
        <v>12</v>
      </c>
      <c r="C5" s="2" t="inlineStr">
        <is>
          <t>DV</t>
        </is>
      </c>
      <c r="D5" s="2" t="inlineStr">
        <is>
          <t>Group A Sequence Tests</t>
        </is>
      </c>
      <c r="E5" s="2" t="inlineStr">
        <is>
          <t>K2</t>
        </is>
      </c>
      <c r="F5" s="2" t="inlineStr">
        <is>
          <t>K2 High Temperature Exposure</t>
        </is>
      </c>
      <c r="G5" s="2" t="inlineStr">
        <is>
          <t>1-12</t>
        </is>
      </c>
      <c r="H5" s="2" t="inlineStr">
        <is>
          <t>24 h</t>
        </is>
      </c>
      <c r="I5" s="3" t="n">
        <v>720</v>
      </c>
      <c r="J5" s="3" t="n">
        <v>720</v>
      </c>
      <c r="K5" s="3" t="n">
        <v>0</v>
      </c>
      <c r="L5" s="2" t="inlineStr">
        <is>
          <t>OK</t>
        </is>
      </c>
      <c r="M5" s="2" t="inlineStr">
        <is>
          <t>24h × 30/h = 720（大环境箱单价）</t>
        </is>
      </c>
    </row>
    <row r="6" ht="18" customHeight="1" s="4">
      <c r="A6" s="2" t="inlineStr">
        <is>
          <t>SGS</t>
        </is>
      </c>
      <c r="B6" s="2" t="n">
        <v>13</v>
      </c>
      <c r="C6" s="2" t="inlineStr">
        <is>
          <t>DV</t>
        </is>
      </c>
      <c r="D6" s="2" t="inlineStr">
        <is>
          <t>Group A Sequence Tests</t>
        </is>
      </c>
      <c r="E6" s="2" t="inlineStr">
        <is>
          <t>K3</t>
        </is>
      </c>
      <c r="F6" s="2" t="inlineStr">
        <is>
          <t>K3 Low Temperature Operation</t>
        </is>
      </c>
      <c r="G6" s="2" t="inlineStr">
        <is>
          <t>1-12</t>
        </is>
      </c>
      <c r="H6" s="2" t="inlineStr">
        <is>
          <t>24 h</t>
        </is>
      </c>
      <c r="I6" s="3" t="n">
        <v>720</v>
      </c>
      <c r="J6" s="3" t="n">
        <v>720</v>
      </c>
      <c r="K6" s="3" t="n">
        <v>0</v>
      </c>
      <c r="L6" s="2" t="inlineStr">
        <is>
          <t>OK</t>
        </is>
      </c>
      <c r="M6" s="2" t="inlineStr">
        <is>
          <t>24h × 30/h = 720（大环境箱单价）</t>
        </is>
      </c>
    </row>
    <row r="7" ht="18" customHeight="1" s="4">
      <c r="A7" s="2" t="inlineStr">
        <is>
          <t>SGS</t>
        </is>
      </c>
      <c r="B7" s="2" t="n">
        <v>14</v>
      </c>
      <c r="C7" s="2" t="inlineStr">
        <is>
          <t>DV</t>
        </is>
      </c>
      <c r="D7" s="2" t="inlineStr">
        <is>
          <t>Group A Sequence Tests</t>
        </is>
      </c>
      <c r="E7" s="2" t="inlineStr">
        <is>
          <t>K4</t>
        </is>
      </c>
      <c r="F7" s="2" t="inlineStr">
        <is>
          <t>K4 High Temperature Operation</t>
        </is>
      </c>
      <c r="G7" s="2" t="inlineStr">
        <is>
          <t>1-12</t>
        </is>
      </c>
      <c r="H7" s="2" t="inlineStr">
        <is>
          <t>96 h</t>
        </is>
      </c>
      <c r="I7" s="3" t="n">
        <v>2880</v>
      </c>
      <c r="J7" s="3" t="n">
        <v>2880</v>
      </c>
      <c r="K7" s="3" t="n">
        <v>0</v>
      </c>
      <c r="L7" s="2" t="inlineStr">
        <is>
          <t>OK</t>
        </is>
      </c>
      <c r="M7" s="2" t="inlineStr">
        <is>
          <t>96h × 30/h = 2,880（大环境箱单价）</t>
        </is>
      </c>
    </row>
    <row r="8" ht="18" customHeight="1" s="4">
      <c r="A8" s="2" t="inlineStr">
        <is>
          <t>SGS</t>
        </is>
      </c>
      <c r="B8" s="2" t="n">
        <v>15</v>
      </c>
      <c r="C8" s="2" t="inlineStr">
        <is>
          <t>DV</t>
        </is>
      </c>
      <c r="D8" s="2" t="inlineStr">
        <is>
          <t>Group A Sequence Tests</t>
        </is>
      </c>
      <c r="E8" s="2" t="inlineStr">
        <is>
          <t>K5</t>
        </is>
      </c>
      <c r="F8" s="2" t="inlineStr">
        <is>
          <t>K5 Temperature Step Test</t>
        </is>
      </c>
      <c r="G8" s="2" t="inlineStr">
        <is>
          <t>1-12</t>
        </is>
      </c>
      <c r="H8" s="2" t="inlineStr">
        <is>
          <t>1 批</t>
        </is>
      </c>
      <c r="I8" s="3" t="n">
        <v>3360</v>
      </c>
      <c r="J8" s="3" t="n">
        <v>3360</v>
      </c>
      <c r="K8" s="3" t="n">
        <v>0</v>
      </c>
      <c r="L8" s="2" t="inlineStr">
        <is>
          <t>OK</t>
        </is>
      </c>
      <c r="M8" s="2" t="inlineStr">
        <is>
          <t>1批 × 3,360/批 = 3,360</t>
        </is>
      </c>
    </row>
    <row r="9" ht="18" customHeight="1" s="4">
      <c r="A9" s="2" t="inlineStr">
        <is>
          <t>SGS</t>
        </is>
      </c>
      <c r="B9" s="2" t="n">
        <v>16</v>
      </c>
      <c r="C9" s="2" t="inlineStr">
        <is>
          <t>DV</t>
        </is>
      </c>
      <c r="D9" s="2" t="inlineStr">
        <is>
          <t>Group A Sequence Tests</t>
        </is>
      </c>
      <c r="E9" s="2" t="inlineStr">
        <is>
          <t>K6</t>
        </is>
      </c>
      <c r="F9" s="2" t="inlineStr">
        <is>
          <t>K6 Power Thermal Cycle</t>
        </is>
      </c>
      <c r="G9" s="2" t="inlineStr">
        <is>
          <t>1-12</t>
        </is>
      </c>
      <c r="H9" s="2" t="inlineStr">
        <is>
          <t>240 h</t>
        </is>
      </c>
      <c r="I9" s="3" t="n">
        <v>7200</v>
      </c>
      <c r="J9" s="3" t="n">
        <v>7200</v>
      </c>
      <c r="K9" s="3" t="n">
        <v>0</v>
      </c>
      <c r="L9" s="2" t="inlineStr">
        <is>
          <t>OK</t>
        </is>
      </c>
      <c r="M9" s="2" t="inlineStr">
        <is>
          <t>240h × 30/h = 7,200（大环境箱单价）</t>
        </is>
      </c>
    </row>
    <row r="10" ht="18" customHeight="1" s="4">
      <c r="A10" s="2" t="inlineStr">
        <is>
          <t>SGS</t>
        </is>
      </c>
      <c r="B10" s="2" t="n">
        <v>17</v>
      </c>
      <c r="C10" s="2" t="inlineStr">
        <is>
          <t>DV</t>
        </is>
      </c>
      <c r="D10" s="2" t="inlineStr">
        <is>
          <t>Group A Sequence Tests</t>
        </is>
      </c>
      <c r="E10" s="2" t="inlineStr">
        <is>
          <t>K7</t>
        </is>
      </c>
      <c r="F10" s="2" t="inlineStr">
        <is>
          <t>K7 Thermal Shock in Air</t>
        </is>
      </c>
      <c r="G10" s="2" t="inlineStr">
        <is>
          <t>1-12</t>
        </is>
      </c>
      <c r="H10" s="2" t="inlineStr">
        <is>
          <t>105 h</t>
        </is>
      </c>
      <c r="I10" s="3" t="n">
        <v>10500</v>
      </c>
      <c r="J10" s="3" t="n">
        <v>10500</v>
      </c>
      <c r="K10" s="3" t="n">
        <v>0</v>
      </c>
      <c r="L10" s="2" t="inlineStr">
        <is>
          <t>OK</t>
        </is>
      </c>
      <c r="M10" s="2" t="inlineStr">
        <is>
          <t>105h × 100/h = 10,500</t>
        </is>
      </c>
    </row>
    <row r="11" ht="18" customHeight="1" s="4">
      <c r="A11" s="2" t="inlineStr">
        <is>
          <t>SGS</t>
        </is>
      </c>
      <c r="B11" s="2" t="n">
        <v>18</v>
      </c>
      <c r="C11" s="2" t="inlineStr">
        <is>
          <t>DV</t>
        </is>
      </c>
      <c r="D11" s="2" t="inlineStr">
        <is>
          <t>Group A Sequence Tests</t>
        </is>
      </c>
      <c r="E11" s="2" t="inlineStr">
        <is>
          <t>K15</t>
        </is>
      </c>
      <c r="F11" s="2" t="inlineStr">
        <is>
          <t>K15 Vibration</t>
        </is>
      </c>
      <c r="G11" s="2" t="inlineStr">
        <is>
          <t>1-12</t>
        </is>
      </c>
      <c r="H11" s="2" t="inlineStr">
        <is>
          <t>48 h</t>
        </is>
      </c>
      <c r="I11" s="3" t="n">
        <v>24000</v>
      </c>
      <c r="J11" s="3" t="n">
        <v>24000</v>
      </c>
      <c r="K11" s="3" t="n">
        <v>0</v>
      </c>
      <c r="L11" s="2" t="inlineStr">
        <is>
          <t>OK</t>
        </is>
      </c>
      <c r="M11" s="2" t="inlineStr">
        <is>
          <t>48h × 500/h = 24,000</t>
        </is>
      </c>
    </row>
    <row r="12" ht="36" customHeight="1" s="4">
      <c r="A12" s="2" t="inlineStr">
        <is>
          <t>SGS</t>
        </is>
      </c>
      <c r="B12" s="2" t="n">
        <v>19</v>
      </c>
      <c r="C12" s="2" t="inlineStr">
        <is>
          <t>DV</t>
        </is>
      </c>
      <c r="D12" s="2" t="inlineStr">
        <is>
          <t>Group A Sequence Tests</t>
        </is>
      </c>
      <c r="E12" s="2" t="inlineStr">
        <is>
          <t>K16.1</t>
        </is>
      </c>
      <c r="F12" s="2" t="inlineStr">
        <is>
          <t>K16.1 Mechanical Shock Package Drop</t>
        </is>
      </c>
      <c r="G12" s="2" t="inlineStr">
        <is>
          <t>1-14</t>
        </is>
      </c>
      <c r="H12" s="2" t="inlineStr">
        <is>
          <t>14 个样品</t>
        </is>
      </c>
      <c r="I12" s="3" t="n">
        <v>4200</v>
      </c>
      <c r="J12" s="3" t="n">
        <v>4200</v>
      </c>
      <c r="K12" s="3" t="n">
        <v>0</v>
      </c>
      <c r="L12" s="2" t="inlineStr">
        <is>
          <t>OK</t>
        </is>
      </c>
      <c r="M12" s="2" t="inlineStr">
        <is>
          <t>14个 × 300/个 = 4,200</t>
        </is>
      </c>
    </row>
    <row r="13" ht="18" customHeight="1" s="4">
      <c r="A13" s="2" t="inlineStr">
        <is>
          <t>SGS</t>
        </is>
      </c>
      <c r="B13" s="2" t="n">
        <v>20</v>
      </c>
      <c r="C13" s="2" t="inlineStr">
        <is>
          <t>DV</t>
        </is>
      </c>
      <c r="D13" s="2" t="inlineStr">
        <is>
          <t>Group A Sequence Tests</t>
        </is>
      </c>
      <c r="E13" s="2" t="inlineStr">
        <is>
          <t>K16.4</t>
        </is>
      </c>
      <c r="F13" s="2" t="inlineStr">
        <is>
          <t>K16.4 Mechanical Shock Low</t>
        </is>
      </c>
      <c r="G13" s="2" t="inlineStr">
        <is>
          <t>1-12</t>
        </is>
      </c>
      <c r="H13" s="2" t="inlineStr">
        <is>
          <t>12 个样品</t>
        </is>
      </c>
      <c r="I13" s="3" t="n">
        <v>3996</v>
      </c>
      <c r="J13" s="3" t="n">
        <v>3996</v>
      </c>
      <c r="K13" s="3" t="n">
        <v>0</v>
      </c>
      <c r="L13" s="2" t="inlineStr">
        <is>
          <t>OK</t>
        </is>
      </c>
      <c r="M13" s="2" t="inlineStr">
        <is>
          <t>12个 × 333/个 = 3,996</t>
        </is>
      </c>
    </row>
    <row r="14" ht="18" customHeight="1" s="4">
      <c r="A14" s="2" t="inlineStr">
        <is>
          <t>SGS</t>
        </is>
      </c>
      <c r="B14" s="2" t="n">
        <v>21</v>
      </c>
      <c r="C14" s="2" t="inlineStr">
        <is>
          <t>DV</t>
        </is>
      </c>
      <c r="D14" s="2" t="inlineStr">
        <is>
          <t>Group A Sequence Tests</t>
        </is>
      </c>
      <c r="E14" s="2" t="inlineStr">
        <is>
          <t>K17</t>
        </is>
      </c>
      <c r="F14" s="2" t="inlineStr">
        <is>
          <t>K17 Audible Noise</t>
        </is>
      </c>
      <c r="G14" s="2" t="inlineStr">
        <is>
          <t>1-12</t>
        </is>
      </c>
      <c r="H14" s="2" t="inlineStr">
        <is>
          <t>12 个样品</t>
        </is>
      </c>
      <c r="I14" s="3" t="n">
        <v>144000</v>
      </c>
      <c r="J14" s="3" t="n">
        <v>144000</v>
      </c>
      <c r="K14" s="3" t="n">
        <v>0</v>
      </c>
      <c r="L14" s="2" t="inlineStr">
        <is>
          <t>OK</t>
        </is>
      </c>
      <c r="M14" s="2" t="inlineStr">
        <is>
          <t>12个 × 12,000/个 = 144,000</t>
        </is>
      </c>
    </row>
    <row r="15" ht="18" customHeight="1" s="4">
      <c r="A15" s="2" t="inlineStr">
        <is>
          <t>SGS</t>
        </is>
      </c>
      <c r="B15" s="2" t="n">
        <v>22</v>
      </c>
      <c r="C15" s="2" t="inlineStr">
        <is>
          <t>DV</t>
        </is>
      </c>
      <c r="D15" s="2" t="inlineStr">
        <is>
          <t>Group A Sequence Tests</t>
        </is>
      </c>
      <c r="E15" s="2" t="inlineStr">
        <is>
          <t>K9</t>
        </is>
      </c>
      <c r="F15" s="2" t="inlineStr">
        <is>
          <t>K9 Temperature/Humidity Cycle</t>
        </is>
      </c>
      <c r="G15" s="2" t="inlineStr">
        <is>
          <t>1-12</t>
        </is>
      </c>
      <c r="H15" s="2" t="inlineStr">
        <is>
          <t>264 h</t>
        </is>
      </c>
      <c r="I15" s="3" t="n">
        <v>7920</v>
      </c>
      <c r="J15" s="3" t="n">
        <v>7920</v>
      </c>
      <c r="K15" s="3" t="n">
        <v>0</v>
      </c>
      <c r="L15" s="2" t="inlineStr">
        <is>
          <t>OK</t>
        </is>
      </c>
      <c r="M15" s="2" t="inlineStr">
        <is>
          <t>264h × 30/h = 7,920（大环境箱单价）</t>
        </is>
      </c>
    </row>
    <row r="16" ht="18" customHeight="1" s="4">
      <c r="A16" s="2" t="inlineStr">
        <is>
          <t>SGS</t>
        </is>
      </c>
      <c r="B16" s="2" t="n">
        <v>23</v>
      </c>
      <c r="C16" s="2" t="inlineStr">
        <is>
          <t>DV</t>
        </is>
      </c>
      <c r="D16" s="2" t="inlineStr">
        <is>
          <t>Group A Sequence Tests</t>
        </is>
      </c>
      <c r="E16" s="2" t="inlineStr">
        <is>
          <t>K10</t>
        </is>
      </c>
      <c r="F16" s="2" t="inlineStr">
        <is>
          <t>K10 Water/Fluid Ingress Test</t>
        </is>
      </c>
      <c r="G16" s="2" t="inlineStr">
        <is>
          <t>1-12</t>
        </is>
      </c>
      <c r="H16" s="2" t="inlineStr">
        <is>
          <t>12 个样品</t>
        </is>
      </c>
      <c r="I16" s="3" t="n">
        <v>6000</v>
      </c>
      <c r="J16" s="3" t="n">
        <v>6000</v>
      </c>
      <c r="K16" s="3" t="n">
        <v>0</v>
      </c>
      <c r="L16" s="2" t="inlineStr">
        <is>
          <t>OK</t>
        </is>
      </c>
      <c r="M16" s="2" t="inlineStr">
        <is>
          <t>12个 × 500/个 = 6,000</t>
        </is>
      </c>
    </row>
    <row r="17" ht="18" customHeight="1" s="4">
      <c r="A17" s="2" t="inlineStr">
        <is>
          <t>SGS</t>
        </is>
      </c>
      <c r="B17" s="2" t="n">
        <v>24</v>
      </c>
      <c r="C17" s="2" t="inlineStr">
        <is>
          <t>DV</t>
        </is>
      </c>
      <c r="D17" s="2" t="inlineStr">
        <is>
          <t>Group A Sequence Tests</t>
        </is>
      </c>
      <c r="E17" s="2" t="inlineStr">
        <is>
          <t>K13</t>
        </is>
      </c>
      <c r="F17" s="2" t="inlineStr">
        <is>
          <t>K13 Dust Ingress</t>
        </is>
      </c>
      <c r="G17" s="2" t="inlineStr">
        <is>
          <t>1-12</t>
        </is>
      </c>
      <c r="H17" s="2" t="inlineStr">
        <is>
          <t>4 批</t>
        </is>
      </c>
      <c r="I17" s="3" t="n">
        <v>6000</v>
      </c>
      <c r="J17" s="3" t="n">
        <v>6000</v>
      </c>
      <c r="K17" s="3" t="n">
        <v>0</v>
      </c>
      <c r="L17" s="2" t="inlineStr">
        <is>
          <t>OK</t>
        </is>
      </c>
      <c r="M17" s="2" t="inlineStr">
        <is>
          <t>4批 × 1,500/批 = 6,000</t>
        </is>
      </c>
    </row>
    <row r="18" ht="36" customHeight="1" s="4">
      <c r="A18" s="2" t="inlineStr">
        <is>
          <t>SGS</t>
        </is>
      </c>
      <c r="B18" s="2" t="n">
        <v>25</v>
      </c>
      <c r="C18" s="2" t="inlineStr">
        <is>
          <t>DV</t>
        </is>
      </c>
      <c r="D18" s="2" t="inlineStr">
        <is>
          <t>Group A Sequence Tests</t>
        </is>
      </c>
      <c r="E18" s="2" t="inlineStr">
        <is>
          <t>L1&amp;L4</t>
        </is>
      </c>
      <c r="F18" s="2" t="inlineStr">
        <is>
          <t>L1&amp;L4 Performance Evaluation &amp; Functional Evaluation</t>
        </is>
      </c>
      <c r="G18" s="2" t="inlineStr">
        <is>
          <t>1-14</t>
        </is>
      </c>
      <c r="H18" s="2" t="inlineStr">
        <is>
          <t>14 个样品</t>
        </is>
      </c>
      <c r="I18" s="3" t="n">
        <v>5600</v>
      </c>
      <c r="J18" s="3" t="n">
        <v>5600</v>
      </c>
      <c r="K18" s="3" t="n">
        <v>0</v>
      </c>
      <c r="L18" s="2" t="inlineStr">
        <is>
          <t>OK</t>
        </is>
      </c>
      <c r="M18" s="2" t="inlineStr">
        <is>
          <t>14个 × 400/个 = 5,600</t>
        </is>
      </c>
    </row>
    <row r="19" ht="36" customHeight="1" s="4">
      <c r="A19" s="2" t="inlineStr">
        <is>
          <t>SGS</t>
        </is>
      </c>
      <c r="B19" s="2" t="n">
        <v>28</v>
      </c>
      <c r="C19" s="2" t="inlineStr">
        <is>
          <t>DV</t>
        </is>
      </c>
      <c r="D19" s="2" t="inlineStr">
        <is>
          <t>Group B Sequence Tests</t>
        </is>
      </c>
      <c r="E19" s="2" t="inlineStr">
        <is>
          <t>L1&amp;L4</t>
        </is>
      </c>
      <c r="F19" s="2" t="inlineStr">
        <is>
          <t>L1&amp;L4 Performance Evaluation &amp; Functional Evaluation</t>
        </is>
      </c>
      <c r="G19" s="2" t="inlineStr">
        <is>
          <t>15-26</t>
        </is>
      </c>
      <c r="H19" s="2" t="inlineStr">
        <is>
          <t>12 个样品</t>
        </is>
      </c>
      <c r="I19" s="3" t="n">
        <v>4800</v>
      </c>
      <c r="J19" s="3" t="n">
        <v>4800</v>
      </c>
      <c r="K19" s="3" t="n">
        <v>0</v>
      </c>
      <c r="L19" s="2" t="inlineStr">
        <is>
          <t>OK</t>
        </is>
      </c>
      <c r="M19" s="2" t="inlineStr">
        <is>
          <t>12个 × 400/个 = 4,800</t>
        </is>
      </c>
    </row>
    <row r="20" ht="18" customHeight="1" s="4">
      <c r="A20" s="2" t="inlineStr">
        <is>
          <t>SGS</t>
        </is>
      </c>
      <c r="B20" s="2" t="n">
        <v>29</v>
      </c>
      <c r="C20" s="2" t="inlineStr">
        <is>
          <t>DV</t>
        </is>
      </c>
      <c r="D20" s="2" t="inlineStr">
        <is>
          <t>Group B Sequence Tests</t>
        </is>
      </c>
      <c r="E20" s="2" t="inlineStr">
        <is>
          <t>K22</t>
        </is>
      </c>
      <c r="F20" s="2" t="inlineStr">
        <is>
          <t>K22 Chemical Resistance</t>
        </is>
      </c>
      <c r="G20" s="2" t="inlineStr">
        <is>
          <t>15-26</t>
        </is>
      </c>
      <c r="H20" s="2" t="inlineStr">
        <is>
          <t>72 h</t>
        </is>
      </c>
      <c r="I20" s="3" t="n">
        <v>11190</v>
      </c>
      <c r="J20" s="3" t="n">
        <v>11190</v>
      </c>
      <c r="K20" s="3" t="n">
        <v>0</v>
      </c>
      <c r="L20" s="2" t="inlineStr">
        <is>
          <t>OK</t>
        </is>
      </c>
      <c r="M20" s="2" t="inlineStr">
        <is>
          <t>SGS: 15 种试剂 × 650 + 72 h × 20 = 11190；</t>
        </is>
      </c>
    </row>
    <row r="21" ht="36" customHeight="1" s="4">
      <c r="A21" s="2" t="inlineStr">
        <is>
          <t>SGS</t>
        </is>
      </c>
      <c r="B21" s="2" t="n">
        <v>30</v>
      </c>
      <c r="C21" s="2" t="inlineStr">
        <is>
          <t>DV</t>
        </is>
      </c>
      <c r="D21" s="2" t="inlineStr">
        <is>
          <t>Group B Sequence Tests</t>
        </is>
      </c>
      <c r="E21" s="2" t="inlineStr">
        <is>
          <t>K18</t>
        </is>
      </c>
      <c r="F21" s="2" t="inlineStr">
        <is>
          <t>K18 Connector and lead/lock strength</t>
        </is>
      </c>
      <c r="G21" s="2" t="inlineStr">
        <is>
          <t>15-26</t>
        </is>
      </c>
      <c r="H21" s="2" t="inlineStr">
        <is>
          <t>12 个样品</t>
        </is>
      </c>
      <c r="I21" s="3" t="n">
        <v>19000</v>
      </c>
      <c r="J21" s="3" t="n">
        <v>19000</v>
      </c>
      <c r="K21" s="3" t="n">
        <v>0</v>
      </c>
      <c r="L21" s="2" t="inlineStr">
        <is>
          <t>OK</t>
        </is>
      </c>
      <c r="M21" s="2" t="inlineStr">
        <is>
          <t>SGS: 四项单价 325；微应力 3400 = 19000；</t>
        </is>
      </c>
    </row>
    <row r="22" ht="36" customHeight="1" s="4">
      <c r="A22" s="2" t="inlineStr">
        <is>
          <t>SGS</t>
        </is>
      </c>
      <c r="B22" s="2" t="n">
        <v>31</v>
      </c>
      <c r="C22" s="2" t="inlineStr">
        <is>
          <t>DV</t>
        </is>
      </c>
      <c r="D22" s="2" t="inlineStr">
        <is>
          <t>Group B Sequence Tests</t>
        </is>
      </c>
      <c r="E22" s="2" t="inlineStr">
        <is>
          <t>L1&amp;L4</t>
        </is>
      </c>
      <c r="F22" s="2" t="inlineStr">
        <is>
          <t>L1&amp;L4 Performance Evaluation &amp; Functional Evaluation</t>
        </is>
      </c>
      <c r="G22" s="2" t="inlineStr">
        <is>
          <t>15-26</t>
        </is>
      </c>
      <c r="H22" s="2" t="inlineStr">
        <is>
          <t>12 个样品</t>
        </is>
      </c>
      <c r="I22" s="3" t="n">
        <v>4800</v>
      </c>
      <c r="J22" s="3" t="n">
        <v>4800</v>
      </c>
      <c r="K22" s="3" t="n">
        <v>0</v>
      </c>
      <c r="L22" s="2" t="inlineStr">
        <is>
          <t>OK</t>
        </is>
      </c>
      <c r="M22" s="2" t="inlineStr">
        <is>
          <t>12个 × 400/个 = 4,800</t>
        </is>
      </c>
    </row>
    <row r="23" ht="36" customHeight="1" s="4">
      <c r="A23" s="2" t="inlineStr">
        <is>
          <t>SGS</t>
        </is>
      </c>
      <c r="B23" s="2" t="n">
        <v>34</v>
      </c>
      <c r="C23" s="2" t="inlineStr">
        <is>
          <t>DV</t>
        </is>
      </c>
      <c r="D23" s="2" t="inlineStr">
        <is>
          <t>Group C Sequence Tests</t>
        </is>
      </c>
      <c r="E23" s="2" t="inlineStr">
        <is>
          <t>L1&amp;L4</t>
        </is>
      </c>
      <c r="F23" s="2" t="inlineStr">
        <is>
          <t>L1&amp;L4 Performance Evaluation &amp; Functional Evaluation</t>
        </is>
      </c>
      <c r="G23" s="2" t="inlineStr">
        <is>
          <t>27-32</t>
        </is>
      </c>
      <c r="H23" s="2" t="inlineStr">
        <is>
          <t>6 个样品</t>
        </is>
      </c>
      <c r="I23" s="3" t="n">
        <v>2400</v>
      </c>
      <c r="J23" s="3" t="n">
        <v>2400</v>
      </c>
      <c r="K23" s="3" t="n">
        <v>0</v>
      </c>
      <c r="L23" s="2" t="inlineStr">
        <is>
          <t>OK</t>
        </is>
      </c>
      <c r="M23" s="2" t="inlineStr">
        <is>
          <t>6个 × 400/个 = 2,400</t>
        </is>
      </c>
    </row>
    <row r="24" ht="18" customHeight="1" s="4">
      <c r="A24" s="2" t="inlineStr">
        <is>
          <t>SGS</t>
        </is>
      </c>
      <c r="B24" s="2" t="n">
        <v>35</v>
      </c>
      <c r="C24" s="2" t="inlineStr">
        <is>
          <t>DV</t>
        </is>
      </c>
      <c r="D24" s="2" t="inlineStr">
        <is>
          <t>Group C Sequence Tests</t>
        </is>
      </c>
      <c r="E24" s="2" t="inlineStr">
        <is>
          <t>K7</t>
        </is>
      </c>
      <c r="F24" s="2" t="inlineStr">
        <is>
          <t>K7 Thermal Shock in Air</t>
        </is>
      </c>
      <c r="G24" s="2" t="inlineStr">
        <is>
          <t>27-32</t>
        </is>
      </c>
      <c r="H24" s="2" t="inlineStr">
        <is>
          <t>105 h</t>
        </is>
      </c>
      <c r="I24" s="3" t="n">
        <v>10500</v>
      </c>
      <c r="J24" s="3" t="n">
        <v>10500</v>
      </c>
      <c r="K24" s="3" t="n">
        <v>0</v>
      </c>
      <c r="L24" s="2" t="inlineStr">
        <is>
          <t>OK</t>
        </is>
      </c>
      <c r="M24" s="2" t="inlineStr">
        <is>
          <t>105h × 100/h = 10,500</t>
        </is>
      </c>
    </row>
    <row r="25" ht="36" customHeight="1" s="4">
      <c r="A25" s="2" t="inlineStr">
        <is>
          <t>SGS</t>
        </is>
      </c>
      <c r="B25" s="2" t="n">
        <v>36</v>
      </c>
      <c r="C25" s="2" t="inlineStr">
        <is>
          <t>DV</t>
        </is>
      </c>
      <c r="D25" s="2" t="inlineStr">
        <is>
          <t>Group C Sequence Tests</t>
        </is>
      </c>
      <c r="E25" s="2" t="inlineStr">
        <is>
          <t>Particle</t>
        </is>
      </c>
      <c r="F25" s="2" t="inlineStr">
        <is>
          <t>Particle Exposure</t>
        </is>
      </c>
      <c r="G25" s="2" t="inlineStr">
        <is>
          <t>27-32</t>
        </is>
      </c>
      <c r="H25" s="2" t="n"/>
      <c r="I25" s="3" t="n">
        <v>2500</v>
      </c>
      <c r="J25" s="3" t="n">
        <v>2500</v>
      </c>
      <c r="K25" s="3" t="n">
        <v>0</v>
      </c>
      <c r="L25" s="2" t="inlineStr">
        <is>
          <t>OK</t>
        </is>
      </c>
      <c r="M25" s="2" t="inlineStr">
        <is>
          <t>A组已计入粉尘费/清洁费，当前仅计批次费：1批 × 2,500/批 = 2,500</t>
        </is>
      </c>
    </row>
    <row r="26" ht="18" customHeight="1" s="4">
      <c r="A26" s="2" t="inlineStr">
        <is>
          <t>SGS</t>
        </is>
      </c>
      <c r="B26" s="2" t="n">
        <v>37</v>
      </c>
      <c r="C26" s="2" t="inlineStr">
        <is>
          <t>DV</t>
        </is>
      </c>
      <c r="D26" s="2" t="inlineStr">
        <is>
          <t>Group C Sequence Tests</t>
        </is>
      </c>
      <c r="E26" s="2" t="inlineStr">
        <is>
          <t>K15</t>
        </is>
      </c>
      <c r="F26" s="2" t="inlineStr">
        <is>
          <t>K15 Vibartion</t>
        </is>
      </c>
      <c r="G26" s="2" t="inlineStr">
        <is>
          <t>27-32</t>
        </is>
      </c>
      <c r="H26" s="2" t="inlineStr">
        <is>
          <t>24 h</t>
        </is>
      </c>
      <c r="I26" s="3" t="n">
        <v>12000</v>
      </c>
      <c r="J26" s="3" t="n">
        <v>12000</v>
      </c>
      <c r="K26" s="3" t="n">
        <v>0</v>
      </c>
      <c r="L26" s="2" t="inlineStr">
        <is>
          <t>OK</t>
        </is>
      </c>
      <c r="M26" s="2" t="inlineStr">
        <is>
          <t>24h × 500/h = 12,000</t>
        </is>
      </c>
    </row>
    <row r="27" ht="18" customHeight="1" s="4">
      <c r="A27" s="2" t="inlineStr">
        <is>
          <t>SGS</t>
        </is>
      </c>
      <c r="B27" s="2" t="n">
        <v>38</v>
      </c>
      <c r="C27" s="2" t="inlineStr">
        <is>
          <t>DV</t>
        </is>
      </c>
      <c r="D27" s="2" t="inlineStr">
        <is>
          <t>Group C Sequence Tests</t>
        </is>
      </c>
      <c r="E27" s="2" t="inlineStr">
        <is>
          <t>K13</t>
        </is>
      </c>
      <c r="F27" s="2" t="inlineStr">
        <is>
          <t>K13 Dust Ingress</t>
        </is>
      </c>
      <c r="G27" s="2" t="inlineStr">
        <is>
          <t>27-32</t>
        </is>
      </c>
      <c r="H27" s="2" t="inlineStr">
        <is>
          <t>2 批</t>
        </is>
      </c>
      <c r="I27" s="3" t="n">
        <v>3000</v>
      </c>
      <c r="J27" s="3" t="n">
        <v>3000</v>
      </c>
      <c r="K27" s="3" t="n">
        <v>0</v>
      </c>
      <c r="L27" s="2" t="inlineStr">
        <is>
          <t>OK</t>
        </is>
      </c>
      <c r="M27" s="2" t="inlineStr">
        <is>
          <t>2批 × 1,500/批 = 3,000</t>
        </is>
      </c>
    </row>
    <row r="28" ht="18" customHeight="1" s="4">
      <c r="A28" s="2" t="inlineStr">
        <is>
          <t>SGS</t>
        </is>
      </c>
      <c r="B28" s="2" t="n">
        <v>39</v>
      </c>
      <c r="C28" s="2" t="inlineStr">
        <is>
          <t>DV</t>
        </is>
      </c>
      <c r="D28" s="2" t="inlineStr">
        <is>
          <t>Group C Sequence Tests</t>
        </is>
      </c>
      <c r="E28" s="2" t="inlineStr">
        <is>
          <t>K26</t>
        </is>
      </c>
      <c r="F28" s="2" t="inlineStr">
        <is>
          <t>K26 Mechanical Wear-Out</t>
        </is>
      </c>
      <c r="G28" s="2" t="inlineStr">
        <is>
          <t>27-32</t>
        </is>
      </c>
      <c r="H28" s="2" t="inlineStr">
        <is>
          <t>500 h</t>
        </is>
      </c>
      <c r="I28" s="3" t="n">
        <v>7158</v>
      </c>
      <c r="J28" s="3" t="n">
        <v>7158</v>
      </c>
      <c r="K28" s="3" t="n">
        <v>0</v>
      </c>
      <c r="L28" s="2" t="inlineStr">
        <is>
          <t>OK</t>
        </is>
      </c>
      <c r="M28" s="2" t="inlineStr">
        <is>
          <t>SGS: 334 h × 10 + 83 h × 23 + 83 h × 23 = 7158；</t>
        </is>
      </c>
    </row>
    <row r="29" ht="36" customHeight="1" s="4">
      <c r="A29" s="2" t="inlineStr">
        <is>
          <t>SGS</t>
        </is>
      </c>
      <c r="B29" s="2" t="n">
        <v>40</v>
      </c>
      <c r="C29" s="2" t="inlineStr">
        <is>
          <t>DV</t>
        </is>
      </c>
      <c r="D29" s="2" t="inlineStr">
        <is>
          <t>Group C Sequence Tests</t>
        </is>
      </c>
      <c r="E29" s="2" t="inlineStr">
        <is>
          <t>L1&amp;L4</t>
        </is>
      </c>
      <c r="F29" s="2" t="inlineStr">
        <is>
          <t>L1&amp;L4 Performance Evaluation &amp; Functional Evaluation</t>
        </is>
      </c>
      <c r="G29" s="2" t="inlineStr">
        <is>
          <t>27-32</t>
        </is>
      </c>
      <c r="H29" s="2" t="inlineStr">
        <is>
          <t>6 个样品</t>
        </is>
      </c>
      <c r="I29" s="3" t="n">
        <v>2400</v>
      </c>
      <c r="J29" s="3" t="n">
        <v>2400</v>
      </c>
      <c r="K29" s="3" t="n">
        <v>0</v>
      </c>
      <c r="L29" s="2" t="inlineStr">
        <is>
          <t>OK</t>
        </is>
      </c>
      <c r="M29" s="2" t="inlineStr">
        <is>
          <t>6个 × 400/个 = 2,400</t>
        </is>
      </c>
    </row>
    <row r="30" ht="36" customHeight="1" s="4">
      <c r="A30" s="2" t="inlineStr">
        <is>
          <t>SGS</t>
        </is>
      </c>
      <c r="B30" s="2" t="n">
        <v>43</v>
      </c>
      <c r="C30" s="2" t="inlineStr">
        <is>
          <t>DV</t>
        </is>
      </c>
      <c r="D30" s="2" t="inlineStr">
        <is>
          <t>Group D Parallel Tests / D-1 Corrosive Gases</t>
        </is>
      </c>
      <c r="E30" s="2" t="inlineStr">
        <is>
          <t>L1&amp;L4</t>
        </is>
      </c>
      <c r="F30" s="2" t="inlineStr">
        <is>
          <t>L1&amp;L4 Performance Evaluation &amp; Functional Evaluation</t>
        </is>
      </c>
      <c r="G30" s="2" t="inlineStr">
        <is>
          <t>33-38</t>
        </is>
      </c>
      <c r="H30" s="2" t="inlineStr">
        <is>
          <t>6 个样品</t>
        </is>
      </c>
      <c r="I30" s="3" t="n">
        <v>2400</v>
      </c>
      <c r="J30" s="3" t="n">
        <v>2400</v>
      </c>
      <c r="K30" s="3" t="n">
        <v>0</v>
      </c>
      <c r="L30" s="2" t="inlineStr">
        <is>
          <t>OK</t>
        </is>
      </c>
      <c r="M30" s="2" t="inlineStr">
        <is>
          <t>6个 × 400/个 = 2,400</t>
        </is>
      </c>
    </row>
    <row r="31" ht="36" customHeight="1" s="4">
      <c r="A31" s="2" t="inlineStr">
        <is>
          <t>SGS</t>
        </is>
      </c>
      <c r="B31" s="2" t="n">
        <v>44</v>
      </c>
      <c r="C31" s="2" t="inlineStr">
        <is>
          <t>DV</t>
        </is>
      </c>
      <c r="D31" s="2" t="inlineStr">
        <is>
          <t>Group D Parallel Tests / D-1 Corrosive Gases</t>
        </is>
      </c>
      <c r="E31" s="2" t="inlineStr">
        <is>
          <t>K21</t>
        </is>
      </c>
      <c r="F31" s="2" t="inlineStr">
        <is>
          <t>K21 Corrosive Gases</t>
        </is>
      </c>
      <c r="G31" s="2" t="inlineStr">
        <is>
          <t>33-38</t>
        </is>
      </c>
      <c r="H31" s="2" t="inlineStr">
        <is>
          <t>336 h</t>
        </is>
      </c>
      <c r="I31" s="3" t="n">
        <v>36960</v>
      </c>
      <c r="J31" s="3" t="n">
        <v>36960</v>
      </c>
      <c r="K31" s="3" t="n">
        <v>0</v>
      </c>
      <c r="L31" s="2" t="inlineStr">
        <is>
          <t>OK</t>
        </is>
      </c>
      <c r="M31" s="2" t="inlineStr">
        <is>
          <t>336h × 110/h = 36,960</t>
        </is>
      </c>
    </row>
    <row r="32" ht="36" customHeight="1" s="4">
      <c r="A32" s="2" t="inlineStr">
        <is>
          <t>SGS</t>
        </is>
      </c>
      <c r="B32" s="2" t="n">
        <v>45</v>
      </c>
      <c r="C32" s="2" t="inlineStr">
        <is>
          <t>DV</t>
        </is>
      </c>
      <c r="D32" s="2" t="inlineStr">
        <is>
          <t>Group D Parallel Tests / D-1 Corrosive Gases</t>
        </is>
      </c>
      <c r="E32" s="2" t="inlineStr">
        <is>
          <t>L1&amp;L4</t>
        </is>
      </c>
      <c r="F32" s="2" t="inlineStr">
        <is>
          <t>L1&amp;L4 Performance Evaluation &amp; Functional Evaluation</t>
        </is>
      </c>
      <c r="G32" s="2" t="inlineStr">
        <is>
          <t>33-38</t>
        </is>
      </c>
      <c r="H32" s="2" t="inlineStr">
        <is>
          <t>6 个样品</t>
        </is>
      </c>
      <c r="I32" s="3" t="n">
        <v>2400</v>
      </c>
      <c r="J32" s="3" t="n">
        <v>2400</v>
      </c>
      <c r="K32" s="3" t="n">
        <v>0</v>
      </c>
      <c r="L32" s="2" t="inlineStr">
        <is>
          <t>OK</t>
        </is>
      </c>
      <c r="M32" s="2" t="inlineStr">
        <is>
          <t>6个 × 400/个 = 2,400</t>
        </is>
      </c>
    </row>
    <row r="33" ht="36" customHeight="1" s="4">
      <c r="A33" s="2" t="inlineStr">
        <is>
          <t>SGS</t>
        </is>
      </c>
      <c r="B33" s="2" t="n">
        <v>48</v>
      </c>
      <c r="C33" s="2" t="inlineStr">
        <is>
          <t>DV</t>
        </is>
      </c>
      <c r="D33" s="2" t="inlineStr">
        <is>
          <t>Group D Parallel Tests / D-2 Solar Radiation</t>
        </is>
      </c>
      <c r="E33" s="2" t="inlineStr">
        <is>
          <t>L1&amp;L4</t>
        </is>
      </c>
      <c r="F33" s="2" t="inlineStr">
        <is>
          <t>L1&amp;L4 Performance Evaluation &amp; Functional Evaluation</t>
        </is>
      </c>
      <c r="G33" s="2" t="inlineStr">
        <is>
          <t>39-44</t>
        </is>
      </c>
      <c r="H33" s="2" t="inlineStr">
        <is>
          <t>6 个样品</t>
        </is>
      </c>
      <c r="I33" s="3" t="n">
        <v>2400</v>
      </c>
      <c r="J33" s="3" t="n">
        <v>2400</v>
      </c>
      <c r="K33" s="3" t="n">
        <v>0</v>
      </c>
      <c r="L33" s="2" t="inlineStr">
        <is>
          <t>OK</t>
        </is>
      </c>
      <c r="M33" s="2" t="inlineStr">
        <is>
          <t>6个 × 400/个 = 2,400</t>
        </is>
      </c>
    </row>
    <row r="34" ht="36" customHeight="1" s="4">
      <c r="A34" s="2" t="inlineStr">
        <is>
          <t>SGS</t>
        </is>
      </c>
      <c r="B34" s="2" t="n">
        <v>49</v>
      </c>
      <c r="C34" s="2" t="inlineStr">
        <is>
          <t>DV</t>
        </is>
      </c>
      <c r="D34" s="2" t="inlineStr">
        <is>
          <t>Group D Parallel Tests / D-2 Solar Radiation</t>
        </is>
      </c>
      <c r="E34" s="2" t="inlineStr">
        <is>
          <t>K20</t>
        </is>
      </c>
      <c r="F34" s="2" t="inlineStr">
        <is>
          <t>K20 Solar Radiation</t>
        </is>
      </c>
      <c r="G34" s="2" t="inlineStr">
        <is>
          <t>39-44</t>
        </is>
      </c>
      <c r="H34" s="2" t="inlineStr">
        <is>
          <t>720 h</t>
        </is>
      </c>
      <c r="I34" s="3" t="n">
        <v>104400</v>
      </c>
      <c r="J34" s="3" t="n">
        <v>104400</v>
      </c>
      <c r="K34" s="3" t="n">
        <v>0</v>
      </c>
      <c r="L34" s="2" t="inlineStr">
        <is>
          <t>OK</t>
        </is>
      </c>
      <c r="M34" s="2" t="inlineStr">
        <is>
          <t>720h × 145/h = 104,400</t>
        </is>
      </c>
    </row>
    <row r="35" ht="36" customHeight="1" s="4">
      <c r="A35" s="2" t="inlineStr">
        <is>
          <t>SGS</t>
        </is>
      </c>
      <c r="B35" s="2" t="n">
        <v>50</v>
      </c>
      <c r="C35" s="2" t="inlineStr">
        <is>
          <t>DV</t>
        </is>
      </c>
      <c r="D35" s="2" t="inlineStr">
        <is>
          <t>Group D Parallel Tests / D-2 Solar Radiation</t>
        </is>
      </c>
      <c r="E35" s="2" t="inlineStr">
        <is>
          <t>L1&amp;L4</t>
        </is>
      </c>
      <c r="F35" s="2" t="inlineStr">
        <is>
          <t>L1&amp;L4 Performance Evaluation &amp; Functional Evaluation</t>
        </is>
      </c>
      <c r="G35" s="2" t="inlineStr">
        <is>
          <t>39-44</t>
        </is>
      </c>
      <c r="H35" s="2" t="inlineStr">
        <is>
          <t>6 个样品</t>
        </is>
      </c>
      <c r="I35" s="3" t="n">
        <v>2400</v>
      </c>
      <c r="J35" s="3" t="n">
        <v>2400</v>
      </c>
      <c r="K35" s="3" t="n">
        <v>0</v>
      </c>
      <c r="L35" s="2" t="inlineStr">
        <is>
          <t>OK</t>
        </is>
      </c>
      <c r="M35" s="2" t="inlineStr">
        <is>
          <t>6个 × 400/个 = 2,400</t>
        </is>
      </c>
    </row>
    <row r="36" ht="36" customHeight="1" s="4">
      <c r="A36" s="2" t="inlineStr">
        <is>
          <t>SGS</t>
        </is>
      </c>
      <c r="B36" s="2" t="n">
        <v>53</v>
      </c>
      <c r="C36" s="2" t="inlineStr">
        <is>
          <t>DV</t>
        </is>
      </c>
      <c r="D36" s="2" t="inlineStr">
        <is>
          <t>Group D Parallel Tests / D-3 PCBA</t>
        </is>
      </c>
      <c r="E36" s="2" t="inlineStr">
        <is>
          <t>L1&amp;L4</t>
        </is>
      </c>
      <c r="F36" s="2" t="inlineStr">
        <is>
          <t>L1&amp;L4 Performance Evaluation &amp; Functional Evaluation</t>
        </is>
      </c>
      <c r="G36" s="2" t="inlineStr">
        <is>
          <t>45-52</t>
        </is>
      </c>
      <c r="H36" s="2" t="inlineStr">
        <is>
          <t>6 个样品</t>
        </is>
      </c>
      <c r="I36" s="3" t="n">
        <v>2400</v>
      </c>
      <c r="J36" s="3" t="n">
        <v>2400</v>
      </c>
      <c r="K36" s="3" t="n">
        <v>0</v>
      </c>
      <c r="L36" s="2" t="inlineStr">
        <is>
          <t>OK</t>
        </is>
      </c>
      <c r="M36" s="2" t="inlineStr">
        <is>
          <t>6个 × 400/个 = 2,400</t>
        </is>
      </c>
    </row>
    <row r="37" ht="18" customHeight="1" s="4">
      <c r="A37" s="2" t="inlineStr">
        <is>
          <t>SGS</t>
        </is>
      </c>
      <c r="B37" s="2" t="n">
        <v>54</v>
      </c>
      <c r="C37" s="2" t="inlineStr">
        <is>
          <t>DV</t>
        </is>
      </c>
      <c r="D37" s="2" t="inlineStr">
        <is>
          <t>Group D Parallel Tests / D-3 PCBA</t>
        </is>
      </c>
      <c r="E37" s="2" t="inlineStr">
        <is>
          <t>K23</t>
        </is>
      </c>
      <c r="F37" s="2" t="inlineStr">
        <is>
          <t>K23 Thermal Shock Endurance</t>
        </is>
      </c>
      <c r="G37" s="2" t="inlineStr">
        <is>
          <t>45-52</t>
        </is>
      </c>
      <c r="H37" s="2" t="inlineStr">
        <is>
          <t>1017 h</t>
        </is>
      </c>
      <c r="I37" s="3" t="n">
        <v>40680</v>
      </c>
      <c r="J37" s="3" t="n">
        <v>40680</v>
      </c>
      <c r="K37" s="3" t="n">
        <v>0</v>
      </c>
      <c r="L37" s="2" t="inlineStr">
        <is>
          <t>OK</t>
        </is>
      </c>
      <c r="M37" s="2" t="inlineStr">
        <is>
          <t>1,017h × 40/h = 40,680</t>
        </is>
      </c>
    </row>
    <row r="38" ht="36" customHeight="1" s="4">
      <c r="A38" s="2" t="inlineStr">
        <is>
          <t>SGS</t>
        </is>
      </c>
      <c r="B38" s="2" t="n">
        <v>55</v>
      </c>
      <c r="C38" s="2" t="inlineStr">
        <is>
          <t>DV</t>
        </is>
      </c>
      <c r="D38" s="2" t="inlineStr">
        <is>
          <t>Group D Parallel Tests / D-3 PCBA</t>
        </is>
      </c>
      <c r="E38" s="2" t="inlineStr">
        <is>
          <t>L1&amp;L4</t>
        </is>
      </c>
      <c r="F38" s="2" t="inlineStr">
        <is>
          <t>L1&amp;L4 Performance Evaluation &amp; Functional Evaluation</t>
        </is>
      </c>
      <c r="G38" s="2" t="inlineStr">
        <is>
          <t>45-52</t>
        </is>
      </c>
      <c r="H38" s="2" t="inlineStr">
        <is>
          <t>6 个样品</t>
        </is>
      </c>
      <c r="I38" s="3" t="n">
        <v>2400</v>
      </c>
      <c r="J38" s="3" t="n">
        <v>2400</v>
      </c>
      <c r="K38" s="3" t="n">
        <v>0</v>
      </c>
      <c r="L38" s="2" t="inlineStr">
        <is>
          <t>OK</t>
        </is>
      </c>
      <c r="M38" s="2" t="inlineStr">
        <is>
          <t>6个 × 400/个 = 2,400</t>
        </is>
      </c>
    </row>
    <row r="39" ht="53" customHeight="1" s="4">
      <c r="A39" s="2" t="inlineStr">
        <is>
          <t>SGS</t>
        </is>
      </c>
      <c r="B39" s="2" t="n">
        <v>56</v>
      </c>
      <c r="C39" s="2" t="inlineStr">
        <is>
          <t>DV</t>
        </is>
      </c>
      <c r="D39" s="2" t="inlineStr">
        <is>
          <t>Group D Parallel Tests / D-3 PCBA</t>
        </is>
      </c>
      <c r="E39" s="2" t="inlineStr">
        <is>
          <t>L6-SEM&amp;SECTION</t>
        </is>
      </c>
      <c r="F39" s="2" t="inlineStr">
        <is>
          <t>L6-SEM&amp;SECTION</t>
        </is>
      </c>
      <c r="G39" s="2" t="inlineStr">
        <is>
          <t>45-52</t>
        </is>
      </c>
      <c r="H39" s="2" t="inlineStr">
        <is>
          <t>33 个样品</t>
        </is>
      </c>
      <c r="I39" s="3" t="n">
        <v>21450</v>
      </c>
      <c r="J39" s="3" t="n">
        <v>21450</v>
      </c>
      <c r="K39" s="3" t="n">
        <v>0</v>
      </c>
      <c r="L39" s="2" t="inlineStr">
        <is>
          <t>OK</t>
        </is>
      </c>
      <c r="M39" s="2" t="inlineStr">
        <is>
          <t>33个 × 650/个 = 21,450</t>
        </is>
      </c>
    </row>
    <row r="40" ht="36" customHeight="1" s="4">
      <c r="A40" s="2" t="inlineStr">
        <is>
          <t>SGS</t>
        </is>
      </c>
      <c r="B40" s="2" t="n">
        <v>59</v>
      </c>
      <c r="C40" s="2" t="inlineStr">
        <is>
          <t>DV</t>
        </is>
      </c>
      <c r="D40" s="2" t="inlineStr">
        <is>
          <t>Group D Parallel Tests / D-4 Dewing Test</t>
        </is>
      </c>
      <c r="E40" s="2" t="inlineStr">
        <is>
          <t>L1&amp;L4</t>
        </is>
      </c>
      <c r="F40" s="2" t="inlineStr">
        <is>
          <t>L1&amp;L4 Performance Evaluation &amp; Functional Evaluation</t>
        </is>
      </c>
      <c r="G40" s="2" t="inlineStr">
        <is>
          <t>53-58</t>
        </is>
      </c>
      <c r="H40" s="2" t="inlineStr">
        <is>
          <t>6 个样品</t>
        </is>
      </c>
      <c r="I40" s="3" t="n">
        <v>2400</v>
      </c>
      <c r="J40" s="3" t="n">
        <v>2400</v>
      </c>
      <c r="K40" s="3" t="n">
        <v>0</v>
      </c>
      <c r="L40" s="2" t="inlineStr">
        <is>
          <t>OK</t>
        </is>
      </c>
      <c r="M40" s="2" t="inlineStr">
        <is>
          <t>6个 × 400/个 = 2,400</t>
        </is>
      </c>
    </row>
    <row r="41" ht="36" customHeight="1" s="4">
      <c r="A41" s="2" t="inlineStr">
        <is>
          <t>SGS</t>
        </is>
      </c>
      <c r="B41" s="2" t="n">
        <v>60</v>
      </c>
      <c r="C41" s="2" t="inlineStr">
        <is>
          <t>DV</t>
        </is>
      </c>
      <c r="D41" s="2" t="inlineStr">
        <is>
          <t>Group D Parallel Tests / D-4 Dewing Test</t>
        </is>
      </c>
      <c r="E41" s="2" t="inlineStr">
        <is>
          <t>K8</t>
        </is>
      </c>
      <c r="F41" s="2" t="inlineStr">
        <is>
          <t>K8 Dewing Test</t>
        </is>
      </c>
      <c r="G41" s="2" t="inlineStr">
        <is>
          <t>53-58</t>
        </is>
      </c>
      <c r="H41" s="2" t="inlineStr">
        <is>
          <t>1 批</t>
        </is>
      </c>
      <c r="I41" s="3" t="n">
        <v>4100</v>
      </c>
      <c r="J41" s="3" t="n">
        <v>4100</v>
      </c>
      <c r="K41" s="3" t="n">
        <v>0</v>
      </c>
      <c r="L41" s="2" t="inlineStr">
        <is>
          <t>OK</t>
        </is>
      </c>
      <c r="M41" s="2" t="inlineStr">
        <is>
          <t>1批 × 4,100/批 = 4,100</t>
        </is>
      </c>
    </row>
    <row r="42" ht="36" customHeight="1" s="4">
      <c r="A42" s="2" t="inlineStr">
        <is>
          <t>SGS</t>
        </is>
      </c>
      <c r="B42" s="2" t="n">
        <v>61</v>
      </c>
      <c r="C42" s="2" t="inlineStr">
        <is>
          <t>DV</t>
        </is>
      </c>
      <c r="D42" s="2" t="inlineStr">
        <is>
          <t>Group D Parallel Tests / D-4 Dewing Test</t>
        </is>
      </c>
      <c r="E42" s="2" t="inlineStr">
        <is>
          <t>L1&amp;L4</t>
        </is>
      </c>
      <c r="F42" s="2" t="inlineStr">
        <is>
          <t>L1&amp;L4 Performance Evaluation &amp; Functional Evaluation</t>
        </is>
      </c>
      <c r="G42" s="2" t="inlineStr">
        <is>
          <t>53-58</t>
        </is>
      </c>
      <c r="H42" s="2" t="inlineStr">
        <is>
          <t>6 个样品</t>
        </is>
      </c>
      <c r="I42" s="3" t="n">
        <v>2400</v>
      </c>
      <c r="J42" s="3" t="n">
        <v>2400</v>
      </c>
      <c r="K42" s="3" t="n">
        <v>0</v>
      </c>
      <c r="L42" s="2" t="inlineStr">
        <is>
          <t>OK</t>
        </is>
      </c>
      <c r="M42" s="2" t="inlineStr">
        <is>
          <t>6个 × 400/个 = 2,400</t>
        </is>
      </c>
    </row>
    <row r="43" ht="36" customHeight="1" s="4">
      <c r="A43" s="2" t="inlineStr">
        <is>
          <t>SGS</t>
        </is>
      </c>
      <c r="B43" s="2" t="n">
        <v>64</v>
      </c>
      <c r="C43" s="2" t="inlineStr">
        <is>
          <t>DV</t>
        </is>
      </c>
      <c r="D43" s="2" t="inlineStr">
        <is>
          <t>Group D Parallel Tests / D-5 Life Test-1</t>
        </is>
      </c>
      <c r="E43" s="2" t="inlineStr">
        <is>
          <t>L1&amp;L4</t>
        </is>
      </c>
      <c r="F43" s="2" t="inlineStr">
        <is>
          <t>L1&amp;L4 Performance Evaluation &amp; Functional Evaluation</t>
        </is>
      </c>
      <c r="G43" s="2" t="inlineStr">
        <is>
          <t>59-64</t>
        </is>
      </c>
      <c r="H43" s="2" t="inlineStr">
        <is>
          <t>6 个样品</t>
        </is>
      </c>
      <c r="I43" s="3" t="n">
        <v>2400</v>
      </c>
      <c r="J43" s="3" t="n">
        <v>2400</v>
      </c>
      <c r="K43" s="3" t="n">
        <v>0</v>
      </c>
      <c r="L43" s="2" t="inlineStr">
        <is>
          <t>OK</t>
        </is>
      </c>
      <c r="M43" s="2" t="inlineStr">
        <is>
          <t>6个 × 400/个 = 2,400</t>
        </is>
      </c>
    </row>
    <row r="44" ht="36" customHeight="1" s="4">
      <c r="A44" s="2" t="inlineStr">
        <is>
          <t>SGS</t>
        </is>
      </c>
      <c r="B44" s="2" t="n">
        <v>65</v>
      </c>
      <c r="C44" s="2" t="inlineStr">
        <is>
          <t>DV</t>
        </is>
      </c>
      <c r="D44" s="2" t="inlineStr">
        <is>
          <t>Group D Parallel Tests / D-5 Life Test-1</t>
        </is>
      </c>
      <c r="E44" s="2" t="inlineStr">
        <is>
          <t>K24</t>
        </is>
      </c>
      <c r="F44" s="2" t="inlineStr">
        <is>
          <t>K24 High Temperature Endurance</t>
        </is>
      </c>
      <c r="G44" s="2" t="inlineStr">
        <is>
          <t>59-64</t>
        </is>
      </c>
      <c r="H44" s="2" t="inlineStr">
        <is>
          <t>1000 h</t>
        </is>
      </c>
      <c r="I44" s="3" t="n">
        <v>23000</v>
      </c>
      <c r="J44" s="3" t="n">
        <v>23000</v>
      </c>
      <c r="K44" s="3" t="n">
        <v>0</v>
      </c>
      <c r="L44" s="2" t="inlineStr">
        <is>
          <t>OK</t>
        </is>
      </c>
      <c r="M44" s="2" t="inlineStr">
        <is>
          <t>1,000h × 23/h = 23,000</t>
        </is>
      </c>
    </row>
    <row r="45" ht="36" customHeight="1" s="4">
      <c r="A45" s="2" t="inlineStr">
        <is>
          <t>SGS</t>
        </is>
      </c>
      <c r="B45" s="2" t="n">
        <v>66</v>
      </c>
      <c r="C45" s="2" t="inlineStr">
        <is>
          <t>DV</t>
        </is>
      </c>
      <c r="D45" s="2" t="inlineStr">
        <is>
          <t>Group D Parallel Tests / D-5 Life Test-1</t>
        </is>
      </c>
      <c r="E45" s="2" t="inlineStr">
        <is>
          <t>L1&amp;L4</t>
        </is>
      </c>
      <c r="F45" s="2" t="inlineStr">
        <is>
          <t>L1&amp;L4 Performance Evaluation &amp; Functional Evaluation</t>
        </is>
      </c>
      <c r="G45" s="2" t="inlineStr">
        <is>
          <t>59-64</t>
        </is>
      </c>
      <c r="H45" s="2" t="inlineStr">
        <is>
          <t>6 个样品</t>
        </is>
      </c>
      <c r="I45" s="3" t="n">
        <v>2400</v>
      </c>
      <c r="J45" s="3" t="n">
        <v>2400</v>
      </c>
      <c r="K45" s="3" t="n">
        <v>0</v>
      </c>
      <c r="L45" s="2" t="inlineStr">
        <is>
          <t>OK</t>
        </is>
      </c>
      <c r="M45" s="2" t="inlineStr">
        <is>
          <t>6个 × 400/个 = 2,400</t>
        </is>
      </c>
    </row>
    <row r="46" ht="36" customHeight="1" s="4">
      <c r="A46" s="2" t="inlineStr">
        <is>
          <t>SGS</t>
        </is>
      </c>
      <c r="B46" s="2" t="n">
        <v>69</v>
      </c>
      <c r="C46" s="2" t="inlineStr">
        <is>
          <t>DV</t>
        </is>
      </c>
      <c r="D46" s="2" t="inlineStr">
        <is>
          <t>Group D Parallel Tests / D-6 Life Test-2-1</t>
        </is>
      </c>
      <c r="E46" s="2" t="inlineStr">
        <is>
          <t>L1&amp;L4</t>
        </is>
      </c>
      <c r="F46" s="2" t="inlineStr">
        <is>
          <t>L1&amp;L4 Performance Evaluation &amp; Functional Evaluation</t>
        </is>
      </c>
      <c r="G46" s="2" t="inlineStr">
        <is>
          <t>65-70</t>
        </is>
      </c>
      <c r="H46" s="2" t="inlineStr">
        <is>
          <t>6 个样品</t>
        </is>
      </c>
      <c r="I46" s="3" t="n">
        <v>2400</v>
      </c>
      <c r="J46" s="3" t="n">
        <v>2400</v>
      </c>
      <c r="K46" s="3" t="n">
        <v>0</v>
      </c>
      <c r="L46" s="2" t="inlineStr">
        <is>
          <t>OK</t>
        </is>
      </c>
      <c r="M46" s="2" t="inlineStr">
        <is>
          <t>6个 × 400/个 = 2,400</t>
        </is>
      </c>
    </row>
    <row r="47" ht="36" customHeight="1" s="4">
      <c r="A47" s="2" t="inlineStr">
        <is>
          <t>SGS</t>
        </is>
      </c>
      <c r="B47" s="2" t="n">
        <v>70</v>
      </c>
      <c r="C47" s="2" t="inlineStr">
        <is>
          <t>DV</t>
        </is>
      </c>
      <c r="D47" s="2" t="inlineStr">
        <is>
          <t>Group D Parallel Tests / D-6 Life Test-2-1</t>
        </is>
      </c>
      <c r="E47" s="2" t="inlineStr">
        <is>
          <t>K27</t>
        </is>
      </c>
      <c r="F47" s="2" t="inlineStr">
        <is>
          <t>K27 85/85 High Temperature -High Humidity Endurance</t>
        </is>
      </c>
      <c r="G47" s="2" t="inlineStr">
        <is>
          <t>65-70</t>
        </is>
      </c>
      <c r="H47" s="2" t="inlineStr">
        <is>
          <t>1000 h</t>
        </is>
      </c>
      <c r="I47" s="3" t="n">
        <v>23000</v>
      </c>
      <c r="J47" s="3" t="n">
        <v>23000</v>
      </c>
      <c r="K47" s="3" t="n">
        <v>0</v>
      </c>
      <c r="L47" s="2" t="inlineStr">
        <is>
          <t>OK</t>
        </is>
      </c>
      <c r="M47" s="2" t="inlineStr">
        <is>
          <t>1,000h × 23/h = 23,000</t>
        </is>
      </c>
    </row>
    <row r="48" ht="36" customHeight="1" s="4">
      <c r="A48" s="2" t="inlineStr">
        <is>
          <t>SGS</t>
        </is>
      </c>
      <c r="B48" s="2" t="n">
        <v>71</v>
      </c>
      <c r="C48" s="2" t="inlineStr">
        <is>
          <t>DV</t>
        </is>
      </c>
      <c r="D48" s="2" t="inlineStr">
        <is>
          <t>Group D Parallel Tests / D-6 Life Test-2-1</t>
        </is>
      </c>
      <c r="E48" s="2" t="inlineStr">
        <is>
          <t>L1&amp;L4</t>
        </is>
      </c>
      <c r="F48" s="2" t="inlineStr">
        <is>
          <t>L1&amp;L4 Performance Evaluation &amp; Functional Evaluation</t>
        </is>
      </c>
      <c r="G48" s="2" t="inlineStr">
        <is>
          <t>65-70</t>
        </is>
      </c>
      <c r="H48" s="2" t="inlineStr">
        <is>
          <t>6 个样品</t>
        </is>
      </c>
      <c r="I48" s="3" t="n">
        <v>2400</v>
      </c>
      <c r="J48" s="3" t="n">
        <v>2400</v>
      </c>
      <c r="K48" s="3" t="n">
        <v>0</v>
      </c>
      <c r="L48" s="2" t="inlineStr">
        <is>
          <t>OK</t>
        </is>
      </c>
      <c r="M48" s="2" t="inlineStr">
        <is>
          <t>6个 × 400/个 = 2,400</t>
        </is>
      </c>
    </row>
    <row r="49" ht="36" customHeight="1" s="4">
      <c r="A49" s="2" t="inlineStr">
        <is>
          <t>SGS</t>
        </is>
      </c>
      <c r="B49" s="2" t="n">
        <v>74</v>
      </c>
      <c r="C49" s="2" t="inlineStr">
        <is>
          <t>DV</t>
        </is>
      </c>
      <c r="D49" s="2" t="inlineStr">
        <is>
          <t>Group D Parallel Tests / D-7 Life Test-2-2</t>
        </is>
      </c>
      <c r="E49" s="2" t="inlineStr">
        <is>
          <t>L1&amp;L4</t>
        </is>
      </c>
      <c r="F49" s="2" t="inlineStr">
        <is>
          <t>L1&amp;L4 Performance Evaluation &amp; Functional Evaluation</t>
        </is>
      </c>
      <c r="G49" s="2" t="inlineStr">
        <is>
          <t>71-76</t>
        </is>
      </c>
      <c r="H49" s="2" t="inlineStr">
        <is>
          <t>6 个样品</t>
        </is>
      </c>
      <c r="I49" s="3" t="n">
        <v>2400</v>
      </c>
      <c r="J49" s="3" t="n">
        <v>2400</v>
      </c>
      <c r="K49" s="3" t="n">
        <v>0</v>
      </c>
      <c r="L49" s="2" t="inlineStr">
        <is>
          <t>OK</t>
        </is>
      </c>
      <c r="M49" s="2" t="inlineStr">
        <is>
          <t>6个 × 400/个 = 2,400</t>
        </is>
      </c>
    </row>
    <row r="50" ht="36" customHeight="1" s="4">
      <c r="A50" s="2" t="inlineStr">
        <is>
          <t>SGS</t>
        </is>
      </c>
      <c r="B50" s="2" t="n">
        <v>75</v>
      </c>
      <c r="C50" s="2" t="inlineStr">
        <is>
          <t>DV</t>
        </is>
      </c>
      <c r="D50" s="2" t="inlineStr">
        <is>
          <t>Group D Parallel Tests / D-7 Life Test-2-2</t>
        </is>
      </c>
      <c r="E50" s="2" t="inlineStr">
        <is>
          <t>K27</t>
        </is>
      </c>
      <c r="F50" s="2" t="inlineStr">
        <is>
          <t>K27 60/95 High Temperature -High Humidity Endurance</t>
        </is>
      </c>
      <c r="G50" s="2" t="inlineStr">
        <is>
          <t>71-76</t>
        </is>
      </c>
      <c r="H50" s="2" t="inlineStr">
        <is>
          <t>1100 h</t>
        </is>
      </c>
      <c r="I50" s="3" t="n">
        <v>25300</v>
      </c>
      <c r="J50" s="3" t="n">
        <v>25300</v>
      </c>
      <c r="K50" s="3" t="n">
        <v>0</v>
      </c>
      <c r="L50" s="2" t="inlineStr">
        <is>
          <t>OK</t>
        </is>
      </c>
      <c r="M50" s="2" t="inlineStr">
        <is>
          <t>1,100h × 23/h = 25,300</t>
        </is>
      </c>
    </row>
    <row r="51" ht="36" customHeight="1" s="4">
      <c r="A51" s="2" t="inlineStr">
        <is>
          <t>SGS</t>
        </is>
      </c>
      <c r="B51" s="2" t="n">
        <v>76</v>
      </c>
      <c r="C51" s="2" t="inlineStr">
        <is>
          <t>DV</t>
        </is>
      </c>
      <c r="D51" s="2" t="inlineStr">
        <is>
          <t>Group D Parallel Tests / D-7 Life Test-2-2</t>
        </is>
      </c>
      <c r="E51" s="2" t="inlineStr">
        <is>
          <t>L1&amp;L4</t>
        </is>
      </c>
      <c r="F51" s="2" t="inlineStr">
        <is>
          <t>L1&amp;L4 Performance Evaluation &amp; Functional Evaluation</t>
        </is>
      </c>
      <c r="G51" s="2" t="inlineStr">
        <is>
          <t>71-76</t>
        </is>
      </c>
      <c r="H51" s="2" t="inlineStr">
        <is>
          <t>6 个样品</t>
        </is>
      </c>
      <c r="I51" s="3" t="n">
        <v>2400</v>
      </c>
      <c r="J51" s="3" t="n">
        <v>2400</v>
      </c>
      <c r="K51" s="3" t="n">
        <v>0</v>
      </c>
      <c r="L51" s="2" t="inlineStr">
        <is>
          <t>OK</t>
        </is>
      </c>
      <c r="M51" s="2" t="inlineStr">
        <is>
          <t>6个 × 400/个 = 2,400</t>
        </is>
      </c>
    </row>
    <row r="52" ht="36" customHeight="1" s="4">
      <c r="A52" s="2" t="inlineStr">
        <is>
          <t>SGS</t>
        </is>
      </c>
      <c r="B52" s="2" t="n">
        <v>79</v>
      </c>
      <c r="C52" s="2" t="inlineStr">
        <is>
          <t>DV</t>
        </is>
      </c>
      <c r="D52" s="2" t="inlineStr">
        <is>
          <t>Group D Parallel Tests / D-9</t>
        </is>
      </c>
      <c r="E52" s="2" t="inlineStr">
        <is>
          <t>L1&amp;L4</t>
        </is>
      </c>
      <c r="F52" s="2" t="inlineStr">
        <is>
          <t>L1&amp;L4 Performance Evaluation &amp; Functional Evaluation</t>
        </is>
      </c>
      <c r="G52" s="2" t="inlineStr">
        <is>
          <t>77-82</t>
        </is>
      </c>
      <c r="H52" s="2" t="inlineStr">
        <is>
          <t>6 个样品</t>
        </is>
      </c>
      <c r="I52" s="3" t="n">
        <v>2400</v>
      </c>
      <c r="J52" s="3" t="n">
        <v>2400</v>
      </c>
      <c r="K52" s="3" t="n">
        <v>0</v>
      </c>
      <c r="L52" s="2" t="inlineStr">
        <is>
          <t>OK</t>
        </is>
      </c>
      <c r="M52" s="2" t="inlineStr">
        <is>
          <t>6个 × 400/个 = 2,400</t>
        </is>
      </c>
    </row>
    <row r="53" ht="18" customHeight="1" s="4">
      <c r="A53" s="2" t="inlineStr">
        <is>
          <t>SGS</t>
        </is>
      </c>
      <c r="B53" s="2" t="n">
        <v>80</v>
      </c>
      <c r="C53" s="2" t="inlineStr">
        <is>
          <t>DV</t>
        </is>
      </c>
      <c r="D53" s="2" t="inlineStr">
        <is>
          <t>Group D Parallel Tests / D-9</t>
        </is>
      </c>
      <c r="E53" s="2" t="inlineStr">
        <is>
          <t>K52.351</t>
        </is>
      </c>
      <c r="F53" s="2" t="inlineStr">
        <is>
          <t>K52.351 Condensing humidity</t>
        </is>
      </c>
      <c r="G53" s="2" t="inlineStr">
        <is>
          <t>77-82</t>
        </is>
      </c>
      <c r="H53" s="2" t="inlineStr">
        <is>
          <t>120 h</t>
        </is>
      </c>
      <c r="I53" s="3" t="n">
        <v>6600</v>
      </c>
      <c r="J53" s="3" t="n">
        <v>6600</v>
      </c>
      <c r="K53" s="3" t="n">
        <v>0</v>
      </c>
      <c r="L53" s="2" t="inlineStr">
        <is>
          <t>OK</t>
        </is>
      </c>
      <c r="M53" s="2" t="inlineStr">
        <is>
          <t>120h × 55/h = 6,600</t>
        </is>
      </c>
    </row>
    <row r="54" ht="36" customHeight="1" s="4">
      <c r="A54" s="2" t="inlineStr">
        <is>
          <t>SGS</t>
        </is>
      </c>
      <c r="B54" s="2" t="n">
        <v>81</v>
      </c>
      <c r="C54" s="2" t="inlineStr">
        <is>
          <t>DV</t>
        </is>
      </c>
      <c r="D54" s="2" t="inlineStr">
        <is>
          <t>Group D Parallel Tests / D-9</t>
        </is>
      </c>
      <c r="E54" s="2" t="inlineStr">
        <is>
          <t>L1&amp;L4</t>
        </is>
      </c>
      <c r="F54" s="2" t="inlineStr">
        <is>
          <t>L1&amp;L4 Performance Evaluation &amp; Functional Evaluation</t>
        </is>
      </c>
      <c r="G54" s="2" t="inlineStr">
        <is>
          <t>77-82</t>
        </is>
      </c>
      <c r="H54" s="2" t="inlineStr">
        <is>
          <t>6 个样品</t>
        </is>
      </c>
      <c r="I54" s="3" t="n">
        <v>2400</v>
      </c>
      <c r="J54" s="3" t="n">
        <v>2400</v>
      </c>
      <c r="K54" s="3" t="n">
        <v>0</v>
      </c>
      <c r="L54" s="2" t="inlineStr">
        <is>
          <t>OK</t>
        </is>
      </c>
      <c r="M54" s="2" t="inlineStr">
        <is>
          <t>6个 × 400/个 = 2,400</t>
        </is>
      </c>
    </row>
    <row r="55" ht="36" customHeight="1" s="4">
      <c r="A55" s="2" t="inlineStr">
        <is>
          <t>SGS</t>
        </is>
      </c>
      <c r="B55" s="2" t="n">
        <v>87</v>
      </c>
      <c r="C55" s="2" t="inlineStr">
        <is>
          <t>PV</t>
        </is>
      </c>
      <c r="D55" s="2" t="inlineStr">
        <is>
          <t>Group A Sequence Tests</t>
        </is>
      </c>
      <c r="E55" s="2" t="inlineStr">
        <is>
          <t>L1&amp;L4</t>
        </is>
      </c>
      <c r="F55" s="2" t="inlineStr">
        <is>
          <t>L1&amp;L4 Performance Evaluation &amp; Functional Evaluation</t>
        </is>
      </c>
      <c r="G55" s="2" t="inlineStr">
        <is>
          <t>1-14</t>
        </is>
      </c>
      <c r="H55" s="2" t="inlineStr">
        <is>
          <t>14 个样品</t>
        </is>
      </c>
      <c r="I55" s="3" t="n">
        <v>5600</v>
      </c>
      <c r="J55" s="3" t="n">
        <v>5600</v>
      </c>
      <c r="K55" s="3" t="n">
        <v>0</v>
      </c>
      <c r="L55" s="2" t="inlineStr">
        <is>
          <t>OK</t>
        </is>
      </c>
      <c r="M55" s="2" t="inlineStr">
        <is>
          <t>14个 × 400/个 = 5,600</t>
        </is>
      </c>
    </row>
    <row r="56" ht="18" customHeight="1" s="4">
      <c r="A56" s="2" t="inlineStr">
        <is>
          <t>SGS</t>
        </is>
      </c>
      <c r="B56" s="2" t="n">
        <v>88</v>
      </c>
      <c r="C56" s="2" t="inlineStr">
        <is>
          <t>PV</t>
        </is>
      </c>
      <c r="D56" s="2" t="inlineStr">
        <is>
          <t>Group A Sequence Tests</t>
        </is>
      </c>
      <c r="E56" s="2" t="inlineStr">
        <is>
          <t>Particle</t>
        </is>
      </c>
      <c r="F56" s="2" t="inlineStr">
        <is>
          <t>Particle Exposure</t>
        </is>
      </c>
      <c r="G56" s="2" t="inlineStr">
        <is>
          <t>1-12</t>
        </is>
      </c>
      <c r="H56" s="2" t="n"/>
      <c r="I56" s="3" t="n">
        <v>13000</v>
      </c>
      <c r="J56" s="3" t="n">
        <v>13000</v>
      </c>
      <c r="K56" s="3" t="n">
        <v>0</v>
      </c>
      <c r="L56" s="2" t="inlineStr">
        <is>
          <t>OK</t>
        </is>
      </c>
      <c r="M56" s="2" t="inlineStr">
        <is>
          <t>2批 × 2,500/批 + 粉尘费 8,000 + 清洁费 0 = 13,000</t>
        </is>
      </c>
    </row>
    <row r="57" ht="18" customHeight="1" s="4">
      <c r="A57" s="2" t="inlineStr">
        <is>
          <t>SGS</t>
        </is>
      </c>
      <c r="B57" s="2" t="n">
        <v>89</v>
      </c>
      <c r="C57" s="2" t="inlineStr">
        <is>
          <t>PV</t>
        </is>
      </c>
      <c r="D57" s="2" t="inlineStr">
        <is>
          <t>Group A Sequence Tests</t>
        </is>
      </c>
      <c r="E57" s="2" t="inlineStr">
        <is>
          <t>K1</t>
        </is>
      </c>
      <c r="F57" s="2" t="inlineStr">
        <is>
          <t>K1 Low Temperature Exposure</t>
        </is>
      </c>
      <c r="G57" s="2" t="inlineStr">
        <is>
          <t>1-12</t>
        </is>
      </c>
      <c r="H57" s="2" t="inlineStr">
        <is>
          <t>24 h</t>
        </is>
      </c>
      <c r="I57" s="3" t="n">
        <v>720</v>
      </c>
      <c r="J57" s="3" t="n">
        <v>720</v>
      </c>
      <c r="K57" s="3" t="n">
        <v>0</v>
      </c>
      <c r="L57" s="2" t="inlineStr">
        <is>
          <t>OK</t>
        </is>
      </c>
      <c r="M57" s="2" t="inlineStr">
        <is>
          <t>24h × 30/h = 720（大环境箱单价）</t>
        </is>
      </c>
    </row>
    <row r="58" ht="18" customHeight="1" s="4">
      <c r="A58" s="2" t="inlineStr">
        <is>
          <t>SGS</t>
        </is>
      </c>
      <c r="B58" s="2" t="n">
        <v>90</v>
      </c>
      <c r="C58" s="2" t="inlineStr">
        <is>
          <t>PV</t>
        </is>
      </c>
      <c r="D58" s="2" t="inlineStr">
        <is>
          <t>Group A Sequence Tests</t>
        </is>
      </c>
      <c r="E58" s="2" t="inlineStr">
        <is>
          <t>K2</t>
        </is>
      </c>
      <c r="F58" s="2" t="inlineStr">
        <is>
          <t>K2 High Temperature Exposure</t>
        </is>
      </c>
      <c r="G58" s="2" t="inlineStr">
        <is>
          <t>1-12</t>
        </is>
      </c>
      <c r="H58" s="2" t="inlineStr">
        <is>
          <t>24 h</t>
        </is>
      </c>
      <c r="I58" s="3" t="n">
        <v>720</v>
      </c>
      <c r="J58" s="3" t="n">
        <v>720</v>
      </c>
      <c r="K58" s="3" t="n">
        <v>0</v>
      </c>
      <c r="L58" s="2" t="inlineStr">
        <is>
          <t>OK</t>
        </is>
      </c>
      <c r="M58" s="2" t="inlineStr">
        <is>
          <t>24h × 30/h = 720（大环境箱单价）</t>
        </is>
      </c>
    </row>
    <row r="59" ht="18" customHeight="1" s="4">
      <c r="A59" s="2" t="inlineStr">
        <is>
          <t>SGS</t>
        </is>
      </c>
      <c r="B59" s="2" t="n">
        <v>91</v>
      </c>
      <c r="C59" s="2" t="inlineStr">
        <is>
          <t>PV</t>
        </is>
      </c>
      <c r="D59" s="2" t="inlineStr">
        <is>
          <t>Group A Sequence Tests</t>
        </is>
      </c>
      <c r="E59" s="2" t="inlineStr">
        <is>
          <t>K3</t>
        </is>
      </c>
      <c r="F59" s="2" t="inlineStr">
        <is>
          <t>K3 Low Temperature Operation</t>
        </is>
      </c>
      <c r="G59" s="2" t="inlineStr">
        <is>
          <t>1-12</t>
        </is>
      </c>
      <c r="H59" s="2" t="inlineStr">
        <is>
          <t>24 h</t>
        </is>
      </c>
      <c r="I59" s="3" t="n">
        <v>720</v>
      </c>
      <c r="J59" s="3" t="n">
        <v>720</v>
      </c>
      <c r="K59" s="3" t="n">
        <v>0</v>
      </c>
      <c r="L59" s="2" t="inlineStr">
        <is>
          <t>OK</t>
        </is>
      </c>
      <c r="M59" s="2" t="inlineStr">
        <is>
          <t>24h × 30/h = 720（大环境箱单价）</t>
        </is>
      </c>
    </row>
    <row r="60" ht="18" customHeight="1" s="4">
      <c r="A60" s="2" t="inlineStr">
        <is>
          <t>SGS</t>
        </is>
      </c>
      <c r="B60" s="2" t="n">
        <v>92</v>
      </c>
      <c r="C60" s="2" t="inlineStr">
        <is>
          <t>PV</t>
        </is>
      </c>
      <c r="D60" s="2" t="inlineStr">
        <is>
          <t>Group A Sequence Tests</t>
        </is>
      </c>
      <c r="E60" s="2" t="inlineStr">
        <is>
          <t>K4</t>
        </is>
      </c>
      <c r="F60" s="2" t="inlineStr">
        <is>
          <t>K4 High Temperature Operation</t>
        </is>
      </c>
      <c r="G60" s="2" t="inlineStr">
        <is>
          <t>1-12</t>
        </is>
      </c>
      <c r="H60" s="2" t="inlineStr">
        <is>
          <t>96 h</t>
        </is>
      </c>
      <c r="I60" s="3" t="n">
        <v>2880</v>
      </c>
      <c r="J60" s="3" t="n">
        <v>2880</v>
      </c>
      <c r="K60" s="3" t="n">
        <v>0</v>
      </c>
      <c r="L60" s="2" t="inlineStr">
        <is>
          <t>OK</t>
        </is>
      </c>
      <c r="M60" s="2" t="inlineStr">
        <is>
          <t>96h × 30/h = 2,880（大环境箱单价）</t>
        </is>
      </c>
    </row>
    <row r="61" ht="18" customHeight="1" s="4">
      <c r="A61" s="2" t="inlineStr">
        <is>
          <t>SGS</t>
        </is>
      </c>
      <c r="B61" s="2" t="n">
        <v>93</v>
      </c>
      <c r="C61" s="2" t="inlineStr">
        <is>
          <t>PV</t>
        </is>
      </c>
      <c r="D61" s="2" t="inlineStr">
        <is>
          <t>Group A Sequence Tests</t>
        </is>
      </c>
      <c r="E61" s="2" t="inlineStr">
        <is>
          <t>K5</t>
        </is>
      </c>
      <c r="F61" s="2" t="inlineStr">
        <is>
          <t>K5 Temperature Step Test</t>
        </is>
      </c>
      <c r="G61" s="2" t="inlineStr">
        <is>
          <t>1-12</t>
        </is>
      </c>
      <c r="H61" s="2" t="inlineStr">
        <is>
          <t>1 批</t>
        </is>
      </c>
      <c r="I61" s="3" t="n">
        <v>3360</v>
      </c>
      <c r="J61" s="3" t="n">
        <v>3360</v>
      </c>
      <c r="K61" s="3" t="n">
        <v>0</v>
      </c>
      <c r="L61" s="2" t="inlineStr">
        <is>
          <t>OK</t>
        </is>
      </c>
      <c r="M61" s="2" t="inlineStr">
        <is>
          <t>1批 × 3,360/批 = 3,360</t>
        </is>
      </c>
    </row>
    <row r="62" ht="18" customHeight="1" s="4">
      <c r="A62" s="2" t="inlineStr">
        <is>
          <t>SGS</t>
        </is>
      </c>
      <c r="B62" s="2" t="n">
        <v>94</v>
      </c>
      <c r="C62" s="2" t="inlineStr">
        <is>
          <t>PV</t>
        </is>
      </c>
      <c r="D62" s="2" t="inlineStr">
        <is>
          <t>Group A Sequence Tests</t>
        </is>
      </c>
      <c r="E62" s="2" t="inlineStr">
        <is>
          <t>K6</t>
        </is>
      </c>
      <c r="F62" s="2" t="inlineStr">
        <is>
          <t>K6 Power Thermal Cycle</t>
        </is>
      </c>
      <c r="G62" s="2" t="inlineStr">
        <is>
          <t>1-12</t>
        </is>
      </c>
      <c r="H62" s="2" t="inlineStr">
        <is>
          <t>240 h</t>
        </is>
      </c>
      <c r="I62" s="3" t="n">
        <v>7200</v>
      </c>
      <c r="J62" s="3" t="n">
        <v>7200</v>
      </c>
      <c r="K62" s="3" t="n">
        <v>0</v>
      </c>
      <c r="L62" s="2" t="inlineStr">
        <is>
          <t>OK</t>
        </is>
      </c>
      <c r="M62" s="2" t="inlineStr">
        <is>
          <t>240h × 30/h = 7,200（大环境箱单价）</t>
        </is>
      </c>
    </row>
    <row r="63" ht="18" customHeight="1" s="4">
      <c r="A63" s="2" t="inlineStr">
        <is>
          <t>SGS</t>
        </is>
      </c>
      <c r="B63" s="2" t="n">
        <v>95</v>
      </c>
      <c r="C63" s="2" t="inlineStr">
        <is>
          <t>PV</t>
        </is>
      </c>
      <c r="D63" s="2" t="inlineStr">
        <is>
          <t>Group A Sequence Tests</t>
        </is>
      </c>
      <c r="E63" s="2" t="inlineStr">
        <is>
          <t>K7</t>
        </is>
      </c>
      <c r="F63" s="2" t="inlineStr">
        <is>
          <t>K7 Thermal Shock in Air</t>
        </is>
      </c>
      <c r="G63" s="2" t="inlineStr">
        <is>
          <t>1-12</t>
        </is>
      </c>
      <c r="H63" s="2" t="inlineStr">
        <is>
          <t>105 h</t>
        </is>
      </c>
      <c r="I63" s="3" t="n">
        <v>10500</v>
      </c>
      <c r="J63" s="3" t="n">
        <v>10500</v>
      </c>
      <c r="K63" s="3" t="n">
        <v>0</v>
      </c>
      <c r="L63" s="2" t="inlineStr">
        <is>
          <t>OK</t>
        </is>
      </c>
      <c r="M63" s="2" t="inlineStr">
        <is>
          <t>105h × 100/h = 10,500</t>
        </is>
      </c>
    </row>
    <row r="64" ht="18" customHeight="1" s="4">
      <c r="A64" s="2" t="inlineStr">
        <is>
          <t>SGS</t>
        </is>
      </c>
      <c r="B64" s="2" t="n">
        <v>96</v>
      </c>
      <c r="C64" s="2" t="inlineStr">
        <is>
          <t>PV</t>
        </is>
      </c>
      <c r="D64" s="2" t="inlineStr">
        <is>
          <t>Group A Sequence Tests</t>
        </is>
      </c>
      <c r="E64" s="2" t="inlineStr">
        <is>
          <t>K15</t>
        </is>
      </c>
      <c r="F64" s="2" t="inlineStr">
        <is>
          <t>K15 Vibration</t>
        </is>
      </c>
      <c r="G64" s="2" t="inlineStr">
        <is>
          <t>1-12</t>
        </is>
      </c>
      <c r="H64" s="2" t="inlineStr">
        <is>
          <t>48 h</t>
        </is>
      </c>
      <c r="I64" s="3" t="n">
        <v>24000</v>
      </c>
      <c r="J64" s="3" t="n">
        <v>24000</v>
      </c>
      <c r="K64" s="3" t="n">
        <v>0</v>
      </c>
      <c r="L64" s="2" t="inlineStr">
        <is>
          <t>OK</t>
        </is>
      </c>
      <c r="M64" s="2" t="inlineStr">
        <is>
          <t>48h × 500/h = 24,000</t>
        </is>
      </c>
    </row>
    <row r="65" ht="36" customHeight="1" s="4">
      <c r="A65" s="2" t="inlineStr">
        <is>
          <t>SGS</t>
        </is>
      </c>
      <c r="B65" s="2" t="n">
        <v>97</v>
      </c>
      <c r="C65" s="2" t="inlineStr">
        <is>
          <t>PV</t>
        </is>
      </c>
      <c r="D65" s="2" t="inlineStr">
        <is>
          <t>Group A Sequence Tests</t>
        </is>
      </c>
      <c r="E65" s="2" t="inlineStr">
        <is>
          <t>K16.1</t>
        </is>
      </c>
      <c r="F65" s="2" t="inlineStr">
        <is>
          <t>K16.1 Mechanical Shock Package Drop</t>
        </is>
      </c>
      <c r="G65" s="2" t="inlineStr">
        <is>
          <t>1-14</t>
        </is>
      </c>
      <c r="H65" s="2" t="inlineStr">
        <is>
          <t>14 个样品</t>
        </is>
      </c>
      <c r="I65" s="3" t="n">
        <v>4200</v>
      </c>
      <c r="J65" s="3" t="n">
        <v>4200</v>
      </c>
      <c r="K65" s="3" t="n">
        <v>0</v>
      </c>
      <c r="L65" s="2" t="inlineStr">
        <is>
          <t>OK</t>
        </is>
      </c>
      <c r="M65" s="2" t="inlineStr">
        <is>
          <t>14个 × 300/个 = 4,200</t>
        </is>
      </c>
    </row>
    <row r="66" ht="18" customHeight="1" s="4">
      <c r="A66" s="2" t="inlineStr">
        <is>
          <t>SGS</t>
        </is>
      </c>
      <c r="B66" s="2" t="n">
        <v>98</v>
      </c>
      <c r="C66" s="2" t="inlineStr">
        <is>
          <t>PV</t>
        </is>
      </c>
      <c r="D66" s="2" t="inlineStr">
        <is>
          <t>Group A Sequence Tests</t>
        </is>
      </c>
      <c r="E66" s="2" t="inlineStr">
        <is>
          <t>K16.4</t>
        </is>
      </c>
      <c r="F66" s="2" t="inlineStr">
        <is>
          <t>K16.4 Mechanical Shock Low</t>
        </is>
      </c>
      <c r="G66" s="2" t="inlineStr">
        <is>
          <t>1-12</t>
        </is>
      </c>
      <c r="H66" s="2" t="inlineStr">
        <is>
          <t>12 个样品</t>
        </is>
      </c>
      <c r="I66" s="3" t="n">
        <v>3996</v>
      </c>
      <c r="J66" s="3" t="n">
        <v>3996</v>
      </c>
      <c r="K66" s="3" t="n">
        <v>0</v>
      </c>
      <c r="L66" s="2" t="inlineStr">
        <is>
          <t>OK</t>
        </is>
      </c>
      <c r="M66" s="2" t="inlineStr">
        <is>
          <t>12个 × 333/个 = 3,996</t>
        </is>
      </c>
    </row>
    <row r="67" ht="18" customHeight="1" s="4">
      <c r="A67" s="2" t="inlineStr">
        <is>
          <t>SGS</t>
        </is>
      </c>
      <c r="B67" s="2" t="n">
        <v>99</v>
      </c>
      <c r="C67" s="2" t="inlineStr">
        <is>
          <t>PV</t>
        </is>
      </c>
      <c r="D67" s="2" t="inlineStr">
        <is>
          <t>Group A Sequence Tests</t>
        </is>
      </c>
      <c r="E67" s="2" t="inlineStr">
        <is>
          <t>K17</t>
        </is>
      </c>
      <c r="F67" s="2" t="inlineStr">
        <is>
          <t>K17 Audible Noise</t>
        </is>
      </c>
      <c r="G67" s="2" t="inlineStr">
        <is>
          <t>1-12</t>
        </is>
      </c>
      <c r="H67" s="2" t="inlineStr">
        <is>
          <t>12 个样品</t>
        </is>
      </c>
      <c r="I67" s="3" t="n">
        <v>144000</v>
      </c>
      <c r="J67" s="3" t="n">
        <v>144000</v>
      </c>
      <c r="K67" s="3" t="n">
        <v>0</v>
      </c>
      <c r="L67" s="2" t="inlineStr">
        <is>
          <t>OK</t>
        </is>
      </c>
      <c r="M67" s="2" t="inlineStr">
        <is>
          <t>12个 × 12,000/个 = 144,000</t>
        </is>
      </c>
    </row>
    <row r="68" ht="18" customHeight="1" s="4">
      <c r="A68" s="2" t="inlineStr">
        <is>
          <t>SGS</t>
        </is>
      </c>
      <c r="B68" s="2" t="n">
        <v>100</v>
      </c>
      <c r="C68" s="2" t="inlineStr">
        <is>
          <t>PV</t>
        </is>
      </c>
      <c r="D68" s="2" t="inlineStr">
        <is>
          <t>Group A Sequence Tests</t>
        </is>
      </c>
      <c r="E68" s="2" t="inlineStr">
        <is>
          <t>K9</t>
        </is>
      </c>
      <c r="F68" s="2" t="inlineStr">
        <is>
          <t>K9 Temperature/Humidity Cycle</t>
        </is>
      </c>
      <c r="G68" s="2" t="inlineStr">
        <is>
          <t>1-12</t>
        </is>
      </c>
      <c r="H68" s="2" t="inlineStr">
        <is>
          <t>264 h</t>
        </is>
      </c>
      <c r="I68" s="3" t="n">
        <v>7920</v>
      </c>
      <c r="J68" s="3" t="n">
        <v>7920</v>
      </c>
      <c r="K68" s="3" t="n">
        <v>0</v>
      </c>
      <c r="L68" s="2" t="inlineStr">
        <is>
          <t>OK</t>
        </is>
      </c>
      <c r="M68" s="2" t="inlineStr">
        <is>
          <t>264h × 30/h = 7,920（大环境箱单价）</t>
        </is>
      </c>
    </row>
    <row r="69" ht="18" customHeight="1" s="4">
      <c r="A69" s="2" t="inlineStr">
        <is>
          <t>SGS</t>
        </is>
      </c>
      <c r="B69" s="2" t="n">
        <v>101</v>
      </c>
      <c r="C69" s="2" t="inlineStr">
        <is>
          <t>PV</t>
        </is>
      </c>
      <c r="D69" s="2" t="inlineStr">
        <is>
          <t>Group A Sequence Tests</t>
        </is>
      </c>
      <c r="E69" s="2" t="inlineStr">
        <is>
          <t>K10</t>
        </is>
      </c>
      <c r="F69" s="2" t="inlineStr">
        <is>
          <t>K10 Water/Fluid Ingress Test</t>
        </is>
      </c>
      <c r="G69" s="2" t="inlineStr">
        <is>
          <t>1-12</t>
        </is>
      </c>
      <c r="H69" s="2" t="inlineStr">
        <is>
          <t>12 个样品</t>
        </is>
      </c>
      <c r="I69" s="3" t="n">
        <v>6000</v>
      </c>
      <c r="J69" s="3" t="n">
        <v>6000</v>
      </c>
      <c r="K69" s="3" t="n">
        <v>0</v>
      </c>
      <c r="L69" s="2" t="inlineStr">
        <is>
          <t>OK</t>
        </is>
      </c>
      <c r="M69" s="2" t="inlineStr">
        <is>
          <t>12个 × 500/个 = 6,000</t>
        </is>
      </c>
    </row>
    <row r="70" ht="18" customHeight="1" s="4">
      <c r="A70" s="2" t="inlineStr">
        <is>
          <t>SGS</t>
        </is>
      </c>
      <c r="B70" s="2" t="n">
        <v>102</v>
      </c>
      <c r="C70" s="2" t="inlineStr">
        <is>
          <t>PV</t>
        </is>
      </c>
      <c r="D70" s="2" t="inlineStr">
        <is>
          <t>Group A Sequence Tests</t>
        </is>
      </c>
      <c r="E70" s="2" t="inlineStr">
        <is>
          <t>K13</t>
        </is>
      </c>
      <c r="F70" s="2" t="inlineStr">
        <is>
          <t>K13 Dust Ingress</t>
        </is>
      </c>
      <c r="G70" s="2" t="inlineStr">
        <is>
          <t>1-12</t>
        </is>
      </c>
      <c r="H70" s="2" t="inlineStr">
        <is>
          <t>4 批</t>
        </is>
      </c>
      <c r="I70" s="3" t="n">
        <v>6000</v>
      </c>
      <c r="J70" s="3" t="n">
        <v>6000</v>
      </c>
      <c r="K70" s="3" t="n">
        <v>0</v>
      </c>
      <c r="L70" s="2" t="inlineStr">
        <is>
          <t>OK</t>
        </is>
      </c>
      <c r="M70" s="2" t="inlineStr">
        <is>
          <t>4批 × 1,500/批 = 6,000</t>
        </is>
      </c>
    </row>
    <row r="71" ht="36" customHeight="1" s="4">
      <c r="A71" s="2" t="inlineStr">
        <is>
          <t>SGS</t>
        </is>
      </c>
      <c r="B71" s="2" t="n">
        <v>103</v>
      </c>
      <c r="C71" s="2" t="inlineStr">
        <is>
          <t>PV</t>
        </is>
      </c>
      <c r="D71" s="2" t="inlineStr">
        <is>
          <t>Group A Sequence Tests</t>
        </is>
      </c>
      <c r="E71" s="2" t="inlineStr">
        <is>
          <t>L1&amp;L4</t>
        </is>
      </c>
      <c r="F71" s="2" t="inlineStr">
        <is>
          <t>L1&amp;L4 Performance Evaluation &amp; Functional Evaluation</t>
        </is>
      </c>
      <c r="G71" s="2" t="inlineStr">
        <is>
          <t>1-14</t>
        </is>
      </c>
      <c r="H71" s="2" t="inlineStr">
        <is>
          <t>14 个样品</t>
        </is>
      </c>
      <c r="I71" s="3" t="n">
        <v>5600</v>
      </c>
      <c r="J71" s="3" t="n">
        <v>5600</v>
      </c>
      <c r="K71" s="3" t="n">
        <v>0</v>
      </c>
      <c r="L71" s="2" t="inlineStr">
        <is>
          <t>OK</t>
        </is>
      </c>
      <c r="M71" s="2" t="inlineStr">
        <is>
          <t>14个 × 400/个 = 5,600</t>
        </is>
      </c>
    </row>
    <row r="72" ht="36" customHeight="1" s="4">
      <c r="A72" s="2" t="inlineStr">
        <is>
          <t>SGS</t>
        </is>
      </c>
      <c r="B72" s="2" t="n">
        <v>106</v>
      </c>
      <c r="C72" s="2" t="inlineStr">
        <is>
          <t>PV</t>
        </is>
      </c>
      <c r="D72" s="2" t="inlineStr">
        <is>
          <t>Group B Sequence Tests</t>
        </is>
      </c>
      <c r="E72" s="2" t="inlineStr">
        <is>
          <t>L1&amp;L4</t>
        </is>
      </c>
      <c r="F72" s="2" t="inlineStr">
        <is>
          <t>L1&amp;L4 Performance Evaluation &amp; Functional Evaluation</t>
        </is>
      </c>
      <c r="G72" s="2" t="inlineStr">
        <is>
          <t>15-26</t>
        </is>
      </c>
      <c r="H72" s="2" t="inlineStr">
        <is>
          <t>12 个样品</t>
        </is>
      </c>
      <c r="I72" s="3" t="n">
        <v>4800</v>
      </c>
      <c r="J72" s="3" t="n">
        <v>4800</v>
      </c>
      <c r="K72" s="3" t="n">
        <v>0</v>
      </c>
      <c r="L72" s="2" t="inlineStr">
        <is>
          <t>OK</t>
        </is>
      </c>
      <c r="M72" s="2" t="inlineStr">
        <is>
          <t>12个 × 400/个 = 4,800</t>
        </is>
      </c>
    </row>
    <row r="73" ht="18" customHeight="1" s="4">
      <c r="A73" s="2" t="inlineStr">
        <is>
          <t>SGS</t>
        </is>
      </c>
      <c r="B73" s="2" t="n">
        <v>107</v>
      </c>
      <c r="C73" s="2" t="inlineStr">
        <is>
          <t>PV</t>
        </is>
      </c>
      <c r="D73" s="2" t="inlineStr">
        <is>
          <t>Group B Sequence Tests</t>
        </is>
      </c>
      <c r="E73" s="2" t="inlineStr">
        <is>
          <t>K22</t>
        </is>
      </c>
      <c r="F73" s="2" t="inlineStr">
        <is>
          <t>K22 Chemical Resistance</t>
        </is>
      </c>
      <c r="G73" s="2" t="inlineStr">
        <is>
          <t>15-26</t>
        </is>
      </c>
      <c r="H73" s="2" t="inlineStr">
        <is>
          <t>72 h</t>
        </is>
      </c>
      <c r="I73" s="3" t="n">
        <v>11190</v>
      </c>
      <c r="J73" s="3" t="n">
        <v>11190</v>
      </c>
      <c r="K73" s="3" t="n">
        <v>0</v>
      </c>
      <c r="L73" s="2" t="inlineStr">
        <is>
          <t>OK</t>
        </is>
      </c>
      <c r="M73" s="2" t="inlineStr">
        <is>
          <t>SGS: 15 种试剂 × 650 + 72 h × 20 = 11190；</t>
        </is>
      </c>
    </row>
    <row r="74" ht="36" customHeight="1" s="4">
      <c r="A74" s="2" t="inlineStr">
        <is>
          <t>SGS</t>
        </is>
      </c>
      <c r="B74" s="2" t="n">
        <v>108</v>
      </c>
      <c r="C74" s="2" t="inlineStr">
        <is>
          <t>PV</t>
        </is>
      </c>
      <c r="D74" s="2" t="inlineStr">
        <is>
          <t>Group B Sequence Tests</t>
        </is>
      </c>
      <c r="E74" s="2" t="inlineStr">
        <is>
          <t>K18</t>
        </is>
      </c>
      <c r="F74" s="2" t="inlineStr">
        <is>
          <t>K18 Connector and lead/lock strength</t>
        </is>
      </c>
      <c r="G74" s="2" t="inlineStr">
        <is>
          <t>15-26</t>
        </is>
      </c>
      <c r="H74" s="2" t="inlineStr">
        <is>
          <t>12 个样品</t>
        </is>
      </c>
      <c r="I74" s="3" t="n">
        <v>19000</v>
      </c>
      <c r="J74" s="3" t="n">
        <v>19000</v>
      </c>
      <c r="K74" s="3" t="n">
        <v>0</v>
      </c>
      <c r="L74" s="2" t="inlineStr">
        <is>
          <t>OK</t>
        </is>
      </c>
      <c r="M74" s="2" t="inlineStr">
        <is>
          <t>SGS: 四项单价 325；微应力 3400 = 19000；</t>
        </is>
      </c>
    </row>
    <row r="75" ht="36" customHeight="1" s="4">
      <c r="A75" s="2" t="inlineStr">
        <is>
          <t>SGS</t>
        </is>
      </c>
      <c r="B75" s="2" t="n">
        <v>109</v>
      </c>
      <c r="C75" s="2" t="inlineStr">
        <is>
          <t>PV</t>
        </is>
      </c>
      <c r="D75" s="2" t="inlineStr">
        <is>
          <t>Group B Sequence Tests</t>
        </is>
      </c>
      <c r="E75" s="2" t="inlineStr">
        <is>
          <t>L1&amp;L4</t>
        </is>
      </c>
      <c r="F75" s="2" t="inlineStr">
        <is>
          <t>L1&amp;L4 Performance Evaluation &amp; Functional Evaluation</t>
        </is>
      </c>
      <c r="G75" s="2" t="inlineStr">
        <is>
          <t>15-26</t>
        </is>
      </c>
      <c r="H75" s="2" t="inlineStr">
        <is>
          <t>12 个样品</t>
        </is>
      </c>
      <c r="I75" s="3" t="n">
        <v>4800</v>
      </c>
      <c r="J75" s="3" t="n">
        <v>4800</v>
      </c>
      <c r="K75" s="3" t="n">
        <v>0</v>
      </c>
      <c r="L75" s="2" t="inlineStr">
        <is>
          <t>OK</t>
        </is>
      </c>
      <c r="M75" s="2" t="inlineStr">
        <is>
          <t>12个 × 400/个 = 4,800</t>
        </is>
      </c>
    </row>
    <row r="76" ht="36" customHeight="1" s="4">
      <c r="A76" s="2" t="inlineStr">
        <is>
          <t>SGS</t>
        </is>
      </c>
      <c r="B76" s="2" t="n">
        <v>112</v>
      </c>
      <c r="C76" s="2" t="inlineStr">
        <is>
          <t>PV</t>
        </is>
      </c>
      <c r="D76" s="2" t="inlineStr">
        <is>
          <t>Group C Sequence Tests</t>
        </is>
      </c>
      <c r="E76" s="2" t="inlineStr">
        <is>
          <t>L1&amp;L4</t>
        </is>
      </c>
      <c r="F76" s="2" t="inlineStr">
        <is>
          <t>L1&amp;L4 Performance Evaluation &amp; Functional Evaluation</t>
        </is>
      </c>
      <c r="G76" s="2" t="inlineStr">
        <is>
          <t>27-32</t>
        </is>
      </c>
      <c r="H76" s="2" t="inlineStr">
        <is>
          <t>6 个样品</t>
        </is>
      </c>
      <c r="I76" s="3" t="n">
        <v>2400</v>
      </c>
      <c r="J76" s="3" t="n">
        <v>2400</v>
      </c>
      <c r="K76" s="3" t="n">
        <v>0</v>
      </c>
      <c r="L76" s="2" t="inlineStr">
        <is>
          <t>OK</t>
        </is>
      </c>
      <c r="M76" s="2" t="inlineStr">
        <is>
          <t>6个 × 400/个 = 2,400</t>
        </is>
      </c>
    </row>
    <row r="77" ht="18" customHeight="1" s="4">
      <c r="A77" s="2" t="inlineStr">
        <is>
          <t>SGS</t>
        </is>
      </c>
      <c r="B77" s="2" t="n">
        <v>113</v>
      </c>
      <c r="C77" s="2" t="inlineStr">
        <is>
          <t>PV</t>
        </is>
      </c>
      <c r="D77" s="2" t="inlineStr">
        <is>
          <t>Group C Sequence Tests</t>
        </is>
      </c>
      <c r="E77" s="2" t="inlineStr">
        <is>
          <t>K7</t>
        </is>
      </c>
      <c r="F77" s="2" t="inlineStr">
        <is>
          <t>K7 Thermal Shock in Air</t>
        </is>
      </c>
      <c r="G77" s="2" t="inlineStr">
        <is>
          <t>27-32</t>
        </is>
      </c>
      <c r="H77" s="2" t="inlineStr">
        <is>
          <t>105 h</t>
        </is>
      </c>
      <c r="I77" s="3" t="n">
        <v>10500</v>
      </c>
      <c r="J77" s="3" t="n">
        <v>10500</v>
      </c>
      <c r="K77" s="3" t="n">
        <v>0</v>
      </c>
      <c r="L77" s="2" t="inlineStr">
        <is>
          <t>OK</t>
        </is>
      </c>
      <c r="M77" s="2" t="inlineStr">
        <is>
          <t>105h × 100/h = 10,500</t>
        </is>
      </c>
    </row>
    <row r="78" ht="36" customHeight="1" s="4">
      <c r="A78" s="2" t="inlineStr">
        <is>
          <t>SGS</t>
        </is>
      </c>
      <c r="B78" s="2" t="n">
        <v>114</v>
      </c>
      <c r="C78" s="2" t="inlineStr">
        <is>
          <t>PV</t>
        </is>
      </c>
      <c r="D78" s="2" t="inlineStr">
        <is>
          <t>Group C Sequence Tests</t>
        </is>
      </c>
      <c r="E78" s="2" t="inlineStr">
        <is>
          <t>Particle</t>
        </is>
      </c>
      <c r="F78" s="2" t="inlineStr">
        <is>
          <t>Particle Exposure</t>
        </is>
      </c>
      <c r="G78" s="2" t="inlineStr">
        <is>
          <t>27-32</t>
        </is>
      </c>
      <c r="H78" s="2" t="n"/>
      <c r="I78" s="3" t="n">
        <v>2500</v>
      </c>
      <c r="J78" s="3" t="n">
        <v>2500</v>
      </c>
      <c r="K78" s="3" t="n">
        <v>0</v>
      </c>
      <c r="L78" s="2" t="inlineStr">
        <is>
          <t>OK</t>
        </is>
      </c>
      <c r="M78" s="2" t="inlineStr">
        <is>
          <t>A组已计入粉尘费/清洁费，当前仅计批次费：1批 × 2,500/批 = 2,500</t>
        </is>
      </c>
    </row>
    <row r="79" ht="18" customHeight="1" s="4">
      <c r="A79" s="2" t="inlineStr">
        <is>
          <t>SGS</t>
        </is>
      </c>
      <c r="B79" s="2" t="n">
        <v>115</v>
      </c>
      <c r="C79" s="2" t="inlineStr">
        <is>
          <t>PV</t>
        </is>
      </c>
      <c r="D79" s="2" t="inlineStr">
        <is>
          <t>Group C Sequence Tests</t>
        </is>
      </c>
      <c r="E79" s="2" t="inlineStr">
        <is>
          <t>K15</t>
        </is>
      </c>
      <c r="F79" s="2" t="inlineStr">
        <is>
          <t>K15 Vibartion</t>
        </is>
      </c>
      <c r="G79" s="2" t="inlineStr">
        <is>
          <t>27-32</t>
        </is>
      </c>
      <c r="H79" s="2" t="inlineStr">
        <is>
          <t>24 h</t>
        </is>
      </c>
      <c r="I79" s="3" t="n">
        <v>12000</v>
      </c>
      <c r="J79" s="3" t="n">
        <v>12000</v>
      </c>
      <c r="K79" s="3" t="n">
        <v>0</v>
      </c>
      <c r="L79" s="2" t="inlineStr">
        <is>
          <t>OK</t>
        </is>
      </c>
      <c r="M79" s="2" t="inlineStr">
        <is>
          <t>24h × 500/h = 12,000</t>
        </is>
      </c>
    </row>
    <row r="80" ht="18" customHeight="1" s="4">
      <c r="A80" s="2" t="inlineStr">
        <is>
          <t>SGS</t>
        </is>
      </c>
      <c r="B80" s="2" t="n">
        <v>116</v>
      </c>
      <c r="C80" s="2" t="inlineStr">
        <is>
          <t>PV</t>
        </is>
      </c>
      <c r="D80" s="2" t="inlineStr">
        <is>
          <t>Group C Sequence Tests</t>
        </is>
      </c>
      <c r="E80" s="2" t="inlineStr">
        <is>
          <t>K13</t>
        </is>
      </c>
      <c r="F80" s="2" t="inlineStr">
        <is>
          <t>K13 Dust Ingress</t>
        </is>
      </c>
      <c r="G80" s="2" t="inlineStr">
        <is>
          <t>27-32</t>
        </is>
      </c>
      <c r="H80" s="2" t="inlineStr">
        <is>
          <t>2 批</t>
        </is>
      </c>
      <c r="I80" s="3" t="n">
        <v>3000</v>
      </c>
      <c r="J80" s="3" t="n">
        <v>3000</v>
      </c>
      <c r="K80" s="3" t="n">
        <v>0</v>
      </c>
      <c r="L80" s="2" t="inlineStr">
        <is>
          <t>OK</t>
        </is>
      </c>
      <c r="M80" s="2" t="inlineStr">
        <is>
          <t>2批 × 1,500/批 = 3,000</t>
        </is>
      </c>
    </row>
    <row r="81" ht="18" customHeight="1" s="4">
      <c r="A81" s="2" t="inlineStr">
        <is>
          <t>SGS</t>
        </is>
      </c>
      <c r="B81" s="2" t="n">
        <v>117</v>
      </c>
      <c r="C81" s="2" t="inlineStr">
        <is>
          <t>PV</t>
        </is>
      </c>
      <c r="D81" s="2" t="inlineStr">
        <is>
          <t>Group C Sequence Tests</t>
        </is>
      </c>
      <c r="E81" s="2" t="inlineStr">
        <is>
          <t>K26</t>
        </is>
      </c>
      <c r="F81" s="2" t="inlineStr">
        <is>
          <t>K26 Mechanical Wear-Out</t>
        </is>
      </c>
      <c r="G81" s="2" t="inlineStr">
        <is>
          <t>27-32</t>
        </is>
      </c>
      <c r="H81" s="2" t="inlineStr">
        <is>
          <t>500 h</t>
        </is>
      </c>
      <c r="I81" s="3" t="n">
        <v>7158</v>
      </c>
      <c r="J81" s="3" t="n">
        <v>7158</v>
      </c>
      <c r="K81" s="3" t="n">
        <v>0</v>
      </c>
      <c r="L81" s="2" t="inlineStr">
        <is>
          <t>OK</t>
        </is>
      </c>
      <c r="M81" s="2" t="inlineStr">
        <is>
          <t>SGS: 334 h × 10 + 83 h × 23 + 83 h × 23 = 7158；</t>
        </is>
      </c>
    </row>
    <row r="82" ht="36" customHeight="1" s="4">
      <c r="A82" s="2" t="inlineStr">
        <is>
          <t>SGS</t>
        </is>
      </c>
      <c r="B82" s="2" t="n">
        <v>118</v>
      </c>
      <c r="C82" s="2" t="inlineStr">
        <is>
          <t>PV</t>
        </is>
      </c>
      <c r="D82" s="2" t="inlineStr">
        <is>
          <t>Group C Sequence Tests</t>
        </is>
      </c>
      <c r="E82" s="2" t="inlineStr">
        <is>
          <t>L1&amp;L4</t>
        </is>
      </c>
      <c r="F82" s="2" t="inlineStr">
        <is>
          <t>L1&amp;L4 Performance Evaluation &amp; Functional Evaluation</t>
        </is>
      </c>
      <c r="G82" s="2" t="inlineStr">
        <is>
          <t>27-32</t>
        </is>
      </c>
      <c r="H82" s="2" t="inlineStr">
        <is>
          <t>6 个样品</t>
        </is>
      </c>
      <c r="I82" s="3" t="n">
        <v>2400</v>
      </c>
      <c r="J82" s="3" t="n">
        <v>2400</v>
      </c>
      <c r="K82" s="3" t="n">
        <v>0</v>
      </c>
      <c r="L82" s="2" t="inlineStr">
        <is>
          <t>OK</t>
        </is>
      </c>
      <c r="M82" s="2" t="inlineStr">
        <is>
          <t>6个 × 400/个 = 2,400</t>
        </is>
      </c>
    </row>
    <row r="83" ht="36" customHeight="1" s="4">
      <c r="A83" s="2" t="inlineStr">
        <is>
          <t>SGS</t>
        </is>
      </c>
      <c r="B83" s="2" t="n">
        <v>121</v>
      </c>
      <c r="C83" s="2" t="inlineStr">
        <is>
          <t>PV</t>
        </is>
      </c>
      <c r="D83" s="2" t="inlineStr">
        <is>
          <t>Group D Parallel Tests / D-1 Corrosive Gases</t>
        </is>
      </c>
      <c r="E83" s="2" t="inlineStr">
        <is>
          <t>L1&amp;L4</t>
        </is>
      </c>
      <c r="F83" s="2" t="inlineStr">
        <is>
          <t>L1&amp;L4 Performance Evaluation &amp; Functional Evaluation</t>
        </is>
      </c>
      <c r="G83" s="2" t="inlineStr">
        <is>
          <t>33-38</t>
        </is>
      </c>
      <c r="H83" s="2" t="inlineStr">
        <is>
          <t>6 个样品</t>
        </is>
      </c>
      <c r="I83" s="3" t="n">
        <v>2400</v>
      </c>
      <c r="J83" s="3" t="n">
        <v>2400</v>
      </c>
      <c r="K83" s="3" t="n">
        <v>0</v>
      </c>
      <c r="L83" s="2" t="inlineStr">
        <is>
          <t>OK</t>
        </is>
      </c>
      <c r="M83" s="2" t="inlineStr">
        <is>
          <t>6个 × 400/个 = 2,400</t>
        </is>
      </c>
    </row>
    <row r="84" ht="36" customHeight="1" s="4">
      <c r="A84" s="2" t="inlineStr">
        <is>
          <t>SGS</t>
        </is>
      </c>
      <c r="B84" s="2" t="n">
        <v>122</v>
      </c>
      <c r="C84" s="2" t="inlineStr">
        <is>
          <t>PV</t>
        </is>
      </c>
      <c r="D84" s="2" t="inlineStr">
        <is>
          <t>Group D Parallel Tests / D-1 Corrosive Gases</t>
        </is>
      </c>
      <c r="E84" s="2" t="inlineStr">
        <is>
          <t>K21</t>
        </is>
      </c>
      <c r="F84" s="2" t="inlineStr">
        <is>
          <t>K21 Corrosive Gases</t>
        </is>
      </c>
      <c r="G84" s="2" t="inlineStr">
        <is>
          <t>33-38</t>
        </is>
      </c>
      <c r="H84" s="2" t="inlineStr">
        <is>
          <t>336 h</t>
        </is>
      </c>
      <c r="I84" s="3" t="n">
        <v>36960</v>
      </c>
      <c r="J84" s="3" t="n">
        <v>36960</v>
      </c>
      <c r="K84" s="3" t="n">
        <v>0</v>
      </c>
      <c r="L84" s="2" t="inlineStr">
        <is>
          <t>OK</t>
        </is>
      </c>
      <c r="M84" s="2" t="inlineStr">
        <is>
          <t>336h × 110/h = 36,960</t>
        </is>
      </c>
    </row>
    <row r="85" ht="36" customHeight="1" s="4">
      <c r="A85" s="2" t="inlineStr">
        <is>
          <t>SGS</t>
        </is>
      </c>
      <c r="B85" s="2" t="n">
        <v>123</v>
      </c>
      <c r="C85" s="2" t="inlineStr">
        <is>
          <t>PV</t>
        </is>
      </c>
      <c r="D85" s="2" t="inlineStr">
        <is>
          <t>Group D Parallel Tests / D-1 Corrosive Gases</t>
        </is>
      </c>
      <c r="E85" s="2" t="inlineStr">
        <is>
          <t>L1&amp;L4</t>
        </is>
      </c>
      <c r="F85" s="2" t="inlineStr">
        <is>
          <t>L1&amp;L4 Performance Evaluation &amp; Functional Evaluation</t>
        </is>
      </c>
      <c r="G85" s="2" t="inlineStr">
        <is>
          <t>33-38</t>
        </is>
      </c>
      <c r="H85" s="2" t="inlineStr">
        <is>
          <t>6 个样品</t>
        </is>
      </c>
      <c r="I85" s="3" t="n">
        <v>2400</v>
      </c>
      <c r="J85" s="3" t="n">
        <v>2400</v>
      </c>
      <c r="K85" s="3" t="n">
        <v>0</v>
      </c>
      <c r="L85" s="2" t="inlineStr">
        <is>
          <t>OK</t>
        </is>
      </c>
      <c r="M85" s="2" t="inlineStr">
        <is>
          <t>6个 × 400/个 = 2,400</t>
        </is>
      </c>
    </row>
    <row r="86" ht="36" customHeight="1" s="4">
      <c r="A86" s="2" t="inlineStr">
        <is>
          <t>SGS</t>
        </is>
      </c>
      <c r="B86" s="2" t="n">
        <v>126</v>
      </c>
      <c r="C86" s="2" t="inlineStr">
        <is>
          <t>PV</t>
        </is>
      </c>
      <c r="D86" s="2" t="inlineStr">
        <is>
          <t>Group D Parallel Tests / D-2 Solar Radiation</t>
        </is>
      </c>
      <c r="E86" s="2" t="inlineStr">
        <is>
          <t>L1&amp;L4</t>
        </is>
      </c>
      <c r="F86" s="2" t="inlineStr">
        <is>
          <t>L1&amp;L4 Performance Evaluation &amp; Functional Evaluation</t>
        </is>
      </c>
      <c r="G86" s="2" t="inlineStr">
        <is>
          <t>39-44</t>
        </is>
      </c>
      <c r="H86" s="2" t="inlineStr">
        <is>
          <t>6 个样品</t>
        </is>
      </c>
      <c r="I86" s="3" t="n">
        <v>2400</v>
      </c>
      <c r="J86" s="3" t="n">
        <v>2400</v>
      </c>
      <c r="K86" s="3" t="n">
        <v>0</v>
      </c>
      <c r="L86" s="2" t="inlineStr">
        <is>
          <t>OK</t>
        </is>
      </c>
      <c r="M86" s="2" t="inlineStr">
        <is>
          <t>6个 × 400/个 = 2,400</t>
        </is>
      </c>
    </row>
    <row r="87" ht="36" customHeight="1" s="4">
      <c r="A87" s="2" t="inlineStr">
        <is>
          <t>SGS</t>
        </is>
      </c>
      <c r="B87" s="2" t="n">
        <v>127</v>
      </c>
      <c r="C87" s="2" t="inlineStr">
        <is>
          <t>PV</t>
        </is>
      </c>
      <c r="D87" s="2" t="inlineStr">
        <is>
          <t>Group D Parallel Tests / D-2 Solar Radiation</t>
        </is>
      </c>
      <c r="E87" s="2" t="inlineStr">
        <is>
          <t>K20</t>
        </is>
      </c>
      <c r="F87" s="2" t="inlineStr">
        <is>
          <t>K20 Solar Radiation</t>
        </is>
      </c>
      <c r="G87" s="2" t="inlineStr">
        <is>
          <t>39-44</t>
        </is>
      </c>
      <c r="H87" s="2" t="inlineStr">
        <is>
          <t>720 h</t>
        </is>
      </c>
      <c r="I87" s="3" t="n">
        <v>104400</v>
      </c>
      <c r="J87" s="3" t="n">
        <v>104400</v>
      </c>
      <c r="K87" s="3" t="n">
        <v>0</v>
      </c>
      <c r="L87" s="2" t="inlineStr">
        <is>
          <t>OK</t>
        </is>
      </c>
      <c r="M87" s="2" t="inlineStr">
        <is>
          <t>720h × 145/h = 104,400</t>
        </is>
      </c>
    </row>
    <row r="88" ht="36" customHeight="1" s="4">
      <c r="A88" s="2" t="inlineStr">
        <is>
          <t>SGS</t>
        </is>
      </c>
      <c r="B88" s="2" t="n">
        <v>128</v>
      </c>
      <c r="C88" s="2" t="inlineStr">
        <is>
          <t>PV</t>
        </is>
      </c>
      <c r="D88" s="2" t="inlineStr">
        <is>
          <t>Group D Parallel Tests / D-2 Solar Radiation</t>
        </is>
      </c>
      <c r="E88" s="2" t="inlineStr">
        <is>
          <t>L1&amp;L4</t>
        </is>
      </c>
      <c r="F88" s="2" t="inlineStr">
        <is>
          <t>L1&amp;L4 Performance Evaluation &amp; Functional Evaluation</t>
        </is>
      </c>
      <c r="G88" s="2" t="inlineStr">
        <is>
          <t>39-44</t>
        </is>
      </c>
      <c r="H88" s="2" t="inlineStr">
        <is>
          <t>6 个样品</t>
        </is>
      </c>
      <c r="I88" s="3" t="n">
        <v>2400</v>
      </c>
      <c r="J88" s="3" t="n">
        <v>2400</v>
      </c>
      <c r="K88" s="3" t="n">
        <v>0</v>
      </c>
      <c r="L88" s="2" t="inlineStr">
        <is>
          <t>OK</t>
        </is>
      </c>
      <c r="M88" s="2" t="inlineStr">
        <is>
          <t>6个 × 400/个 = 2,400</t>
        </is>
      </c>
    </row>
    <row r="89" ht="36" customHeight="1" s="4">
      <c r="A89" s="2" t="inlineStr">
        <is>
          <t>SGS</t>
        </is>
      </c>
      <c r="B89" s="2" t="n">
        <v>131</v>
      </c>
      <c r="C89" s="2" t="inlineStr">
        <is>
          <t>PV</t>
        </is>
      </c>
      <c r="D89" s="2" t="inlineStr">
        <is>
          <t>Group D Parallel Tests / D-3 PCBA</t>
        </is>
      </c>
      <c r="E89" s="2" t="inlineStr">
        <is>
          <t>L1&amp;L4</t>
        </is>
      </c>
      <c r="F89" s="2" t="inlineStr">
        <is>
          <t>L1&amp;L4 Performance Evaluation &amp; Functional Evaluation</t>
        </is>
      </c>
      <c r="G89" s="2" t="inlineStr">
        <is>
          <t>45-52</t>
        </is>
      </c>
      <c r="H89" s="2" t="inlineStr">
        <is>
          <t>6 个样品</t>
        </is>
      </c>
      <c r="I89" s="3" t="n">
        <v>2400</v>
      </c>
      <c r="J89" s="3" t="n">
        <v>2400</v>
      </c>
      <c r="K89" s="3" t="n">
        <v>0</v>
      </c>
      <c r="L89" s="2" t="inlineStr">
        <is>
          <t>OK</t>
        </is>
      </c>
      <c r="M89" s="2" t="inlineStr">
        <is>
          <t>6个 × 400/个 = 2,400</t>
        </is>
      </c>
    </row>
    <row r="90" ht="18" customHeight="1" s="4">
      <c r="A90" s="2" t="inlineStr">
        <is>
          <t>SGS</t>
        </is>
      </c>
      <c r="B90" s="2" t="n">
        <v>132</v>
      </c>
      <c r="C90" s="2" t="inlineStr">
        <is>
          <t>PV</t>
        </is>
      </c>
      <c r="D90" s="2" t="inlineStr">
        <is>
          <t>Group D Parallel Tests / D-3 PCBA</t>
        </is>
      </c>
      <c r="E90" s="2" t="inlineStr">
        <is>
          <t>K23</t>
        </is>
      </c>
      <c r="F90" s="2" t="inlineStr">
        <is>
          <t>K23 Thermal Shock Endurance</t>
        </is>
      </c>
      <c r="G90" s="2" t="inlineStr">
        <is>
          <t>45-52</t>
        </is>
      </c>
      <c r="H90" s="2" t="inlineStr">
        <is>
          <t>1017 h</t>
        </is>
      </c>
      <c r="I90" s="3" t="n">
        <v>40680</v>
      </c>
      <c r="J90" s="3" t="n">
        <v>40680</v>
      </c>
      <c r="K90" s="3" t="n">
        <v>0</v>
      </c>
      <c r="L90" s="2" t="inlineStr">
        <is>
          <t>OK</t>
        </is>
      </c>
      <c r="M90" s="2" t="inlineStr">
        <is>
          <t>1,017h × 40/h = 40,680</t>
        </is>
      </c>
    </row>
    <row r="91" ht="36" customHeight="1" s="4">
      <c r="A91" s="2" t="inlineStr">
        <is>
          <t>SGS</t>
        </is>
      </c>
      <c r="B91" s="2" t="n">
        <v>133</v>
      </c>
      <c r="C91" s="2" t="inlineStr">
        <is>
          <t>PV</t>
        </is>
      </c>
      <c r="D91" s="2" t="inlineStr">
        <is>
          <t>Group D Parallel Tests / D-3 PCBA</t>
        </is>
      </c>
      <c r="E91" s="2" t="inlineStr">
        <is>
          <t>L1&amp;L4</t>
        </is>
      </c>
      <c r="F91" s="2" t="inlineStr">
        <is>
          <t>L1&amp;L4 Performance Evaluation &amp; Functional Evaluation</t>
        </is>
      </c>
      <c r="G91" s="2" t="inlineStr">
        <is>
          <t>45-52</t>
        </is>
      </c>
      <c r="H91" s="2" t="inlineStr">
        <is>
          <t>6 个样品</t>
        </is>
      </c>
      <c r="I91" s="3" t="n">
        <v>2400</v>
      </c>
      <c r="J91" s="3" t="n">
        <v>2400</v>
      </c>
      <c r="K91" s="3" t="n">
        <v>0</v>
      </c>
      <c r="L91" s="2" t="inlineStr">
        <is>
          <t>OK</t>
        </is>
      </c>
      <c r="M91" s="2" t="inlineStr">
        <is>
          <t>6个 × 400/个 = 2,400</t>
        </is>
      </c>
    </row>
    <row r="92" ht="53" customHeight="1" s="4">
      <c r="A92" s="2" t="inlineStr">
        <is>
          <t>SGS</t>
        </is>
      </c>
      <c r="B92" s="2" t="n">
        <v>134</v>
      </c>
      <c r="C92" s="2" t="inlineStr">
        <is>
          <t>PV</t>
        </is>
      </c>
      <c r="D92" s="2" t="inlineStr">
        <is>
          <t>Group D Parallel Tests / D-3 PCBA</t>
        </is>
      </c>
      <c r="E92" s="2" t="inlineStr">
        <is>
          <t>L6-SEM&amp;SECTION</t>
        </is>
      </c>
      <c r="F92" s="2" t="inlineStr">
        <is>
          <t>L6-SEM&amp;SECTION</t>
        </is>
      </c>
      <c r="G92" s="2" t="inlineStr">
        <is>
          <t>45-52</t>
        </is>
      </c>
      <c r="H92" s="2" t="inlineStr">
        <is>
          <t>33 个样品</t>
        </is>
      </c>
      <c r="I92" s="3" t="n">
        <v>21450</v>
      </c>
      <c r="J92" s="3" t="n">
        <v>21450</v>
      </c>
      <c r="K92" s="3" t="n">
        <v>0</v>
      </c>
      <c r="L92" s="2" t="inlineStr">
        <is>
          <t>OK</t>
        </is>
      </c>
      <c r="M92" s="2" t="inlineStr">
        <is>
          <t>33个 × 650/个 = 21,450</t>
        </is>
      </c>
    </row>
    <row r="93" ht="36" customHeight="1" s="4">
      <c r="A93" s="2" t="inlineStr">
        <is>
          <t>SGS</t>
        </is>
      </c>
      <c r="B93" s="2" t="n">
        <v>137</v>
      </c>
      <c r="C93" s="2" t="inlineStr">
        <is>
          <t>PV</t>
        </is>
      </c>
      <c r="D93" s="2" t="inlineStr">
        <is>
          <t>Group D Parallel Tests / D-4 Dewing Test</t>
        </is>
      </c>
      <c r="E93" s="2" t="inlineStr">
        <is>
          <t>L1&amp;L4</t>
        </is>
      </c>
      <c r="F93" s="2" t="inlineStr">
        <is>
          <t>L1&amp;L4 Performance Evaluation &amp; Functional Evaluation</t>
        </is>
      </c>
      <c r="G93" s="2" t="inlineStr">
        <is>
          <t>53-58</t>
        </is>
      </c>
      <c r="H93" s="2" t="inlineStr">
        <is>
          <t>6 个样品</t>
        </is>
      </c>
      <c r="I93" s="3" t="n">
        <v>2400</v>
      </c>
      <c r="J93" s="3" t="n">
        <v>2400</v>
      </c>
      <c r="K93" s="3" t="n">
        <v>0</v>
      </c>
      <c r="L93" s="2" t="inlineStr">
        <is>
          <t>OK</t>
        </is>
      </c>
      <c r="M93" s="2" t="inlineStr">
        <is>
          <t>6个 × 400/个 = 2,400</t>
        </is>
      </c>
    </row>
    <row r="94" ht="36" customHeight="1" s="4">
      <c r="A94" s="2" t="inlineStr">
        <is>
          <t>SGS</t>
        </is>
      </c>
      <c r="B94" s="2" t="n">
        <v>138</v>
      </c>
      <c r="C94" s="2" t="inlineStr">
        <is>
          <t>PV</t>
        </is>
      </c>
      <c r="D94" s="2" t="inlineStr">
        <is>
          <t>Group D Parallel Tests / D-4 Dewing Test</t>
        </is>
      </c>
      <c r="E94" s="2" t="inlineStr">
        <is>
          <t>K8</t>
        </is>
      </c>
      <c r="F94" s="2" t="inlineStr">
        <is>
          <t>K8 Dewing Test</t>
        </is>
      </c>
      <c r="G94" s="2" t="inlineStr">
        <is>
          <t>53-58</t>
        </is>
      </c>
      <c r="H94" s="2" t="inlineStr">
        <is>
          <t>1 批</t>
        </is>
      </c>
      <c r="I94" s="3" t="n">
        <v>4100</v>
      </c>
      <c r="J94" s="3" t="n">
        <v>4100</v>
      </c>
      <c r="K94" s="3" t="n">
        <v>0</v>
      </c>
      <c r="L94" s="2" t="inlineStr">
        <is>
          <t>OK</t>
        </is>
      </c>
      <c r="M94" s="2" t="inlineStr">
        <is>
          <t>1批 × 4,100/批 = 4,100</t>
        </is>
      </c>
    </row>
    <row r="95" ht="36" customHeight="1" s="4">
      <c r="A95" s="2" t="inlineStr">
        <is>
          <t>SGS</t>
        </is>
      </c>
      <c r="B95" s="2" t="n">
        <v>139</v>
      </c>
      <c r="C95" s="2" t="inlineStr">
        <is>
          <t>PV</t>
        </is>
      </c>
      <c r="D95" s="2" t="inlineStr">
        <is>
          <t>Group D Parallel Tests / D-4 Dewing Test</t>
        </is>
      </c>
      <c r="E95" s="2" t="inlineStr">
        <is>
          <t>L1&amp;L4</t>
        </is>
      </c>
      <c r="F95" s="2" t="inlineStr">
        <is>
          <t>L1&amp;L4 Performance Evaluation &amp; Functional Evaluation</t>
        </is>
      </c>
      <c r="G95" s="2" t="inlineStr">
        <is>
          <t>53-58</t>
        </is>
      </c>
      <c r="H95" s="2" t="inlineStr">
        <is>
          <t>6 个样品</t>
        </is>
      </c>
      <c r="I95" s="3" t="n">
        <v>2400</v>
      </c>
      <c r="J95" s="3" t="n">
        <v>2400</v>
      </c>
      <c r="K95" s="3" t="n">
        <v>0</v>
      </c>
      <c r="L95" s="2" t="inlineStr">
        <is>
          <t>OK</t>
        </is>
      </c>
      <c r="M95" s="2" t="inlineStr">
        <is>
          <t>6个 × 400/个 = 2,400</t>
        </is>
      </c>
    </row>
    <row r="96" ht="36" customHeight="1" s="4">
      <c r="A96" s="2" t="inlineStr">
        <is>
          <t>SGS</t>
        </is>
      </c>
      <c r="B96" s="2" t="n">
        <v>142</v>
      </c>
      <c r="C96" s="2" t="inlineStr">
        <is>
          <t>PV</t>
        </is>
      </c>
      <c r="D96" s="2" t="inlineStr">
        <is>
          <t>Group D Parallel Tests / D-5 Life Test-1</t>
        </is>
      </c>
      <c r="E96" s="2" t="inlineStr">
        <is>
          <t>L1&amp;L4</t>
        </is>
      </c>
      <c r="F96" s="2" t="inlineStr">
        <is>
          <t>L1&amp;L4 Performance Evaluation &amp; Functional Evaluation</t>
        </is>
      </c>
      <c r="G96" s="2" t="inlineStr">
        <is>
          <t>59-64</t>
        </is>
      </c>
      <c r="H96" s="2" t="inlineStr">
        <is>
          <t>6 个样品</t>
        </is>
      </c>
      <c r="I96" s="3" t="n">
        <v>2400</v>
      </c>
      <c r="J96" s="3" t="n">
        <v>2400</v>
      </c>
      <c r="K96" s="3" t="n">
        <v>0</v>
      </c>
      <c r="L96" s="2" t="inlineStr">
        <is>
          <t>OK</t>
        </is>
      </c>
      <c r="M96" s="2" t="inlineStr">
        <is>
          <t>6个 × 400/个 = 2,400</t>
        </is>
      </c>
    </row>
    <row r="97" ht="36" customHeight="1" s="4">
      <c r="A97" s="2" t="inlineStr">
        <is>
          <t>SGS</t>
        </is>
      </c>
      <c r="B97" s="2" t="n">
        <v>143</v>
      </c>
      <c r="C97" s="2" t="inlineStr">
        <is>
          <t>PV</t>
        </is>
      </c>
      <c r="D97" s="2" t="inlineStr">
        <is>
          <t>Group D Parallel Tests / D-5 Life Test-1</t>
        </is>
      </c>
      <c r="E97" s="2" t="inlineStr">
        <is>
          <t>K24</t>
        </is>
      </c>
      <c r="F97" s="2" t="inlineStr">
        <is>
          <t>K24 High Temperature Endurance</t>
        </is>
      </c>
      <c r="G97" s="2" t="inlineStr">
        <is>
          <t>59-64</t>
        </is>
      </c>
      <c r="H97" s="2" t="inlineStr">
        <is>
          <t>1000 h</t>
        </is>
      </c>
      <c r="I97" s="3" t="n">
        <v>23000</v>
      </c>
      <c r="J97" s="3" t="n">
        <v>23000</v>
      </c>
      <c r="K97" s="3" t="n">
        <v>0</v>
      </c>
      <c r="L97" s="2" t="inlineStr">
        <is>
          <t>OK</t>
        </is>
      </c>
      <c r="M97" s="2" t="inlineStr">
        <is>
          <t>1,000h × 23/h = 23,000</t>
        </is>
      </c>
    </row>
    <row r="98" ht="36" customHeight="1" s="4">
      <c r="A98" s="2" t="inlineStr">
        <is>
          <t>SGS</t>
        </is>
      </c>
      <c r="B98" s="2" t="n">
        <v>144</v>
      </c>
      <c r="C98" s="2" t="inlineStr">
        <is>
          <t>PV</t>
        </is>
      </c>
      <c r="D98" s="2" t="inlineStr">
        <is>
          <t>Group D Parallel Tests / D-5 Life Test-1</t>
        </is>
      </c>
      <c r="E98" s="2" t="inlineStr">
        <is>
          <t>L1&amp;L4</t>
        </is>
      </c>
      <c r="F98" s="2" t="inlineStr">
        <is>
          <t>L1&amp;L4 Performance Evaluation &amp; Functional Evaluation</t>
        </is>
      </c>
      <c r="G98" s="2" t="inlineStr">
        <is>
          <t>59-64</t>
        </is>
      </c>
      <c r="H98" s="2" t="inlineStr">
        <is>
          <t>6 个样品</t>
        </is>
      </c>
      <c r="I98" s="3" t="n">
        <v>2400</v>
      </c>
      <c r="J98" s="3" t="n">
        <v>2400</v>
      </c>
      <c r="K98" s="3" t="n">
        <v>0</v>
      </c>
      <c r="L98" s="2" t="inlineStr">
        <is>
          <t>OK</t>
        </is>
      </c>
      <c r="M98" s="2" t="inlineStr">
        <is>
          <t>6个 × 400/个 = 2,400</t>
        </is>
      </c>
    </row>
    <row r="99" ht="36" customHeight="1" s="4">
      <c r="A99" s="2" t="inlineStr">
        <is>
          <t>SGS</t>
        </is>
      </c>
      <c r="B99" s="2" t="n">
        <v>147</v>
      </c>
      <c r="C99" s="2" t="inlineStr">
        <is>
          <t>PV</t>
        </is>
      </c>
      <c r="D99" s="2" t="inlineStr">
        <is>
          <t>Group D Parallel Tests / D-6 Life Test-2-1</t>
        </is>
      </c>
      <c r="E99" s="2" t="inlineStr">
        <is>
          <t>L1&amp;L4</t>
        </is>
      </c>
      <c r="F99" s="2" t="inlineStr">
        <is>
          <t>L1&amp;L4 Performance Evaluation &amp; Functional Evaluation</t>
        </is>
      </c>
      <c r="G99" s="2" t="inlineStr">
        <is>
          <t>65-70</t>
        </is>
      </c>
      <c r="H99" s="2" t="inlineStr">
        <is>
          <t>6 个样品</t>
        </is>
      </c>
      <c r="I99" s="3" t="n">
        <v>2400</v>
      </c>
      <c r="J99" s="3" t="n">
        <v>2400</v>
      </c>
      <c r="K99" s="3" t="n">
        <v>0</v>
      </c>
      <c r="L99" s="2" t="inlineStr">
        <is>
          <t>OK</t>
        </is>
      </c>
      <c r="M99" s="2" t="inlineStr">
        <is>
          <t>6个 × 400/个 = 2,400</t>
        </is>
      </c>
    </row>
    <row r="100" ht="36" customHeight="1" s="4">
      <c r="A100" s="2" t="inlineStr">
        <is>
          <t>SGS</t>
        </is>
      </c>
      <c r="B100" s="2" t="n">
        <v>148</v>
      </c>
      <c r="C100" s="2" t="inlineStr">
        <is>
          <t>PV</t>
        </is>
      </c>
      <c r="D100" s="2" t="inlineStr">
        <is>
          <t>Group D Parallel Tests / D-6 Life Test-2-1</t>
        </is>
      </c>
      <c r="E100" s="2" t="inlineStr">
        <is>
          <t>K27</t>
        </is>
      </c>
      <c r="F100" s="2" t="inlineStr">
        <is>
          <t>K27 85/85 High Temperature -High Humidity Endurance</t>
        </is>
      </c>
      <c r="G100" s="2" t="inlineStr">
        <is>
          <t>65-70</t>
        </is>
      </c>
      <c r="H100" s="2" t="inlineStr">
        <is>
          <t>1000 h</t>
        </is>
      </c>
      <c r="I100" s="3" t="n">
        <v>23000</v>
      </c>
      <c r="J100" s="3" t="n">
        <v>23000</v>
      </c>
      <c r="K100" s="3" t="n">
        <v>0</v>
      </c>
      <c r="L100" s="2" t="inlineStr">
        <is>
          <t>OK</t>
        </is>
      </c>
      <c r="M100" s="2" t="inlineStr">
        <is>
          <t>1,000h × 23/h = 23,000</t>
        </is>
      </c>
    </row>
    <row r="101" ht="36" customHeight="1" s="4">
      <c r="A101" s="2" t="inlineStr">
        <is>
          <t>SGS</t>
        </is>
      </c>
      <c r="B101" s="2" t="n">
        <v>149</v>
      </c>
      <c r="C101" s="2" t="inlineStr">
        <is>
          <t>PV</t>
        </is>
      </c>
      <c r="D101" s="2" t="inlineStr">
        <is>
          <t>Group D Parallel Tests / D-6 Life Test-2-1</t>
        </is>
      </c>
      <c r="E101" s="2" t="inlineStr">
        <is>
          <t>L1&amp;L4</t>
        </is>
      </c>
      <c r="F101" s="2" t="inlineStr">
        <is>
          <t>L1&amp;L4 Performance Evaluation &amp; Functional Evaluation</t>
        </is>
      </c>
      <c r="G101" s="2" t="inlineStr">
        <is>
          <t>65-70</t>
        </is>
      </c>
      <c r="H101" s="2" t="inlineStr">
        <is>
          <t>6 个样品</t>
        </is>
      </c>
      <c r="I101" s="3" t="n">
        <v>2400</v>
      </c>
      <c r="J101" s="3" t="n">
        <v>2400</v>
      </c>
      <c r="K101" s="3" t="n">
        <v>0</v>
      </c>
      <c r="L101" s="2" t="inlineStr">
        <is>
          <t>OK</t>
        </is>
      </c>
      <c r="M101" s="2" t="inlineStr">
        <is>
          <t>6个 × 400/个 = 2,400</t>
        </is>
      </c>
    </row>
    <row r="102" ht="36" customHeight="1" s="4">
      <c r="A102" s="2" t="inlineStr">
        <is>
          <t>SGS</t>
        </is>
      </c>
      <c r="B102" s="2" t="n">
        <v>152</v>
      </c>
      <c r="C102" s="2" t="inlineStr">
        <is>
          <t>PV</t>
        </is>
      </c>
      <c r="D102" s="2" t="inlineStr">
        <is>
          <t>Group D Parallel Tests / D-7 Life Test-2-2</t>
        </is>
      </c>
      <c r="E102" s="2" t="inlineStr">
        <is>
          <t>L1&amp;L4</t>
        </is>
      </c>
      <c r="F102" s="2" t="inlineStr">
        <is>
          <t>L1&amp;L4 Performance Evaluation &amp; Functional Evaluation</t>
        </is>
      </c>
      <c r="G102" s="2" t="inlineStr">
        <is>
          <t>71-76</t>
        </is>
      </c>
      <c r="H102" s="2" t="inlineStr">
        <is>
          <t>6 个样品</t>
        </is>
      </c>
      <c r="I102" s="3" t="n">
        <v>2400</v>
      </c>
      <c r="J102" s="3" t="n">
        <v>2400</v>
      </c>
      <c r="K102" s="3" t="n">
        <v>0</v>
      </c>
      <c r="L102" s="2" t="inlineStr">
        <is>
          <t>OK</t>
        </is>
      </c>
      <c r="M102" s="2" t="inlineStr">
        <is>
          <t>6个 × 400/个 = 2,400</t>
        </is>
      </c>
    </row>
    <row r="103" ht="36" customHeight="1" s="4">
      <c r="A103" s="2" t="inlineStr">
        <is>
          <t>SGS</t>
        </is>
      </c>
      <c r="B103" s="2" t="n">
        <v>153</v>
      </c>
      <c r="C103" s="2" t="inlineStr">
        <is>
          <t>PV</t>
        </is>
      </c>
      <c r="D103" s="2" t="inlineStr">
        <is>
          <t>Group D Parallel Tests / D-7 Life Test-2-2</t>
        </is>
      </c>
      <c r="E103" s="2" t="inlineStr">
        <is>
          <t>K27</t>
        </is>
      </c>
      <c r="F103" s="2" t="inlineStr">
        <is>
          <t>K27 60/95 High Temperature -High Humidity Endurance</t>
        </is>
      </c>
      <c r="G103" s="2" t="inlineStr">
        <is>
          <t>71-76</t>
        </is>
      </c>
      <c r="H103" s="2" t="inlineStr">
        <is>
          <t>1100 h</t>
        </is>
      </c>
      <c r="I103" s="3" t="n">
        <v>25300</v>
      </c>
      <c r="J103" s="3" t="n">
        <v>25300</v>
      </c>
      <c r="K103" s="3" t="n">
        <v>0</v>
      </c>
      <c r="L103" s="2" t="inlineStr">
        <is>
          <t>OK</t>
        </is>
      </c>
      <c r="M103" s="2" t="inlineStr">
        <is>
          <t>1,100h × 23/h = 25,300</t>
        </is>
      </c>
    </row>
    <row r="104" ht="36" customHeight="1" s="4">
      <c r="A104" s="2" t="inlineStr">
        <is>
          <t>SGS</t>
        </is>
      </c>
      <c r="B104" s="2" t="n">
        <v>154</v>
      </c>
      <c r="C104" s="2" t="inlineStr">
        <is>
          <t>PV</t>
        </is>
      </c>
      <c r="D104" s="2" t="inlineStr">
        <is>
          <t>Group D Parallel Tests / D-7 Life Test-2-2</t>
        </is>
      </c>
      <c r="E104" s="2" t="inlineStr">
        <is>
          <t>L1&amp;L4</t>
        </is>
      </c>
      <c r="F104" s="2" t="inlineStr">
        <is>
          <t>L1&amp;L4 Performance Evaluation &amp; Functional Evaluation</t>
        </is>
      </c>
      <c r="G104" s="2" t="inlineStr">
        <is>
          <t>71-76</t>
        </is>
      </c>
      <c r="H104" s="2" t="inlineStr">
        <is>
          <t>6 个样品</t>
        </is>
      </c>
      <c r="I104" s="3" t="n">
        <v>2400</v>
      </c>
      <c r="J104" s="3" t="n">
        <v>2400</v>
      </c>
      <c r="K104" s="3" t="n">
        <v>0</v>
      </c>
      <c r="L104" s="2" t="inlineStr">
        <is>
          <t>OK</t>
        </is>
      </c>
      <c r="M104" s="2" t="inlineStr">
        <is>
          <t>6个 × 400/个 = 2,400</t>
        </is>
      </c>
    </row>
    <row r="105" ht="36" customHeight="1" s="4">
      <c r="A105" s="2" t="inlineStr">
        <is>
          <t>SGS</t>
        </is>
      </c>
      <c r="B105" s="2" t="n">
        <v>157</v>
      </c>
      <c r="C105" s="2" t="inlineStr">
        <is>
          <t>PV</t>
        </is>
      </c>
      <c r="D105" s="2" t="inlineStr">
        <is>
          <t>Group D Parallel Tests / D-8</t>
        </is>
      </c>
      <c r="E105" s="2" t="inlineStr">
        <is>
          <t>L1&amp;L4</t>
        </is>
      </c>
      <c r="F105" s="2" t="inlineStr">
        <is>
          <t>L1&amp;L4 Performance Evaluation &amp; Functional Evaluation</t>
        </is>
      </c>
      <c r="G105" s="2" t="inlineStr">
        <is>
          <t>77-91</t>
        </is>
      </c>
      <c r="H105" s="2" t="inlineStr">
        <is>
          <t>15 个样品</t>
        </is>
      </c>
      <c r="I105" s="3" t="n">
        <v>6000</v>
      </c>
      <c r="J105" s="3" t="n">
        <v>6000</v>
      </c>
      <c r="K105" s="3" t="n">
        <v>0</v>
      </c>
      <c r="L105" s="2" t="inlineStr">
        <is>
          <t>OK</t>
        </is>
      </c>
      <c r="M105" s="2" t="inlineStr">
        <is>
          <t>15个 × 400/个 = 6,000</t>
        </is>
      </c>
    </row>
    <row r="106" ht="18" customHeight="1" s="4">
      <c r="A106" s="2" t="inlineStr">
        <is>
          <t>SGS</t>
        </is>
      </c>
      <c r="B106" s="2" t="n">
        <v>158</v>
      </c>
      <c r="C106" s="2" t="inlineStr">
        <is>
          <t>PV</t>
        </is>
      </c>
      <c r="D106" s="2" t="inlineStr">
        <is>
          <t>Group D Parallel Tests / D-8</t>
        </is>
      </c>
      <c r="E106" s="2" t="inlineStr">
        <is>
          <t>K28</t>
        </is>
      </c>
      <c r="F106" s="2" t="inlineStr">
        <is>
          <t>K28 HALT Cold</t>
        </is>
      </c>
      <c r="G106" s="2" t="inlineStr">
        <is>
          <t>77-91</t>
        </is>
      </c>
      <c r="H106" s="2" t="inlineStr">
        <is>
          <t>8 h</t>
        </is>
      </c>
      <c r="I106" s="3" t="n">
        <v>6400</v>
      </c>
      <c r="J106" s="3" t="n">
        <v>6400</v>
      </c>
      <c r="K106" s="3" t="n">
        <v>0</v>
      </c>
      <c r="L106" s="2" t="inlineStr">
        <is>
          <t>OK</t>
        </is>
      </c>
      <c r="M106" s="2" t="inlineStr">
        <is>
          <t>8h × 800/h = 6,400</t>
        </is>
      </c>
    </row>
    <row r="107" ht="18" customHeight="1" s="4">
      <c r="A107" s="2" t="inlineStr">
        <is>
          <t>SGS</t>
        </is>
      </c>
      <c r="B107" s="2" t="n">
        <v>159</v>
      </c>
      <c r="C107" s="2" t="inlineStr">
        <is>
          <t>PV</t>
        </is>
      </c>
      <c r="D107" s="2" t="inlineStr">
        <is>
          <t>Group D Parallel Tests / D-8</t>
        </is>
      </c>
      <c r="E107" s="2" t="inlineStr">
        <is>
          <t>K28</t>
        </is>
      </c>
      <c r="F107" s="2" t="inlineStr">
        <is>
          <t>K28 HALT Hot</t>
        </is>
      </c>
      <c r="G107" s="2" t="inlineStr">
        <is>
          <t>77-91</t>
        </is>
      </c>
      <c r="H107" s="2" t="inlineStr">
        <is>
          <t>8 h</t>
        </is>
      </c>
      <c r="I107" s="3" t="n">
        <v>6400</v>
      </c>
      <c r="J107" s="3" t="n">
        <v>6400</v>
      </c>
      <c r="K107" s="3" t="n">
        <v>0</v>
      </c>
      <c r="L107" s="2" t="inlineStr">
        <is>
          <t>OK</t>
        </is>
      </c>
      <c r="M107" s="2" t="inlineStr">
        <is>
          <t>8h × 800/h = 6,400</t>
        </is>
      </c>
    </row>
    <row r="108" ht="18" customHeight="1" s="4">
      <c r="A108" s="2" t="inlineStr">
        <is>
          <t>SGS</t>
        </is>
      </c>
      <c r="B108" s="2" t="n">
        <v>160</v>
      </c>
      <c r="C108" s="2" t="inlineStr">
        <is>
          <t>PV</t>
        </is>
      </c>
      <c r="D108" s="2" t="inlineStr">
        <is>
          <t>Group D Parallel Tests / D-8</t>
        </is>
      </c>
      <c r="E108" s="2" t="inlineStr">
        <is>
          <t>K28</t>
        </is>
      </c>
      <c r="F108" s="2" t="inlineStr">
        <is>
          <t>K28 HALT Thermal Shock</t>
        </is>
      </c>
      <c r="G108" s="2" t="inlineStr">
        <is>
          <t>77-91</t>
        </is>
      </c>
      <c r="H108" s="2" t="inlineStr">
        <is>
          <t>8 h</t>
        </is>
      </c>
      <c r="I108" s="3" t="n">
        <v>6400</v>
      </c>
      <c r="J108" s="3" t="n">
        <v>6400</v>
      </c>
      <c r="K108" s="3" t="n">
        <v>0</v>
      </c>
      <c r="L108" s="2" t="inlineStr">
        <is>
          <t>OK</t>
        </is>
      </c>
      <c r="M108" s="2" t="inlineStr">
        <is>
          <t>8h × 800/h = 6,400</t>
        </is>
      </c>
    </row>
    <row r="109" ht="18" customHeight="1" s="4">
      <c r="A109" s="2" t="inlineStr">
        <is>
          <t>SGS</t>
        </is>
      </c>
      <c r="B109" s="2" t="n">
        <v>161</v>
      </c>
      <c r="C109" s="2" t="inlineStr">
        <is>
          <t>PV</t>
        </is>
      </c>
      <c r="D109" s="2" t="inlineStr">
        <is>
          <t>Group D Parallel Tests / D-8</t>
        </is>
      </c>
      <c r="E109" s="2" t="inlineStr">
        <is>
          <t>K28</t>
        </is>
      </c>
      <c r="F109" s="2" t="inlineStr">
        <is>
          <t>K28 HALT Vibration</t>
        </is>
      </c>
      <c r="G109" s="2" t="inlineStr">
        <is>
          <t>77-91</t>
        </is>
      </c>
      <c r="H109" s="2" t="inlineStr">
        <is>
          <t>8 h</t>
        </is>
      </c>
      <c r="I109" s="3" t="n">
        <v>6400</v>
      </c>
      <c r="J109" s="3" t="n">
        <v>6400</v>
      </c>
      <c r="K109" s="3" t="n">
        <v>0</v>
      </c>
      <c r="L109" s="2" t="inlineStr">
        <is>
          <t>OK</t>
        </is>
      </c>
      <c r="M109" s="2" t="inlineStr">
        <is>
          <t>8h × 800/h = 6,400</t>
        </is>
      </c>
    </row>
    <row r="110" ht="18" customHeight="1" s="4">
      <c r="A110" s="2" t="inlineStr">
        <is>
          <t>SGS</t>
        </is>
      </c>
      <c r="B110" s="2" t="n">
        <v>162</v>
      </c>
      <c r="C110" s="2" t="inlineStr">
        <is>
          <t>PV</t>
        </is>
      </c>
      <c r="D110" s="2" t="inlineStr">
        <is>
          <t>Group D Parallel Tests / D-8</t>
        </is>
      </c>
      <c r="E110" s="2" t="inlineStr">
        <is>
          <t>K28</t>
        </is>
      </c>
      <c r="F110" s="2" t="inlineStr">
        <is>
          <t>K28 HALT TST &amp; Vibration</t>
        </is>
      </c>
      <c r="G110" s="2" t="inlineStr">
        <is>
          <t>77-91</t>
        </is>
      </c>
      <c r="H110" s="2" t="inlineStr">
        <is>
          <t>8 h</t>
        </is>
      </c>
      <c r="I110" s="3" t="n">
        <v>6400</v>
      </c>
      <c r="J110" s="3" t="n">
        <v>6400</v>
      </c>
      <c r="K110" s="3" t="n">
        <v>0</v>
      </c>
      <c r="L110" s="2" t="inlineStr">
        <is>
          <t>OK</t>
        </is>
      </c>
      <c r="M110" s="2" t="inlineStr">
        <is>
          <t>8h × 800/h = 6,400</t>
        </is>
      </c>
    </row>
    <row r="111" ht="36" customHeight="1" s="4">
      <c r="A111" s="2" t="inlineStr">
        <is>
          <t>SGS</t>
        </is>
      </c>
      <c r="B111" s="2" t="n">
        <v>163</v>
      </c>
      <c r="C111" s="2" t="inlineStr">
        <is>
          <t>PV</t>
        </is>
      </c>
      <c r="D111" s="2" t="inlineStr">
        <is>
          <t>Group D Parallel Tests / D-8</t>
        </is>
      </c>
      <c r="E111" s="2" t="inlineStr">
        <is>
          <t>L1&amp;L4</t>
        </is>
      </c>
      <c r="F111" s="2" t="inlineStr">
        <is>
          <t>L1&amp;L4 Performance Evaluation &amp; Functional Evaluation</t>
        </is>
      </c>
      <c r="G111" s="2" t="inlineStr">
        <is>
          <t>77-91</t>
        </is>
      </c>
      <c r="H111" s="2" t="inlineStr">
        <is>
          <t>9 个样品</t>
        </is>
      </c>
      <c r="I111" s="3" t="n">
        <v>3600</v>
      </c>
      <c r="J111" s="3" t="n">
        <v>3600</v>
      </c>
      <c r="K111" s="3" t="n">
        <v>0</v>
      </c>
      <c r="L111" s="2" t="inlineStr">
        <is>
          <t>OK</t>
        </is>
      </c>
      <c r="M111" s="2" t="inlineStr">
        <is>
          <t>9个 × 400/个 = 3,600</t>
        </is>
      </c>
    </row>
    <row r="112" ht="36" customHeight="1" s="4">
      <c r="A112" s="2" t="inlineStr">
        <is>
          <t>SGS</t>
        </is>
      </c>
      <c r="B112" s="2" t="n">
        <v>166</v>
      </c>
      <c r="C112" s="2" t="inlineStr">
        <is>
          <t>PV</t>
        </is>
      </c>
      <c r="D112" s="2" t="inlineStr">
        <is>
          <t>Group D Parallel Tests / D-9</t>
        </is>
      </c>
      <c r="E112" s="2" t="inlineStr">
        <is>
          <t>L1&amp;L4</t>
        </is>
      </c>
      <c r="F112" s="2" t="inlineStr">
        <is>
          <t>L1&amp;L4 Performance Evaluation &amp; Functional Evaluation</t>
        </is>
      </c>
      <c r="G112" s="2" t="inlineStr">
        <is>
          <t>92-97</t>
        </is>
      </c>
      <c r="H112" s="2" t="inlineStr">
        <is>
          <t>6 个样品</t>
        </is>
      </c>
      <c r="I112" s="3" t="n">
        <v>2400</v>
      </c>
      <c r="J112" s="3" t="n">
        <v>2400</v>
      </c>
      <c r="K112" s="3" t="n">
        <v>0</v>
      </c>
      <c r="L112" s="2" t="inlineStr">
        <is>
          <t>OK</t>
        </is>
      </c>
      <c r="M112" s="2" t="inlineStr">
        <is>
          <t>6个 × 400/个 = 2,400</t>
        </is>
      </c>
    </row>
    <row r="113" ht="18" customHeight="1" s="4">
      <c r="A113" s="2" t="inlineStr">
        <is>
          <t>SGS</t>
        </is>
      </c>
      <c r="B113" s="2" t="n">
        <v>167</v>
      </c>
      <c r="C113" s="2" t="inlineStr">
        <is>
          <t>PV</t>
        </is>
      </c>
      <c r="D113" s="2" t="inlineStr">
        <is>
          <t>Group D Parallel Tests / D-9</t>
        </is>
      </c>
      <c r="E113" s="2" t="inlineStr">
        <is>
          <t>K52.351</t>
        </is>
      </c>
      <c r="F113" s="2" t="inlineStr">
        <is>
          <t>K52.351 Condensing humidity</t>
        </is>
      </c>
      <c r="G113" s="2" t="inlineStr">
        <is>
          <t>92-97</t>
        </is>
      </c>
      <c r="H113" s="2" t="inlineStr">
        <is>
          <t>120 h</t>
        </is>
      </c>
      <c r="I113" s="3" t="n">
        <v>6600</v>
      </c>
      <c r="J113" s="3" t="n">
        <v>6600</v>
      </c>
      <c r="K113" s="3" t="n">
        <v>0</v>
      </c>
      <c r="L113" s="2" t="inlineStr">
        <is>
          <t>OK</t>
        </is>
      </c>
      <c r="M113" s="2" t="inlineStr">
        <is>
          <t>120h × 55/h = 6,600</t>
        </is>
      </c>
    </row>
    <row r="114" ht="36" customHeight="1" s="4">
      <c r="A114" s="2" t="inlineStr">
        <is>
          <t>SGS</t>
        </is>
      </c>
      <c r="B114" s="2" t="n">
        <v>168</v>
      </c>
      <c r="C114" s="2" t="inlineStr">
        <is>
          <t>PV</t>
        </is>
      </c>
      <c r="D114" s="2" t="inlineStr">
        <is>
          <t>Group D Parallel Tests / D-9</t>
        </is>
      </c>
      <c r="E114" s="2" t="inlineStr">
        <is>
          <t>L1&amp;L4</t>
        </is>
      </c>
      <c r="F114" s="2" t="inlineStr">
        <is>
          <t>L1&amp;L4 Performance Evaluation &amp; Functional Evaluation</t>
        </is>
      </c>
      <c r="G114" s="2" t="inlineStr">
        <is>
          <t>92-97</t>
        </is>
      </c>
      <c r="H114" s="2" t="inlineStr">
        <is>
          <t>6 个样品</t>
        </is>
      </c>
      <c r="I114" s="3" t="n">
        <v>2400</v>
      </c>
      <c r="J114" s="3" t="n">
        <v>2400</v>
      </c>
      <c r="K114" s="3" t="n">
        <v>0</v>
      </c>
      <c r="L114" s="2" t="inlineStr">
        <is>
          <t>OK</t>
        </is>
      </c>
      <c r="M114" s="2" t="inlineStr">
        <is>
          <t>6个 × 400/个 = 2,400</t>
        </is>
      </c>
    </row>
    <row r="115" ht="36" customHeight="1" s="4">
      <c r="A115" s="2" t="inlineStr">
        <is>
          <t>华测</t>
        </is>
      </c>
      <c r="B115" s="2" t="n">
        <v>12</v>
      </c>
      <c r="C115" s="2" t="inlineStr">
        <is>
          <t>DV</t>
        </is>
      </c>
      <c r="D115" s="2" t="inlineStr">
        <is>
          <t>Group A Sequence Tests</t>
        </is>
      </c>
      <c r="E115" s="2" t="inlineStr">
        <is>
          <t>L1&amp;L4</t>
        </is>
      </c>
      <c r="F115" s="2" t="inlineStr">
        <is>
          <t>L1&amp;L4 Performance Evaluation &amp; Functional Evaluation</t>
        </is>
      </c>
      <c r="G115" s="2" t="inlineStr">
        <is>
          <t>1-14</t>
        </is>
      </c>
      <c r="H115" s="2" t="inlineStr">
        <is>
          <t>14 个样品</t>
        </is>
      </c>
      <c r="I115" s="3" t="n">
        <v>9800</v>
      </c>
      <c r="J115" s="3" t="n">
        <v>9800</v>
      </c>
      <c r="K115" s="3" t="n">
        <v>0</v>
      </c>
      <c r="L115" s="2" t="inlineStr">
        <is>
          <t>OK</t>
        </is>
      </c>
      <c r="M115" s="2" t="inlineStr">
        <is>
          <t>14个 × 700/个 = 9,800</t>
        </is>
      </c>
    </row>
    <row r="116" ht="18" customHeight="1" s="4">
      <c r="A116" s="2" t="inlineStr">
        <is>
          <t>华测</t>
        </is>
      </c>
      <c r="B116" s="2" t="n">
        <v>13</v>
      </c>
      <c r="C116" s="2" t="inlineStr">
        <is>
          <t>DV</t>
        </is>
      </c>
      <c r="D116" s="2" t="inlineStr">
        <is>
          <t>Group A Sequence Tests</t>
        </is>
      </c>
      <c r="E116" s="2" t="inlineStr">
        <is>
          <t>Particle</t>
        </is>
      </c>
      <c r="F116" s="2" t="inlineStr">
        <is>
          <t>Particle Exposure</t>
        </is>
      </c>
      <c r="G116" s="2" t="inlineStr">
        <is>
          <t>1-12</t>
        </is>
      </c>
      <c r="H116" s="2" t="n"/>
      <c r="I116" s="3" t="n">
        <v>24000</v>
      </c>
      <c r="J116" s="3" t="n">
        <v>24000</v>
      </c>
      <c r="K116" s="3" t="n">
        <v>0</v>
      </c>
      <c r="L116" s="2" t="inlineStr">
        <is>
          <t>OK</t>
        </is>
      </c>
      <c r="M116" s="2" t="inlineStr">
        <is>
          <t>4批 × 1,500/批 + 粉尘费 6,000 + 清洁费 12,000 = 24,000</t>
        </is>
      </c>
    </row>
    <row r="117" ht="18" customHeight="1" s="4">
      <c r="A117" s="2" t="inlineStr">
        <is>
          <t>华测</t>
        </is>
      </c>
      <c r="B117" s="2" t="n">
        <v>14</v>
      </c>
      <c r="C117" s="2" t="inlineStr">
        <is>
          <t>DV</t>
        </is>
      </c>
      <c r="D117" s="2" t="inlineStr">
        <is>
          <t>Group A Sequence Tests</t>
        </is>
      </c>
      <c r="E117" s="2" t="inlineStr">
        <is>
          <t>K1</t>
        </is>
      </c>
      <c r="F117" s="2" t="inlineStr">
        <is>
          <t>K1 Low Temperature Exposure</t>
        </is>
      </c>
      <c r="G117" s="2" t="inlineStr">
        <is>
          <t>1-12</t>
        </is>
      </c>
      <c r="H117" s="2" t="inlineStr">
        <is>
          <t>24 h</t>
        </is>
      </c>
      <c r="I117" s="3" t="n">
        <v>600</v>
      </c>
      <c r="J117" s="3" t="n">
        <v>600</v>
      </c>
      <c r="K117" s="3" t="n">
        <v>0</v>
      </c>
      <c r="L117" s="2" t="inlineStr">
        <is>
          <t>OK</t>
        </is>
      </c>
      <c r="M117" s="2" t="inlineStr">
        <is>
          <t>24h × 25/h = 600（大环境箱单价）</t>
        </is>
      </c>
    </row>
    <row r="118" ht="18" customHeight="1" s="4">
      <c r="A118" s="2" t="inlineStr">
        <is>
          <t>华测</t>
        </is>
      </c>
      <c r="B118" s="2" t="n">
        <v>15</v>
      </c>
      <c r="C118" s="2" t="inlineStr">
        <is>
          <t>DV</t>
        </is>
      </c>
      <c r="D118" s="2" t="inlineStr">
        <is>
          <t>Group A Sequence Tests</t>
        </is>
      </c>
      <c r="E118" s="2" t="inlineStr">
        <is>
          <t>K2</t>
        </is>
      </c>
      <c r="F118" s="2" t="inlineStr">
        <is>
          <t>K2 High Temperature Exposure</t>
        </is>
      </c>
      <c r="G118" s="2" t="inlineStr">
        <is>
          <t>1-12</t>
        </is>
      </c>
      <c r="H118" s="2" t="inlineStr">
        <is>
          <t>24 h</t>
        </is>
      </c>
      <c r="I118" s="3" t="n">
        <v>600</v>
      </c>
      <c r="J118" s="3" t="n">
        <v>600</v>
      </c>
      <c r="K118" s="3" t="n">
        <v>0</v>
      </c>
      <c r="L118" s="2" t="inlineStr">
        <is>
          <t>OK</t>
        </is>
      </c>
      <c r="M118" s="2" t="inlineStr">
        <is>
          <t>24h × 25/h = 600（大环境箱单价）</t>
        </is>
      </c>
    </row>
    <row r="119" ht="18" customHeight="1" s="4">
      <c r="A119" s="2" t="inlineStr">
        <is>
          <t>华测</t>
        </is>
      </c>
      <c r="B119" s="2" t="n">
        <v>16</v>
      </c>
      <c r="C119" s="2" t="inlineStr">
        <is>
          <t>DV</t>
        </is>
      </c>
      <c r="D119" s="2" t="inlineStr">
        <is>
          <t>Group A Sequence Tests</t>
        </is>
      </c>
      <c r="E119" s="2" t="inlineStr">
        <is>
          <t>K3</t>
        </is>
      </c>
      <c r="F119" s="2" t="inlineStr">
        <is>
          <t>K3 Low Temperature Operation</t>
        </is>
      </c>
      <c r="G119" s="2" t="inlineStr">
        <is>
          <t>1-12</t>
        </is>
      </c>
      <c r="H119" s="2" t="inlineStr">
        <is>
          <t>24 h</t>
        </is>
      </c>
      <c r="I119" s="3" t="n">
        <v>600</v>
      </c>
      <c r="J119" s="3" t="n">
        <v>600</v>
      </c>
      <c r="K119" s="3" t="n">
        <v>0</v>
      </c>
      <c r="L119" s="2" t="inlineStr">
        <is>
          <t>OK</t>
        </is>
      </c>
      <c r="M119" s="2" t="inlineStr">
        <is>
          <t>24h × 25/h = 600（大环境箱单价）</t>
        </is>
      </c>
    </row>
    <row r="120" ht="18" customHeight="1" s="4">
      <c r="A120" s="2" t="inlineStr">
        <is>
          <t>华测</t>
        </is>
      </c>
      <c r="B120" s="2" t="n">
        <v>17</v>
      </c>
      <c r="C120" s="2" t="inlineStr">
        <is>
          <t>DV</t>
        </is>
      </c>
      <c r="D120" s="2" t="inlineStr">
        <is>
          <t>Group A Sequence Tests</t>
        </is>
      </c>
      <c r="E120" s="2" t="inlineStr">
        <is>
          <t>K4</t>
        </is>
      </c>
      <c r="F120" s="2" t="inlineStr">
        <is>
          <t>K4 High Temperature Operation</t>
        </is>
      </c>
      <c r="G120" s="2" t="inlineStr">
        <is>
          <t>1-12</t>
        </is>
      </c>
      <c r="H120" s="2" t="inlineStr">
        <is>
          <t>96 h</t>
        </is>
      </c>
      <c r="I120" s="3" t="n">
        <v>2400</v>
      </c>
      <c r="J120" s="3" t="n">
        <v>2400</v>
      </c>
      <c r="K120" s="3" t="n">
        <v>0</v>
      </c>
      <c r="L120" s="2" t="inlineStr">
        <is>
          <t>OK</t>
        </is>
      </c>
      <c r="M120" s="2" t="inlineStr">
        <is>
          <t>96h × 25/h = 2,400（大环境箱单价）</t>
        </is>
      </c>
    </row>
    <row r="121" ht="18" customHeight="1" s="4">
      <c r="A121" s="2" t="inlineStr">
        <is>
          <t>华测</t>
        </is>
      </c>
      <c r="B121" s="2" t="n">
        <v>18</v>
      </c>
      <c r="C121" s="2" t="inlineStr">
        <is>
          <t>DV</t>
        </is>
      </c>
      <c r="D121" s="2" t="inlineStr">
        <is>
          <t>Group A Sequence Tests</t>
        </is>
      </c>
      <c r="E121" s="2" t="inlineStr">
        <is>
          <t>K5</t>
        </is>
      </c>
      <c r="F121" s="2" t="inlineStr">
        <is>
          <t>K5 Temperature Step Test</t>
        </is>
      </c>
      <c r="G121" s="2" t="inlineStr">
        <is>
          <t>1-12</t>
        </is>
      </c>
      <c r="H121" s="2" t="inlineStr">
        <is>
          <t>1 批</t>
        </is>
      </c>
      <c r="I121" s="3" t="n">
        <v>5000</v>
      </c>
      <c r="J121" s="3" t="n">
        <v>5000</v>
      </c>
      <c r="K121" s="3" t="n">
        <v>0</v>
      </c>
      <c r="L121" s="2" t="inlineStr">
        <is>
          <t>OK</t>
        </is>
      </c>
      <c r="M121" s="2" t="inlineStr">
        <is>
          <t>1批 × 5,000/批 = 5,000</t>
        </is>
      </c>
    </row>
    <row r="122" ht="18" customHeight="1" s="4">
      <c r="A122" s="2" t="inlineStr">
        <is>
          <t>华测</t>
        </is>
      </c>
      <c r="B122" s="2" t="n">
        <v>19</v>
      </c>
      <c r="C122" s="2" t="inlineStr">
        <is>
          <t>DV</t>
        </is>
      </c>
      <c r="D122" s="2" t="inlineStr">
        <is>
          <t>Group A Sequence Tests</t>
        </is>
      </c>
      <c r="E122" s="2" t="inlineStr">
        <is>
          <t>K6</t>
        </is>
      </c>
      <c r="F122" s="2" t="inlineStr">
        <is>
          <t>K6 Power Thermal Cycle</t>
        </is>
      </c>
      <c r="G122" s="2" t="inlineStr">
        <is>
          <t>1-12</t>
        </is>
      </c>
      <c r="H122" s="2" t="inlineStr">
        <is>
          <t>240 h</t>
        </is>
      </c>
      <c r="I122" s="3" t="n">
        <v>6000</v>
      </c>
      <c r="J122" s="3" t="n">
        <v>6000</v>
      </c>
      <c r="K122" s="3" t="n">
        <v>0</v>
      </c>
      <c r="L122" s="2" t="inlineStr">
        <is>
          <t>OK</t>
        </is>
      </c>
      <c r="M122" s="2" t="inlineStr">
        <is>
          <t>240h × 25/h = 6,000（大环境箱单价）</t>
        </is>
      </c>
    </row>
    <row r="123" ht="18" customHeight="1" s="4">
      <c r="A123" s="2" t="inlineStr">
        <is>
          <t>华测</t>
        </is>
      </c>
      <c r="B123" s="2" t="n">
        <v>20</v>
      </c>
      <c r="C123" s="2" t="inlineStr">
        <is>
          <t>DV</t>
        </is>
      </c>
      <c r="D123" s="2" t="inlineStr">
        <is>
          <t>Group A Sequence Tests</t>
        </is>
      </c>
      <c r="E123" s="2" t="inlineStr">
        <is>
          <t>K7</t>
        </is>
      </c>
      <c r="F123" s="2" t="inlineStr">
        <is>
          <t>K7 Thermal Shock in Air</t>
        </is>
      </c>
      <c r="G123" s="2" t="inlineStr">
        <is>
          <t>1-12</t>
        </is>
      </c>
      <c r="H123" s="2" t="inlineStr">
        <is>
          <t>105 h</t>
        </is>
      </c>
      <c r="I123" s="3" t="n">
        <v>7350</v>
      </c>
      <c r="J123" s="3" t="n">
        <v>7350</v>
      </c>
      <c r="K123" s="3" t="n">
        <v>0</v>
      </c>
      <c r="L123" s="2" t="inlineStr">
        <is>
          <t>OK</t>
        </is>
      </c>
      <c r="M123" s="2" t="inlineStr">
        <is>
          <t>105h × 70/h = 7,350</t>
        </is>
      </c>
    </row>
    <row r="124" ht="18" customHeight="1" s="4">
      <c r="A124" s="2" t="inlineStr">
        <is>
          <t>华测</t>
        </is>
      </c>
      <c r="B124" s="2" t="n">
        <v>21</v>
      </c>
      <c r="C124" s="2" t="inlineStr">
        <is>
          <t>DV</t>
        </is>
      </c>
      <c r="D124" s="2" t="inlineStr">
        <is>
          <t>Group A Sequence Tests</t>
        </is>
      </c>
      <c r="E124" s="2" t="inlineStr">
        <is>
          <t>K15</t>
        </is>
      </c>
      <c r="F124" s="2" t="inlineStr">
        <is>
          <t>K15 Vibration</t>
        </is>
      </c>
      <c r="G124" s="2" t="inlineStr">
        <is>
          <t>1-12</t>
        </is>
      </c>
      <c r="H124" s="2" t="inlineStr">
        <is>
          <t>48 h</t>
        </is>
      </c>
      <c r="I124" s="3" t="n">
        <v>19200</v>
      </c>
      <c r="J124" s="3" t="n">
        <v>19200</v>
      </c>
      <c r="K124" s="3" t="n">
        <v>0</v>
      </c>
      <c r="L124" s="2" t="inlineStr">
        <is>
          <t>OK</t>
        </is>
      </c>
      <c r="M124" s="2" t="inlineStr">
        <is>
          <t>48h × 400/h = 19,200</t>
        </is>
      </c>
    </row>
    <row r="125" ht="36" customHeight="1" s="4">
      <c r="A125" s="2" t="inlineStr">
        <is>
          <t>华测</t>
        </is>
      </c>
      <c r="B125" s="2" t="n">
        <v>22</v>
      </c>
      <c r="C125" s="2" t="inlineStr">
        <is>
          <t>DV</t>
        </is>
      </c>
      <c r="D125" s="2" t="inlineStr">
        <is>
          <t>Group A Sequence Tests</t>
        </is>
      </c>
      <c r="E125" s="2" t="inlineStr">
        <is>
          <t>K16.1</t>
        </is>
      </c>
      <c r="F125" s="2" t="inlineStr">
        <is>
          <t>K16.1 Mechanical Shock Package Drop</t>
        </is>
      </c>
      <c r="G125" s="2" t="inlineStr">
        <is>
          <t>1-14</t>
        </is>
      </c>
      <c r="H125" s="2" t="inlineStr">
        <is>
          <t>14 个样品</t>
        </is>
      </c>
      <c r="I125" s="3" t="n">
        <v>1680</v>
      </c>
      <c r="J125" s="3" t="n">
        <v>1680</v>
      </c>
      <c r="K125" s="3" t="n">
        <v>0</v>
      </c>
      <c r="L125" s="2" t="inlineStr">
        <is>
          <t>OK</t>
        </is>
      </c>
      <c r="M125" s="2" t="inlineStr">
        <is>
          <t>14个 × 120/个 = 1,680</t>
        </is>
      </c>
    </row>
    <row r="126" ht="18" customHeight="1" s="4">
      <c r="A126" s="2" t="inlineStr">
        <is>
          <t>华测</t>
        </is>
      </c>
      <c r="B126" s="2" t="n">
        <v>23</v>
      </c>
      <c r="C126" s="2" t="inlineStr">
        <is>
          <t>DV</t>
        </is>
      </c>
      <c r="D126" s="2" t="inlineStr">
        <is>
          <t>Group A Sequence Tests</t>
        </is>
      </c>
      <c r="E126" s="2" t="inlineStr">
        <is>
          <t>K16.4</t>
        </is>
      </c>
      <c r="F126" s="2" t="inlineStr">
        <is>
          <t>K16.4 Mechanical Shock Low</t>
        </is>
      </c>
      <c r="G126" s="2" t="inlineStr">
        <is>
          <t>1-12</t>
        </is>
      </c>
      <c r="H126" s="2" t="inlineStr">
        <is>
          <t>12 个样品</t>
        </is>
      </c>
      <c r="I126" s="3" t="n">
        <v>2004</v>
      </c>
      <c r="J126" s="3" t="n">
        <v>2004</v>
      </c>
      <c r="K126" s="3" t="n">
        <v>0</v>
      </c>
      <c r="L126" s="2" t="inlineStr">
        <is>
          <t>OK</t>
        </is>
      </c>
      <c r="M126" s="2" t="inlineStr">
        <is>
          <t>12个 × 167/个 = 2,004</t>
        </is>
      </c>
    </row>
    <row r="127" ht="18" customHeight="1" s="4">
      <c r="A127" s="2" t="inlineStr">
        <is>
          <t>华测</t>
        </is>
      </c>
      <c r="B127" s="2" t="n">
        <v>24</v>
      </c>
      <c r="C127" s="2" t="inlineStr">
        <is>
          <t>DV</t>
        </is>
      </c>
      <c r="D127" s="2" t="inlineStr">
        <is>
          <t>Group A Sequence Tests</t>
        </is>
      </c>
      <c r="E127" s="2" t="inlineStr">
        <is>
          <t>K17</t>
        </is>
      </c>
      <c r="F127" s="2" t="inlineStr">
        <is>
          <t>K17 Audible Noise</t>
        </is>
      </c>
      <c r="G127" s="2" t="inlineStr">
        <is>
          <t>1-12</t>
        </is>
      </c>
      <c r="H127" s="2" t="inlineStr">
        <is>
          <t>12 个样品</t>
        </is>
      </c>
      <c r="I127" s="3" t="n">
        <v>120000</v>
      </c>
      <c r="J127" s="3" t="n">
        <v>120000</v>
      </c>
      <c r="K127" s="3" t="n">
        <v>0</v>
      </c>
      <c r="L127" s="2" t="inlineStr">
        <is>
          <t>OK</t>
        </is>
      </c>
      <c r="M127" s="2" t="inlineStr">
        <is>
          <t>12个 × 10,000/个 = 120,000</t>
        </is>
      </c>
    </row>
    <row r="128" ht="18" customHeight="1" s="4">
      <c r="A128" s="2" t="inlineStr">
        <is>
          <t>华测</t>
        </is>
      </c>
      <c r="B128" s="2" t="n">
        <v>25</v>
      </c>
      <c r="C128" s="2" t="inlineStr">
        <is>
          <t>DV</t>
        </is>
      </c>
      <c r="D128" s="2" t="inlineStr">
        <is>
          <t>Group A Sequence Tests</t>
        </is>
      </c>
      <c r="E128" s="2" t="inlineStr">
        <is>
          <t>K9</t>
        </is>
      </c>
      <c r="F128" s="2" t="inlineStr">
        <is>
          <t>K9 Temperature/Humidity Cycle</t>
        </is>
      </c>
      <c r="G128" s="2" t="inlineStr">
        <is>
          <t>1-12</t>
        </is>
      </c>
      <c r="H128" s="2" t="inlineStr">
        <is>
          <t>264 h</t>
        </is>
      </c>
      <c r="I128" s="3" t="n">
        <v>6600</v>
      </c>
      <c r="J128" s="3" t="n">
        <v>6600</v>
      </c>
      <c r="K128" s="3" t="n">
        <v>0</v>
      </c>
      <c r="L128" s="2" t="inlineStr">
        <is>
          <t>OK</t>
        </is>
      </c>
      <c r="M128" s="2" t="inlineStr">
        <is>
          <t>264h × 25/h = 6,600（大环境箱单价）</t>
        </is>
      </c>
    </row>
    <row r="129" ht="18" customHeight="1" s="4">
      <c r="A129" s="2" t="inlineStr">
        <is>
          <t>华测</t>
        </is>
      </c>
      <c r="B129" s="2" t="n">
        <v>26</v>
      </c>
      <c r="C129" s="2" t="inlineStr">
        <is>
          <t>DV</t>
        </is>
      </c>
      <c r="D129" s="2" t="inlineStr">
        <is>
          <t>Group A Sequence Tests</t>
        </is>
      </c>
      <c r="E129" s="2" t="inlineStr">
        <is>
          <t>K10</t>
        </is>
      </c>
      <c r="F129" s="2" t="inlineStr">
        <is>
          <t>K10 Water/Fluid Ingress Test</t>
        </is>
      </c>
      <c r="G129" s="2" t="inlineStr">
        <is>
          <t>1-12</t>
        </is>
      </c>
      <c r="H129" s="2" t="inlineStr">
        <is>
          <t>12 个样品</t>
        </is>
      </c>
      <c r="I129" s="3" t="n">
        <v>6000</v>
      </c>
      <c r="J129" s="3" t="n">
        <v>6000</v>
      </c>
      <c r="K129" s="3" t="n">
        <v>0</v>
      </c>
      <c r="L129" s="2" t="inlineStr">
        <is>
          <t>OK</t>
        </is>
      </c>
      <c r="M129" s="2" t="inlineStr">
        <is>
          <t>12个 × 500/个 = 6,000</t>
        </is>
      </c>
    </row>
    <row r="130" ht="18" customHeight="1" s="4">
      <c r="A130" s="2" t="inlineStr">
        <is>
          <t>华测</t>
        </is>
      </c>
      <c r="B130" s="2" t="n">
        <v>27</v>
      </c>
      <c r="C130" s="2" t="inlineStr">
        <is>
          <t>DV</t>
        </is>
      </c>
      <c r="D130" s="2" t="inlineStr">
        <is>
          <t>Group A Sequence Tests</t>
        </is>
      </c>
      <c r="E130" s="2" t="inlineStr">
        <is>
          <t>K13</t>
        </is>
      </c>
      <c r="F130" s="2" t="inlineStr">
        <is>
          <t>K13 Dust Ingress</t>
        </is>
      </c>
      <c r="G130" s="2" t="inlineStr">
        <is>
          <t>1-12</t>
        </is>
      </c>
      <c r="H130" s="2" t="inlineStr">
        <is>
          <t>4 批</t>
        </is>
      </c>
      <c r="I130" s="3" t="n">
        <v>6000</v>
      </c>
      <c r="J130" s="3" t="n">
        <v>6000</v>
      </c>
      <c r="K130" s="3" t="n">
        <v>0</v>
      </c>
      <c r="L130" s="2" t="inlineStr">
        <is>
          <t>OK</t>
        </is>
      </c>
      <c r="M130" s="2" t="inlineStr">
        <is>
          <t>4批 × 1,500/批 = 6,000</t>
        </is>
      </c>
    </row>
    <row r="131" ht="36" customHeight="1" s="4">
      <c r="A131" s="2" t="inlineStr">
        <is>
          <t>华测</t>
        </is>
      </c>
      <c r="B131" s="2" t="n">
        <v>28</v>
      </c>
      <c r="C131" s="2" t="inlineStr">
        <is>
          <t>DV</t>
        </is>
      </c>
      <c r="D131" s="2" t="inlineStr">
        <is>
          <t>Group A Sequence Tests</t>
        </is>
      </c>
      <c r="E131" s="2" t="inlineStr">
        <is>
          <t>L1&amp;L4</t>
        </is>
      </c>
      <c r="F131" s="2" t="inlineStr">
        <is>
          <t>L1&amp;L4 Performance Evaluation &amp; Functional Evaluation</t>
        </is>
      </c>
      <c r="G131" s="2" t="inlineStr">
        <is>
          <t>1-14</t>
        </is>
      </c>
      <c r="H131" s="2" t="inlineStr">
        <is>
          <t>14 个样品</t>
        </is>
      </c>
      <c r="I131" s="3" t="n">
        <v>9800</v>
      </c>
      <c r="J131" s="3" t="n">
        <v>9800</v>
      </c>
      <c r="K131" s="3" t="n">
        <v>0</v>
      </c>
      <c r="L131" s="2" t="inlineStr">
        <is>
          <t>OK</t>
        </is>
      </c>
      <c r="M131" s="2" t="inlineStr">
        <is>
          <t>14个 × 700/个 = 9,800</t>
        </is>
      </c>
    </row>
    <row r="132" ht="36" customHeight="1" s="4">
      <c r="A132" s="2" t="inlineStr">
        <is>
          <t>华测</t>
        </is>
      </c>
      <c r="B132" s="2" t="n">
        <v>31</v>
      </c>
      <c r="C132" s="2" t="inlineStr">
        <is>
          <t>DV</t>
        </is>
      </c>
      <c r="D132" s="2" t="inlineStr">
        <is>
          <t>Group B Sequence Tests</t>
        </is>
      </c>
      <c r="E132" s="2" t="inlineStr">
        <is>
          <t>L1&amp;L4</t>
        </is>
      </c>
      <c r="F132" s="2" t="inlineStr">
        <is>
          <t>L1&amp;L4 Performance Evaluation &amp; Functional Evaluation</t>
        </is>
      </c>
      <c r="G132" s="2" t="inlineStr">
        <is>
          <t>15-26</t>
        </is>
      </c>
      <c r="H132" s="2" t="inlineStr">
        <is>
          <t>12 个样品</t>
        </is>
      </c>
      <c r="I132" s="3" t="n">
        <v>8400</v>
      </c>
      <c r="J132" s="3" t="n">
        <v>8400</v>
      </c>
      <c r="K132" s="3" t="n">
        <v>0</v>
      </c>
      <c r="L132" s="2" t="inlineStr">
        <is>
          <t>OK</t>
        </is>
      </c>
      <c r="M132" s="2" t="inlineStr">
        <is>
          <t>12个 × 700/个 = 8,400</t>
        </is>
      </c>
    </row>
    <row r="133" ht="18" customHeight="1" s="4">
      <c r="A133" s="2" t="inlineStr">
        <is>
          <t>华测</t>
        </is>
      </c>
      <c r="B133" s="2" t="n">
        <v>32</v>
      </c>
      <c r="C133" s="2" t="inlineStr">
        <is>
          <t>DV</t>
        </is>
      </c>
      <c r="D133" s="2" t="inlineStr">
        <is>
          <t>Group B Sequence Tests</t>
        </is>
      </c>
      <c r="E133" s="2" t="inlineStr">
        <is>
          <t>K22</t>
        </is>
      </c>
      <c r="F133" s="2" t="inlineStr">
        <is>
          <t>K22 Chemical Resistance</t>
        </is>
      </c>
      <c r="G133" s="2" t="inlineStr">
        <is>
          <t>15-26</t>
        </is>
      </c>
      <c r="H133" s="2" t="inlineStr">
        <is>
          <t>72 h</t>
        </is>
      </c>
      <c r="I133" s="3" t="n">
        <v>12300</v>
      </c>
      <c r="J133" s="3" t="n">
        <v>12300</v>
      </c>
      <c r="K133" s="3" t="n">
        <v>0</v>
      </c>
      <c r="L133" s="2" t="inlineStr">
        <is>
          <t>OK</t>
        </is>
      </c>
      <c r="M133" s="2" t="inlineStr">
        <is>
          <t>特殊组合计费，按规则表总价 = 12,300</t>
        </is>
      </c>
    </row>
    <row r="134" ht="36" customHeight="1" s="4">
      <c r="A134" s="2" t="inlineStr">
        <is>
          <t>华测</t>
        </is>
      </c>
      <c r="B134" s="2" t="n">
        <v>33</v>
      </c>
      <c r="C134" s="2" t="inlineStr">
        <is>
          <t>DV</t>
        </is>
      </c>
      <c r="D134" s="2" t="inlineStr">
        <is>
          <t>Group B Sequence Tests</t>
        </is>
      </c>
      <c r="E134" s="2" t="inlineStr">
        <is>
          <t>K18</t>
        </is>
      </c>
      <c r="F134" s="2" t="inlineStr">
        <is>
          <t>K18 Connector and lead/lock strength</t>
        </is>
      </c>
      <c r="G134" s="2" t="inlineStr">
        <is>
          <t>15-26</t>
        </is>
      </c>
      <c r="H134" s="2" t="inlineStr">
        <is>
          <t>12 个样品</t>
        </is>
      </c>
      <c r="I134" s="3" t="n">
        <v>27500</v>
      </c>
      <c r="J134" s="3" t="n">
        <v>27500</v>
      </c>
      <c r="K134" s="3" t="n">
        <v>0</v>
      </c>
      <c r="L134" s="2" t="inlineStr">
        <is>
          <t>OK</t>
        </is>
      </c>
      <c r="M134" s="2" t="inlineStr">
        <is>
          <t>特殊组合计费，按规则表总价 = 27,500</t>
        </is>
      </c>
    </row>
    <row r="135" ht="36" customHeight="1" s="4">
      <c r="A135" s="2" t="inlineStr">
        <is>
          <t>华测</t>
        </is>
      </c>
      <c r="B135" s="2" t="n">
        <v>34</v>
      </c>
      <c r="C135" s="2" t="inlineStr">
        <is>
          <t>DV</t>
        </is>
      </c>
      <c r="D135" s="2" t="inlineStr">
        <is>
          <t>Group B Sequence Tests</t>
        </is>
      </c>
      <c r="E135" s="2" t="inlineStr">
        <is>
          <t>L1&amp;L4</t>
        </is>
      </c>
      <c r="F135" s="2" t="inlineStr">
        <is>
          <t>L1&amp;L4 Performance Evaluation &amp; Functional Evaluation</t>
        </is>
      </c>
      <c r="G135" s="2" t="inlineStr">
        <is>
          <t>15-26</t>
        </is>
      </c>
      <c r="H135" s="2" t="inlineStr">
        <is>
          <t>12 个样品</t>
        </is>
      </c>
      <c r="I135" s="3" t="n">
        <v>8400</v>
      </c>
      <c r="J135" s="3" t="n">
        <v>8400</v>
      </c>
      <c r="K135" s="3" t="n">
        <v>0</v>
      </c>
      <c r="L135" s="2" t="inlineStr">
        <is>
          <t>OK</t>
        </is>
      </c>
      <c r="M135" s="2" t="inlineStr">
        <is>
          <t>12个 × 700/个 = 8,400</t>
        </is>
      </c>
    </row>
    <row r="136" ht="36" customHeight="1" s="4">
      <c r="A136" s="2" t="inlineStr">
        <is>
          <t>华测</t>
        </is>
      </c>
      <c r="B136" s="2" t="n">
        <v>37</v>
      </c>
      <c r="C136" s="2" t="inlineStr">
        <is>
          <t>DV</t>
        </is>
      </c>
      <c r="D136" s="2" t="inlineStr">
        <is>
          <t>Group C Sequence Tests</t>
        </is>
      </c>
      <c r="E136" s="2" t="inlineStr">
        <is>
          <t>L1&amp;L4</t>
        </is>
      </c>
      <c r="F136" s="2" t="inlineStr">
        <is>
          <t>L1&amp;L4 Performance Evaluation &amp; Functional Evaluation</t>
        </is>
      </c>
      <c r="G136" s="2" t="inlineStr">
        <is>
          <t>27-32</t>
        </is>
      </c>
      <c r="H136" s="2" t="inlineStr">
        <is>
          <t>6 个样品</t>
        </is>
      </c>
      <c r="I136" s="3" t="n">
        <v>4200</v>
      </c>
      <c r="J136" s="3" t="n">
        <v>4200</v>
      </c>
      <c r="K136" s="3" t="n">
        <v>0</v>
      </c>
      <c r="L136" s="2" t="inlineStr">
        <is>
          <t>OK</t>
        </is>
      </c>
      <c r="M136" s="2" t="inlineStr">
        <is>
          <t>6个 × 700/个 = 4,200</t>
        </is>
      </c>
    </row>
    <row r="137" ht="18" customHeight="1" s="4">
      <c r="A137" s="2" t="inlineStr">
        <is>
          <t>华测</t>
        </is>
      </c>
      <c r="B137" s="2" t="n">
        <v>38</v>
      </c>
      <c r="C137" s="2" t="inlineStr">
        <is>
          <t>DV</t>
        </is>
      </c>
      <c r="D137" s="2" t="inlineStr">
        <is>
          <t>Group C Sequence Tests</t>
        </is>
      </c>
      <c r="E137" s="2" t="inlineStr">
        <is>
          <t>K7</t>
        </is>
      </c>
      <c r="F137" s="2" t="inlineStr">
        <is>
          <t>K7 Thermal Shock in Air</t>
        </is>
      </c>
      <c r="G137" s="2" t="inlineStr">
        <is>
          <t>27-32</t>
        </is>
      </c>
      <c r="H137" s="2" t="inlineStr">
        <is>
          <t>105 h</t>
        </is>
      </c>
      <c r="I137" s="3" t="n">
        <v>7350</v>
      </c>
      <c r="J137" s="3" t="n">
        <v>7350</v>
      </c>
      <c r="K137" s="3" t="n">
        <v>0</v>
      </c>
      <c r="L137" s="2" t="inlineStr">
        <is>
          <t>OK</t>
        </is>
      </c>
      <c r="M137" s="2" t="inlineStr">
        <is>
          <t>105h × 70/h = 7,350</t>
        </is>
      </c>
    </row>
    <row r="138" ht="36" customHeight="1" s="4">
      <c r="A138" s="2" t="inlineStr">
        <is>
          <t>华测</t>
        </is>
      </c>
      <c r="B138" s="2" t="n">
        <v>39</v>
      </c>
      <c r="C138" s="2" t="inlineStr">
        <is>
          <t>DV</t>
        </is>
      </c>
      <c r="D138" s="2" t="inlineStr">
        <is>
          <t>Group C Sequence Tests</t>
        </is>
      </c>
      <c r="E138" s="2" t="inlineStr">
        <is>
          <t>Particle</t>
        </is>
      </c>
      <c r="F138" s="2" t="inlineStr">
        <is>
          <t>Particle Exposure</t>
        </is>
      </c>
      <c r="G138" s="2" t="inlineStr">
        <is>
          <t>27-32</t>
        </is>
      </c>
      <c r="H138" s="2" t="n"/>
      <c r="I138" s="3" t="n">
        <v>3000</v>
      </c>
      <c r="J138" s="3" t="n">
        <v>3000</v>
      </c>
      <c r="K138" s="3" t="n">
        <v>0</v>
      </c>
      <c r="L138" s="2" t="inlineStr">
        <is>
          <t>OK</t>
        </is>
      </c>
      <c r="M138" s="2" t="inlineStr">
        <is>
          <t>A组已计入粉尘费/清洁费，当前仅计批次费：2批 × 1,500/批 = 3,000</t>
        </is>
      </c>
    </row>
    <row r="139" ht="18" customHeight="1" s="4">
      <c r="A139" s="2" t="inlineStr">
        <is>
          <t>华测</t>
        </is>
      </c>
      <c r="B139" s="2" t="n">
        <v>40</v>
      </c>
      <c r="C139" s="2" t="inlineStr">
        <is>
          <t>DV</t>
        </is>
      </c>
      <c r="D139" s="2" t="inlineStr">
        <is>
          <t>Group C Sequence Tests</t>
        </is>
      </c>
      <c r="E139" s="2" t="inlineStr">
        <is>
          <t>K15</t>
        </is>
      </c>
      <c r="F139" s="2" t="inlineStr">
        <is>
          <t>K15 Vibartion</t>
        </is>
      </c>
      <c r="G139" s="2" t="inlineStr">
        <is>
          <t>27-32</t>
        </is>
      </c>
      <c r="H139" s="2" t="inlineStr">
        <is>
          <t>24 h</t>
        </is>
      </c>
      <c r="I139" s="3" t="n">
        <v>9600</v>
      </c>
      <c r="J139" s="3" t="n">
        <v>9600</v>
      </c>
      <c r="K139" s="3" t="n">
        <v>0</v>
      </c>
      <c r="L139" s="2" t="inlineStr">
        <is>
          <t>OK</t>
        </is>
      </c>
      <c r="M139" s="2" t="inlineStr">
        <is>
          <t>24h × 400/h = 9,600</t>
        </is>
      </c>
    </row>
    <row r="140" ht="18" customHeight="1" s="4">
      <c r="A140" s="2" t="inlineStr">
        <is>
          <t>华测</t>
        </is>
      </c>
      <c r="B140" s="2" t="n">
        <v>41</v>
      </c>
      <c r="C140" s="2" t="inlineStr">
        <is>
          <t>DV</t>
        </is>
      </c>
      <c r="D140" s="2" t="inlineStr">
        <is>
          <t>Group C Sequence Tests</t>
        </is>
      </c>
      <c r="E140" s="2" t="inlineStr">
        <is>
          <t>K13</t>
        </is>
      </c>
      <c r="F140" s="2" t="inlineStr">
        <is>
          <t>K13 Dust Ingress</t>
        </is>
      </c>
      <c r="G140" s="2" t="inlineStr">
        <is>
          <t>27-32</t>
        </is>
      </c>
      <c r="H140" s="2" t="inlineStr">
        <is>
          <t>2 批</t>
        </is>
      </c>
      <c r="I140" s="3" t="n">
        <v>3000</v>
      </c>
      <c r="J140" s="3" t="n">
        <v>3000</v>
      </c>
      <c r="K140" s="3" t="n">
        <v>0</v>
      </c>
      <c r="L140" s="2" t="inlineStr">
        <is>
          <t>OK</t>
        </is>
      </c>
      <c r="M140" s="2" t="inlineStr">
        <is>
          <t>2批 × 1,500/批 = 3,000</t>
        </is>
      </c>
    </row>
    <row r="141" ht="18" customHeight="1" s="4">
      <c r="A141" s="2" t="inlineStr">
        <is>
          <t>华测</t>
        </is>
      </c>
      <c r="B141" s="2" t="n">
        <v>42</v>
      </c>
      <c r="C141" s="2" t="inlineStr">
        <is>
          <t>DV</t>
        </is>
      </c>
      <c r="D141" s="2" t="inlineStr">
        <is>
          <t>Group C Sequence Tests</t>
        </is>
      </c>
      <c r="E141" s="2" t="inlineStr">
        <is>
          <t>K26</t>
        </is>
      </c>
      <c r="F141" s="2" t="inlineStr">
        <is>
          <t>K26 Mechanical Wear-Out</t>
        </is>
      </c>
      <c r="G141" s="2" t="inlineStr">
        <is>
          <t>27-32</t>
        </is>
      </c>
      <c r="H141" s="2" t="inlineStr">
        <is>
          <t>500 h</t>
        </is>
      </c>
      <c r="I141" s="3" t="n">
        <v>6488</v>
      </c>
      <c r="J141" s="3" t="n">
        <v>6488</v>
      </c>
      <c r="K141" s="3" t="n">
        <v>0</v>
      </c>
      <c r="L141" s="2" t="inlineStr">
        <is>
          <t>OK</t>
        </is>
      </c>
      <c r="M141" s="2" t="inlineStr">
        <is>
          <t>特殊组合计费，按规则表总价 = 6,488</t>
        </is>
      </c>
    </row>
    <row r="142" ht="36" customHeight="1" s="4">
      <c r="A142" s="2" t="inlineStr">
        <is>
          <t>华测</t>
        </is>
      </c>
      <c r="B142" s="2" t="n">
        <v>43</v>
      </c>
      <c r="C142" s="2" t="inlineStr">
        <is>
          <t>DV</t>
        </is>
      </c>
      <c r="D142" s="2" t="inlineStr">
        <is>
          <t>Group C Sequence Tests</t>
        </is>
      </c>
      <c r="E142" s="2" t="inlineStr">
        <is>
          <t>L1&amp;L4</t>
        </is>
      </c>
      <c r="F142" s="2" t="inlineStr">
        <is>
          <t>L1&amp;L4 Performance Evaluation &amp; Functional Evaluation</t>
        </is>
      </c>
      <c r="G142" s="2" t="inlineStr">
        <is>
          <t>27-32</t>
        </is>
      </c>
      <c r="H142" s="2" t="inlineStr">
        <is>
          <t>6 个样品</t>
        </is>
      </c>
      <c r="I142" s="3" t="n">
        <v>4200</v>
      </c>
      <c r="J142" s="3" t="n">
        <v>4200</v>
      </c>
      <c r="K142" s="3" t="n">
        <v>0</v>
      </c>
      <c r="L142" s="2" t="inlineStr">
        <is>
          <t>OK</t>
        </is>
      </c>
      <c r="M142" s="2" t="inlineStr">
        <is>
          <t>6个 × 700/个 = 4,200</t>
        </is>
      </c>
    </row>
    <row r="143" ht="36" customHeight="1" s="4">
      <c r="A143" s="2" t="inlineStr">
        <is>
          <t>华测</t>
        </is>
      </c>
      <c r="B143" s="2" t="n">
        <v>46</v>
      </c>
      <c r="C143" s="2" t="inlineStr">
        <is>
          <t>DV</t>
        </is>
      </c>
      <c r="D143" s="2" t="inlineStr">
        <is>
          <t>Group D Parallel Tests / D-1 Corrosive Gases</t>
        </is>
      </c>
      <c r="E143" s="2" t="inlineStr">
        <is>
          <t>L1&amp;L4</t>
        </is>
      </c>
      <c r="F143" s="2" t="inlineStr">
        <is>
          <t>L1&amp;L4 Performance Evaluation &amp; Functional Evaluation</t>
        </is>
      </c>
      <c r="G143" s="2" t="inlineStr">
        <is>
          <t>33-38</t>
        </is>
      </c>
      <c r="H143" s="2" t="inlineStr">
        <is>
          <t>6 个样品</t>
        </is>
      </c>
      <c r="I143" s="3" t="n">
        <v>4200</v>
      </c>
      <c r="J143" s="3" t="n">
        <v>4200</v>
      </c>
      <c r="K143" s="3" t="n">
        <v>0</v>
      </c>
      <c r="L143" s="2" t="inlineStr">
        <is>
          <t>OK</t>
        </is>
      </c>
      <c r="M143" s="2" t="inlineStr">
        <is>
          <t>6个 × 700/个 = 4,200</t>
        </is>
      </c>
    </row>
    <row r="144" ht="36" customHeight="1" s="4">
      <c r="A144" s="2" t="inlineStr">
        <is>
          <t>华测</t>
        </is>
      </c>
      <c r="B144" s="2" t="n">
        <v>47</v>
      </c>
      <c r="C144" s="2" t="inlineStr">
        <is>
          <t>DV</t>
        </is>
      </c>
      <c r="D144" s="2" t="inlineStr">
        <is>
          <t>Group D Parallel Tests / D-1 Corrosive Gases</t>
        </is>
      </c>
      <c r="E144" s="2" t="inlineStr">
        <is>
          <t>K21</t>
        </is>
      </c>
      <c r="F144" s="2" t="inlineStr">
        <is>
          <t>K21 Corrosive Gases</t>
        </is>
      </c>
      <c r="G144" s="2" t="inlineStr">
        <is>
          <t>33-38</t>
        </is>
      </c>
      <c r="H144" s="2" t="inlineStr">
        <is>
          <t>336 h</t>
        </is>
      </c>
      <c r="I144" s="3" t="n">
        <v>40320</v>
      </c>
      <c r="J144" s="3" t="n">
        <v>40320</v>
      </c>
      <c r="K144" s="3" t="n">
        <v>0</v>
      </c>
      <c r="L144" s="2" t="inlineStr">
        <is>
          <t>OK</t>
        </is>
      </c>
      <c r="M144" s="2" t="inlineStr">
        <is>
          <t>336h × 120/h = 40,320</t>
        </is>
      </c>
    </row>
    <row r="145" ht="36" customHeight="1" s="4">
      <c r="A145" s="2" t="inlineStr">
        <is>
          <t>华测</t>
        </is>
      </c>
      <c r="B145" s="2" t="n">
        <v>48</v>
      </c>
      <c r="C145" s="2" t="inlineStr">
        <is>
          <t>DV</t>
        </is>
      </c>
      <c r="D145" s="2" t="inlineStr">
        <is>
          <t>Group D Parallel Tests / D-1 Corrosive Gases</t>
        </is>
      </c>
      <c r="E145" s="2" t="inlineStr">
        <is>
          <t>L1&amp;L4</t>
        </is>
      </c>
      <c r="F145" s="2" t="inlineStr">
        <is>
          <t>L1&amp;L4 Performance Evaluation &amp; Functional Evaluation</t>
        </is>
      </c>
      <c r="G145" s="2" t="inlineStr">
        <is>
          <t>33-38</t>
        </is>
      </c>
      <c r="H145" s="2" t="inlineStr">
        <is>
          <t>6 个样品</t>
        </is>
      </c>
      <c r="I145" s="3" t="n">
        <v>4200</v>
      </c>
      <c r="J145" s="3" t="n">
        <v>4200</v>
      </c>
      <c r="K145" s="3" t="n">
        <v>0</v>
      </c>
      <c r="L145" s="2" t="inlineStr">
        <is>
          <t>OK</t>
        </is>
      </c>
      <c r="M145" s="2" t="inlineStr">
        <is>
          <t>6个 × 700/个 = 4,200</t>
        </is>
      </c>
    </row>
    <row r="146" ht="36" customHeight="1" s="4">
      <c r="A146" s="2" t="inlineStr">
        <is>
          <t>华测</t>
        </is>
      </c>
      <c r="B146" s="2" t="n">
        <v>51</v>
      </c>
      <c r="C146" s="2" t="inlineStr">
        <is>
          <t>DV</t>
        </is>
      </c>
      <c r="D146" s="2" t="inlineStr">
        <is>
          <t>Group D Parallel Tests / D-2 Solar Radiation</t>
        </is>
      </c>
      <c r="E146" s="2" t="inlineStr">
        <is>
          <t>L1&amp;L4</t>
        </is>
      </c>
      <c r="F146" s="2" t="inlineStr">
        <is>
          <t>L1&amp;L4 Performance Evaluation &amp; Functional Evaluation</t>
        </is>
      </c>
      <c r="G146" s="2" t="inlineStr">
        <is>
          <t>39-44</t>
        </is>
      </c>
      <c r="H146" s="2" t="inlineStr">
        <is>
          <t>6 个样品</t>
        </is>
      </c>
      <c r="I146" s="3" t="n">
        <v>4200</v>
      </c>
      <c r="J146" s="3" t="n">
        <v>4200</v>
      </c>
      <c r="K146" s="3" t="n">
        <v>0</v>
      </c>
      <c r="L146" s="2" t="inlineStr">
        <is>
          <t>OK</t>
        </is>
      </c>
      <c r="M146" s="2" t="inlineStr">
        <is>
          <t>6个 × 700/个 = 4,200</t>
        </is>
      </c>
    </row>
    <row r="147" ht="36" customHeight="1" s="4">
      <c r="A147" s="2" t="inlineStr">
        <is>
          <t>华测</t>
        </is>
      </c>
      <c r="B147" s="2" t="n">
        <v>52</v>
      </c>
      <c r="C147" s="2" t="inlineStr">
        <is>
          <t>DV</t>
        </is>
      </c>
      <c r="D147" s="2" t="inlineStr">
        <is>
          <t>Group D Parallel Tests / D-2 Solar Radiation</t>
        </is>
      </c>
      <c r="E147" s="2" t="inlineStr">
        <is>
          <t>K20</t>
        </is>
      </c>
      <c r="F147" s="2" t="inlineStr">
        <is>
          <t>K20 Solar Radiation</t>
        </is>
      </c>
      <c r="G147" s="2" t="inlineStr">
        <is>
          <t>39-44</t>
        </is>
      </c>
      <c r="H147" s="2" t="inlineStr">
        <is>
          <t>720 h</t>
        </is>
      </c>
      <c r="I147" s="3" t="n">
        <v>288000</v>
      </c>
      <c r="J147" s="3" t="n">
        <v>288000</v>
      </c>
      <c r="K147" s="3" t="n">
        <v>0</v>
      </c>
      <c r="L147" s="2" t="inlineStr">
        <is>
          <t>OK</t>
        </is>
      </c>
      <c r="M147" s="2" t="inlineStr">
        <is>
          <t>720h × 400/h = 288,000</t>
        </is>
      </c>
    </row>
    <row r="148" ht="36" customHeight="1" s="4">
      <c r="A148" s="2" t="inlineStr">
        <is>
          <t>华测</t>
        </is>
      </c>
      <c r="B148" s="2" t="n">
        <v>53</v>
      </c>
      <c r="C148" s="2" t="inlineStr">
        <is>
          <t>DV</t>
        </is>
      </c>
      <c r="D148" s="2" t="inlineStr">
        <is>
          <t>Group D Parallel Tests / D-2 Solar Radiation</t>
        </is>
      </c>
      <c r="E148" s="2" t="inlineStr">
        <is>
          <t>L1&amp;L4</t>
        </is>
      </c>
      <c r="F148" s="2" t="inlineStr">
        <is>
          <t>L1&amp;L4 Performance Evaluation &amp; Functional Evaluation</t>
        </is>
      </c>
      <c r="G148" s="2" t="inlineStr">
        <is>
          <t>39-44</t>
        </is>
      </c>
      <c r="H148" s="2" t="inlineStr">
        <is>
          <t>6 个样品</t>
        </is>
      </c>
      <c r="I148" s="3" t="n">
        <v>4200</v>
      </c>
      <c r="J148" s="3" t="n">
        <v>4200</v>
      </c>
      <c r="K148" s="3" t="n">
        <v>0</v>
      </c>
      <c r="L148" s="2" t="inlineStr">
        <is>
          <t>OK</t>
        </is>
      </c>
      <c r="M148" s="2" t="inlineStr">
        <is>
          <t>6个 × 700/个 = 4,200</t>
        </is>
      </c>
    </row>
    <row r="149" ht="36" customHeight="1" s="4">
      <c r="A149" s="2" t="inlineStr">
        <is>
          <t>华测</t>
        </is>
      </c>
      <c r="B149" s="2" t="n">
        <v>56</v>
      </c>
      <c r="C149" s="2" t="inlineStr">
        <is>
          <t>DV</t>
        </is>
      </c>
      <c r="D149" s="2" t="inlineStr">
        <is>
          <t>Group D Parallel Tests / D-3 PCBA</t>
        </is>
      </c>
      <c r="E149" s="2" t="inlineStr">
        <is>
          <t>L1&amp;L4</t>
        </is>
      </c>
      <c r="F149" s="2" t="inlineStr">
        <is>
          <t>L1&amp;L4 Performance Evaluation &amp; Functional Evaluation</t>
        </is>
      </c>
      <c r="G149" s="2" t="inlineStr">
        <is>
          <t>45-52</t>
        </is>
      </c>
      <c r="H149" s="2" t="inlineStr">
        <is>
          <t>6 个样品</t>
        </is>
      </c>
      <c r="I149" s="3" t="n">
        <v>4200</v>
      </c>
      <c r="J149" s="3" t="n">
        <v>4200</v>
      </c>
      <c r="K149" s="3" t="n">
        <v>0</v>
      </c>
      <c r="L149" s="2" t="inlineStr">
        <is>
          <t>OK</t>
        </is>
      </c>
      <c r="M149" s="2" t="inlineStr">
        <is>
          <t>6个 × 700/个 = 4,200</t>
        </is>
      </c>
    </row>
    <row r="150" ht="18" customHeight="1" s="4">
      <c r="A150" s="2" t="inlineStr">
        <is>
          <t>华测</t>
        </is>
      </c>
      <c r="B150" s="2" t="n">
        <v>57</v>
      </c>
      <c r="C150" s="2" t="inlineStr">
        <is>
          <t>DV</t>
        </is>
      </c>
      <c r="D150" s="2" t="inlineStr">
        <is>
          <t>Group D Parallel Tests / D-3 PCBA</t>
        </is>
      </c>
      <c r="E150" s="2" t="inlineStr">
        <is>
          <t>K23</t>
        </is>
      </c>
      <c r="F150" s="2" t="inlineStr">
        <is>
          <t>K23 Thermal Shock Endurance</t>
        </is>
      </c>
      <c r="G150" s="2" t="inlineStr">
        <is>
          <t>45-52</t>
        </is>
      </c>
      <c r="H150" s="2" t="inlineStr">
        <is>
          <t>1017 h</t>
        </is>
      </c>
      <c r="I150" s="3" t="n">
        <v>50850</v>
      </c>
      <c r="J150" s="3" t="n">
        <v>50850</v>
      </c>
      <c r="K150" s="3" t="n">
        <v>0</v>
      </c>
      <c r="L150" s="2" t="inlineStr">
        <is>
          <t>OK</t>
        </is>
      </c>
      <c r="M150" s="2" t="inlineStr">
        <is>
          <t>1,017h × 50/h = 50,850</t>
        </is>
      </c>
    </row>
    <row r="151" ht="36" customHeight="1" s="4">
      <c r="A151" s="2" t="inlineStr">
        <is>
          <t>华测</t>
        </is>
      </c>
      <c r="B151" s="2" t="n">
        <v>58</v>
      </c>
      <c r="C151" s="2" t="inlineStr">
        <is>
          <t>DV</t>
        </is>
      </c>
      <c r="D151" s="2" t="inlineStr">
        <is>
          <t>Group D Parallel Tests / D-3 PCBA</t>
        </is>
      </c>
      <c r="E151" s="2" t="inlineStr">
        <is>
          <t>L1&amp;L4</t>
        </is>
      </c>
      <c r="F151" s="2" t="inlineStr">
        <is>
          <t>L1&amp;L4 Performance Evaluation &amp; Functional Evaluation</t>
        </is>
      </c>
      <c r="G151" s="2" t="inlineStr">
        <is>
          <t>45-52</t>
        </is>
      </c>
      <c r="H151" s="2" t="inlineStr">
        <is>
          <t>6 个样品</t>
        </is>
      </c>
      <c r="I151" s="3" t="n">
        <v>4200</v>
      </c>
      <c r="J151" s="3" t="n">
        <v>4200</v>
      </c>
      <c r="K151" s="3" t="n">
        <v>0</v>
      </c>
      <c r="L151" s="2" t="inlineStr">
        <is>
          <t>OK</t>
        </is>
      </c>
      <c r="M151" s="2" t="inlineStr">
        <is>
          <t>6个 × 700/个 = 4,200</t>
        </is>
      </c>
    </row>
    <row r="152" ht="53" customHeight="1" s="4">
      <c r="A152" s="2" t="inlineStr">
        <is>
          <t>华测</t>
        </is>
      </c>
      <c r="B152" s="2" t="n">
        <v>59</v>
      </c>
      <c r="C152" s="2" t="inlineStr">
        <is>
          <t>DV</t>
        </is>
      </c>
      <c r="D152" s="2" t="inlineStr">
        <is>
          <t>Group D Parallel Tests / D-3 PCBA</t>
        </is>
      </c>
      <c r="E152" s="2" t="inlineStr">
        <is>
          <t>L6-SEM&amp;SECTION</t>
        </is>
      </c>
      <c r="F152" s="2" t="inlineStr">
        <is>
          <t>L6-SEM&amp;SECTION</t>
        </is>
      </c>
      <c r="G152" s="2" t="inlineStr">
        <is>
          <t>45-52</t>
        </is>
      </c>
      <c r="H152" s="2" t="inlineStr">
        <is>
          <t>33 个样品</t>
        </is>
      </c>
      <c r="I152" s="3" t="n">
        <v>16500</v>
      </c>
      <c r="J152" s="3" t="n">
        <v>16500</v>
      </c>
      <c r="K152" s="3" t="n">
        <v>0</v>
      </c>
      <c r="L152" s="2" t="inlineStr">
        <is>
          <t>OK</t>
        </is>
      </c>
      <c r="M152" s="2" t="inlineStr">
        <is>
          <t>33个 × 500/个 = 16,500</t>
        </is>
      </c>
    </row>
    <row r="153" ht="36" customHeight="1" s="4">
      <c r="A153" s="2" t="inlineStr">
        <is>
          <t>华测</t>
        </is>
      </c>
      <c r="B153" s="2" t="n">
        <v>62</v>
      </c>
      <c r="C153" s="2" t="inlineStr">
        <is>
          <t>DV</t>
        </is>
      </c>
      <c r="D153" s="2" t="inlineStr">
        <is>
          <t>Group D Parallel Tests / D-4 Dewing Test</t>
        </is>
      </c>
      <c r="E153" s="2" t="inlineStr">
        <is>
          <t>L1&amp;L4</t>
        </is>
      </c>
      <c r="F153" s="2" t="inlineStr">
        <is>
          <t>L1&amp;L4 Performance Evaluation &amp; Functional Evaluation</t>
        </is>
      </c>
      <c r="G153" s="2" t="inlineStr">
        <is>
          <t>53-58</t>
        </is>
      </c>
      <c r="H153" s="2" t="inlineStr">
        <is>
          <t>6 个样品</t>
        </is>
      </c>
      <c r="I153" s="3" t="n">
        <v>4200</v>
      </c>
      <c r="J153" s="3" t="n">
        <v>4200</v>
      </c>
      <c r="K153" s="3" t="n">
        <v>0</v>
      </c>
      <c r="L153" s="2" t="inlineStr">
        <is>
          <t>OK</t>
        </is>
      </c>
      <c r="M153" s="2" t="inlineStr">
        <is>
          <t>6个 × 700/个 = 4,200</t>
        </is>
      </c>
    </row>
    <row r="154" ht="36" customHeight="1" s="4">
      <c r="A154" s="2" t="inlineStr">
        <is>
          <t>华测</t>
        </is>
      </c>
      <c r="B154" s="2" t="n">
        <v>63</v>
      </c>
      <c r="C154" s="2" t="inlineStr">
        <is>
          <t>DV</t>
        </is>
      </c>
      <c r="D154" s="2" t="inlineStr">
        <is>
          <t>Group D Parallel Tests / D-4 Dewing Test</t>
        </is>
      </c>
      <c r="E154" s="2" t="inlineStr">
        <is>
          <t>K8</t>
        </is>
      </c>
      <c r="F154" s="2" t="inlineStr">
        <is>
          <t>K8 Dewing Test</t>
        </is>
      </c>
      <c r="G154" s="2" t="inlineStr">
        <is>
          <t>53-58</t>
        </is>
      </c>
      <c r="H154" s="2" t="inlineStr">
        <is>
          <t>1 批</t>
        </is>
      </c>
      <c r="I154" s="3" t="n">
        <v>5000</v>
      </c>
      <c r="J154" s="3" t="n">
        <v>5000</v>
      </c>
      <c r="K154" s="3" t="n">
        <v>0</v>
      </c>
      <c r="L154" s="2" t="inlineStr">
        <is>
          <t>OK</t>
        </is>
      </c>
      <c r="M154" s="2" t="inlineStr">
        <is>
          <t>1批 × 5,000/批 = 5,000</t>
        </is>
      </c>
    </row>
    <row r="155" ht="36" customHeight="1" s="4">
      <c r="A155" s="2" t="inlineStr">
        <is>
          <t>华测</t>
        </is>
      </c>
      <c r="B155" s="2" t="n">
        <v>64</v>
      </c>
      <c r="C155" s="2" t="inlineStr">
        <is>
          <t>DV</t>
        </is>
      </c>
      <c r="D155" s="2" t="inlineStr">
        <is>
          <t>Group D Parallel Tests / D-4 Dewing Test</t>
        </is>
      </c>
      <c r="E155" s="2" t="inlineStr">
        <is>
          <t>L1&amp;L4</t>
        </is>
      </c>
      <c r="F155" s="2" t="inlineStr">
        <is>
          <t>L1&amp;L4 Performance Evaluation &amp; Functional Evaluation</t>
        </is>
      </c>
      <c r="G155" s="2" t="inlineStr">
        <is>
          <t>53-58</t>
        </is>
      </c>
      <c r="H155" s="2" t="inlineStr">
        <is>
          <t>6 个样品</t>
        </is>
      </c>
      <c r="I155" s="3" t="n">
        <v>4200</v>
      </c>
      <c r="J155" s="3" t="n">
        <v>4200</v>
      </c>
      <c r="K155" s="3" t="n">
        <v>0</v>
      </c>
      <c r="L155" s="2" t="inlineStr">
        <is>
          <t>OK</t>
        </is>
      </c>
      <c r="M155" s="2" t="inlineStr">
        <is>
          <t>6个 × 700/个 = 4,200</t>
        </is>
      </c>
    </row>
    <row r="156" ht="36" customHeight="1" s="4">
      <c r="A156" s="2" t="inlineStr">
        <is>
          <t>华测</t>
        </is>
      </c>
      <c r="B156" s="2" t="n">
        <v>67</v>
      </c>
      <c r="C156" s="2" t="inlineStr">
        <is>
          <t>DV</t>
        </is>
      </c>
      <c r="D156" s="2" t="inlineStr">
        <is>
          <t>Group D Parallel Tests / D-5 Life Test-1</t>
        </is>
      </c>
      <c r="E156" s="2" t="inlineStr">
        <is>
          <t>L1&amp;L4</t>
        </is>
      </c>
      <c r="F156" s="2" t="inlineStr">
        <is>
          <t>L1&amp;L4 Performance Evaluation &amp; Functional Evaluation</t>
        </is>
      </c>
      <c r="G156" s="2" t="inlineStr">
        <is>
          <t>59-64</t>
        </is>
      </c>
      <c r="H156" s="2" t="inlineStr">
        <is>
          <t>6 个样品</t>
        </is>
      </c>
      <c r="I156" s="3" t="n">
        <v>4200</v>
      </c>
      <c r="J156" s="3" t="n">
        <v>4200</v>
      </c>
      <c r="K156" s="3" t="n">
        <v>0</v>
      </c>
      <c r="L156" s="2" t="inlineStr">
        <is>
          <t>OK</t>
        </is>
      </c>
      <c r="M156" s="2" t="inlineStr">
        <is>
          <t>6个 × 700/个 = 4,200</t>
        </is>
      </c>
    </row>
    <row r="157" ht="36" customHeight="1" s="4">
      <c r="A157" s="2" t="inlineStr">
        <is>
          <t>华测</t>
        </is>
      </c>
      <c r="B157" s="2" t="n">
        <v>68</v>
      </c>
      <c r="C157" s="2" t="inlineStr">
        <is>
          <t>DV</t>
        </is>
      </c>
      <c r="D157" s="2" t="inlineStr">
        <is>
          <t>Group D Parallel Tests / D-5 Life Test-1</t>
        </is>
      </c>
      <c r="E157" s="2" t="inlineStr">
        <is>
          <t>K24</t>
        </is>
      </c>
      <c r="F157" s="2" t="inlineStr">
        <is>
          <t>K24 High Temperature Endurance</t>
        </is>
      </c>
      <c r="G157" s="2" t="inlineStr">
        <is>
          <t>59-64</t>
        </is>
      </c>
      <c r="H157" s="2" t="inlineStr">
        <is>
          <t>1000 h</t>
        </is>
      </c>
      <c r="I157" s="3" t="n">
        <v>15000</v>
      </c>
      <c r="J157" s="3" t="n">
        <v>15000</v>
      </c>
      <c r="K157" s="3" t="n">
        <v>0</v>
      </c>
      <c r="L157" s="2" t="inlineStr">
        <is>
          <t>OK</t>
        </is>
      </c>
      <c r="M157" s="2" t="inlineStr">
        <is>
          <t>1,000h × 15/h = 15,000</t>
        </is>
      </c>
    </row>
    <row r="158" ht="36" customHeight="1" s="4">
      <c r="A158" s="2" t="inlineStr">
        <is>
          <t>华测</t>
        </is>
      </c>
      <c r="B158" s="2" t="n">
        <v>69</v>
      </c>
      <c r="C158" s="2" t="inlineStr">
        <is>
          <t>DV</t>
        </is>
      </c>
      <c r="D158" s="2" t="inlineStr">
        <is>
          <t>Group D Parallel Tests / D-5 Life Test-1</t>
        </is>
      </c>
      <c r="E158" s="2" t="inlineStr">
        <is>
          <t>L1&amp;L4</t>
        </is>
      </c>
      <c r="F158" s="2" t="inlineStr">
        <is>
          <t>L1&amp;L4 Performance Evaluation &amp; Functional Evaluation</t>
        </is>
      </c>
      <c r="G158" s="2" t="inlineStr">
        <is>
          <t>59-64</t>
        </is>
      </c>
      <c r="H158" s="2" t="inlineStr">
        <is>
          <t>6 个样品</t>
        </is>
      </c>
      <c r="I158" s="3" t="n">
        <v>4200</v>
      </c>
      <c r="J158" s="3" t="n">
        <v>4200</v>
      </c>
      <c r="K158" s="3" t="n">
        <v>0</v>
      </c>
      <c r="L158" s="2" t="inlineStr">
        <is>
          <t>OK</t>
        </is>
      </c>
      <c r="M158" s="2" t="inlineStr">
        <is>
          <t>6个 × 700/个 = 4,200</t>
        </is>
      </c>
    </row>
    <row r="159" ht="36" customHeight="1" s="4">
      <c r="A159" s="2" t="inlineStr">
        <is>
          <t>华测</t>
        </is>
      </c>
      <c r="B159" s="2" t="n">
        <v>72</v>
      </c>
      <c r="C159" s="2" t="inlineStr">
        <is>
          <t>DV</t>
        </is>
      </c>
      <c r="D159" s="2" t="inlineStr">
        <is>
          <t>Group D Parallel Tests / D-6 Life Test-2-1</t>
        </is>
      </c>
      <c r="E159" s="2" t="inlineStr">
        <is>
          <t>L1&amp;L4</t>
        </is>
      </c>
      <c r="F159" s="2" t="inlineStr">
        <is>
          <t>L1&amp;L4 Performance Evaluation &amp; Functional Evaluation</t>
        </is>
      </c>
      <c r="G159" s="2" t="inlineStr">
        <is>
          <t>65-70</t>
        </is>
      </c>
      <c r="H159" s="2" t="inlineStr">
        <is>
          <t>6 个样品</t>
        </is>
      </c>
      <c r="I159" s="3" t="n">
        <v>4200</v>
      </c>
      <c r="J159" s="3" t="n">
        <v>4200</v>
      </c>
      <c r="K159" s="3" t="n">
        <v>0</v>
      </c>
      <c r="L159" s="2" t="inlineStr">
        <is>
          <t>OK</t>
        </is>
      </c>
      <c r="M159" s="2" t="inlineStr">
        <is>
          <t>6个 × 700/个 = 4,200</t>
        </is>
      </c>
    </row>
    <row r="160" ht="36" customHeight="1" s="4">
      <c r="A160" s="2" t="inlineStr">
        <is>
          <t>华测</t>
        </is>
      </c>
      <c r="B160" s="2" t="n">
        <v>73</v>
      </c>
      <c r="C160" s="2" t="inlineStr">
        <is>
          <t>DV</t>
        </is>
      </c>
      <c r="D160" s="2" t="inlineStr">
        <is>
          <t>Group D Parallel Tests / D-6 Life Test-2-1</t>
        </is>
      </c>
      <c r="E160" s="2" t="inlineStr">
        <is>
          <t>K27</t>
        </is>
      </c>
      <c r="F160" s="2" t="inlineStr">
        <is>
          <t>K27 85/85 High Temperature -High Humidity Endurance</t>
        </is>
      </c>
      <c r="G160" s="2" t="inlineStr">
        <is>
          <t>65-70</t>
        </is>
      </c>
      <c r="H160" s="2" t="inlineStr">
        <is>
          <t>1000 h</t>
        </is>
      </c>
      <c r="I160" s="3" t="n">
        <v>20000</v>
      </c>
      <c r="J160" s="3" t="n">
        <v>20000</v>
      </c>
      <c r="K160" s="3" t="n">
        <v>0</v>
      </c>
      <c r="L160" s="2" t="inlineStr">
        <is>
          <t>OK</t>
        </is>
      </c>
      <c r="M160" s="2" t="inlineStr">
        <is>
          <t>1,000h × 20/h = 20,000</t>
        </is>
      </c>
    </row>
    <row r="161" ht="36" customHeight="1" s="4">
      <c r="A161" s="2" t="inlineStr">
        <is>
          <t>华测</t>
        </is>
      </c>
      <c r="B161" s="2" t="n">
        <v>74</v>
      </c>
      <c r="C161" s="2" t="inlineStr">
        <is>
          <t>DV</t>
        </is>
      </c>
      <c r="D161" s="2" t="inlineStr">
        <is>
          <t>Group D Parallel Tests / D-6 Life Test-2-1</t>
        </is>
      </c>
      <c r="E161" s="2" t="inlineStr">
        <is>
          <t>L1&amp;L4</t>
        </is>
      </c>
      <c r="F161" s="2" t="inlineStr">
        <is>
          <t>L1&amp;L4 Performance Evaluation &amp; Functional Evaluation</t>
        </is>
      </c>
      <c r="G161" s="2" t="inlineStr">
        <is>
          <t>65-70</t>
        </is>
      </c>
      <c r="H161" s="2" t="inlineStr">
        <is>
          <t>6 个样品</t>
        </is>
      </c>
      <c r="I161" s="3" t="n">
        <v>4200</v>
      </c>
      <c r="J161" s="3" t="n">
        <v>4200</v>
      </c>
      <c r="K161" s="3" t="n">
        <v>0</v>
      </c>
      <c r="L161" s="2" t="inlineStr">
        <is>
          <t>OK</t>
        </is>
      </c>
      <c r="M161" s="2" t="inlineStr">
        <is>
          <t>6个 × 700/个 = 4,200</t>
        </is>
      </c>
    </row>
    <row r="162" ht="36" customHeight="1" s="4">
      <c r="A162" s="2" t="inlineStr">
        <is>
          <t>华测</t>
        </is>
      </c>
      <c r="B162" s="2" t="n">
        <v>77</v>
      </c>
      <c r="C162" s="2" t="inlineStr">
        <is>
          <t>DV</t>
        </is>
      </c>
      <c r="D162" s="2" t="inlineStr">
        <is>
          <t>Group D Parallel Tests / D-7 Life Test-2-2</t>
        </is>
      </c>
      <c r="E162" s="2" t="inlineStr">
        <is>
          <t>L1&amp;L4</t>
        </is>
      </c>
      <c r="F162" s="2" t="inlineStr">
        <is>
          <t>L1&amp;L4 Performance Evaluation &amp; Functional Evaluation</t>
        </is>
      </c>
      <c r="G162" s="2" t="inlineStr">
        <is>
          <t>71-76</t>
        </is>
      </c>
      <c r="H162" s="2" t="inlineStr">
        <is>
          <t>6 个样品</t>
        </is>
      </c>
      <c r="I162" s="3" t="n">
        <v>4200</v>
      </c>
      <c r="J162" s="3" t="n">
        <v>4200</v>
      </c>
      <c r="K162" s="3" t="n">
        <v>0</v>
      </c>
      <c r="L162" s="2" t="inlineStr">
        <is>
          <t>OK</t>
        </is>
      </c>
      <c r="M162" s="2" t="inlineStr">
        <is>
          <t>6个 × 700/个 = 4,200</t>
        </is>
      </c>
    </row>
    <row r="163" ht="36" customHeight="1" s="4">
      <c r="A163" s="2" t="inlineStr">
        <is>
          <t>华测</t>
        </is>
      </c>
      <c r="B163" s="2" t="n">
        <v>78</v>
      </c>
      <c r="C163" s="2" t="inlineStr">
        <is>
          <t>DV</t>
        </is>
      </c>
      <c r="D163" s="2" t="inlineStr">
        <is>
          <t>Group D Parallel Tests / D-7 Life Test-2-2</t>
        </is>
      </c>
      <c r="E163" s="2" t="inlineStr">
        <is>
          <t>K27</t>
        </is>
      </c>
      <c r="F163" s="2" t="inlineStr">
        <is>
          <t>K27 60/95 High Temperature -High Humidity Endurance</t>
        </is>
      </c>
      <c r="G163" s="2" t="inlineStr">
        <is>
          <t>71-76</t>
        </is>
      </c>
      <c r="H163" s="2" t="inlineStr">
        <is>
          <t>1100 h</t>
        </is>
      </c>
      <c r="I163" s="3" t="n">
        <v>22000</v>
      </c>
      <c r="J163" s="3" t="n">
        <v>22000</v>
      </c>
      <c r="K163" s="3" t="n">
        <v>0</v>
      </c>
      <c r="L163" s="2" t="inlineStr">
        <is>
          <t>OK</t>
        </is>
      </c>
      <c r="M163" s="2" t="inlineStr">
        <is>
          <t>1,100h × 20/h = 22,000</t>
        </is>
      </c>
    </row>
    <row r="164" ht="36" customHeight="1" s="4">
      <c r="A164" s="2" t="inlineStr">
        <is>
          <t>华测</t>
        </is>
      </c>
      <c r="B164" s="2" t="n">
        <v>79</v>
      </c>
      <c r="C164" s="2" t="inlineStr">
        <is>
          <t>DV</t>
        </is>
      </c>
      <c r="D164" s="2" t="inlineStr">
        <is>
          <t>Group D Parallel Tests / D-7 Life Test-2-2</t>
        </is>
      </c>
      <c r="E164" s="2" t="inlineStr">
        <is>
          <t>L1&amp;L4</t>
        </is>
      </c>
      <c r="F164" s="2" t="inlineStr">
        <is>
          <t>L1&amp;L4 Performance Evaluation &amp; Functional Evaluation</t>
        </is>
      </c>
      <c r="G164" s="2" t="inlineStr">
        <is>
          <t>71-76</t>
        </is>
      </c>
      <c r="H164" s="2" t="inlineStr">
        <is>
          <t>6 个样品</t>
        </is>
      </c>
      <c r="I164" s="3" t="n">
        <v>4200</v>
      </c>
      <c r="J164" s="3" t="n">
        <v>4200</v>
      </c>
      <c r="K164" s="3" t="n">
        <v>0</v>
      </c>
      <c r="L164" s="2" t="inlineStr">
        <is>
          <t>OK</t>
        </is>
      </c>
      <c r="M164" s="2" t="inlineStr">
        <is>
          <t>6个 × 700/个 = 4,200</t>
        </is>
      </c>
    </row>
    <row r="165" ht="36" customHeight="1" s="4">
      <c r="A165" s="2" t="inlineStr">
        <is>
          <t>华测</t>
        </is>
      </c>
      <c r="B165" s="2" t="n">
        <v>82</v>
      </c>
      <c r="C165" s="2" t="inlineStr">
        <is>
          <t>DV</t>
        </is>
      </c>
      <c r="D165" s="2" t="inlineStr">
        <is>
          <t>Group D Parallel Tests / D-9</t>
        </is>
      </c>
      <c r="E165" s="2" t="inlineStr">
        <is>
          <t>L1&amp;L4</t>
        </is>
      </c>
      <c r="F165" s="2" t="inlineStr">
        <is>
          <t>L1&amp;L4 Performance Evaluation &amp; Functional Evaluation</t>
        </is>
      </c>
      <c r="G165" s="2" t="inlineStr">
        <is>
          <t>77-82</t>
        </is>
      </c>
      <c r="H165" s="2" t="inlineStr">
        <is>
          <t>6 个样品</t>
        </is>
      </c>
      <c r="I165" s="3" t="n">
        <v>4200</v>
      </c>
      <c r="J165" s="3" t="n">
        <v>4200</v>
      </c>
      <c r="K165" s="3" t="n">
        <v>0</v>
      </c>
      <c r="L165" s="2" t="inlineStr">
        <is>
          <t>OK</t>
        </is>
      </c>
      <c r="M165" s="2" t="inlineStr">
        <is>
          <t>6个 × 700/个 = 4,200</t>
        </is>
      </c>
    </row>
    <row r="166" ht="18" customHeight="1" s="4">
      <c r="A166" s="2" t="inlineStr">
        <is>
          <t>华测</t>
        </is>
      </c>
      <c r="B166" s="2" t="n">
        <v>83</v>
      </c>
      <c r="C166" s="2" t="inlineStr">
        <is>
          <t>DV</t>
        </is>
      </c>
      <c r="D166" s="2" t="inlineStr">
        <is>
          <t>Group D Parallel Tests / D-9</t>
        </is>
      </c>
      <c r="E166" s="2" t="inlineStr">
        <is>
          <t>K52.351</t>
        </is>
      </c>
      <c r="F166" s="2" t="inlineStr">
        <is>
          <t>K52.351 Condensing humidity</t>
        </is>
      </c>
      <c r="G166" s="2" t="inlineStr">
        <is>
          <t>77-82</t>
        </is>
      </c>
      <c r="H166" s="2" t="inlineStr">
        <is>
          <t>120 h</t>
        </is>
      </c>
      <c r="I166" s="3" t="n">
        <v>7200</v>
      </c>
      <c r="J166" s="3" t="n">
        <v>7200</v>
      </c>
      <c r="K166" s="3" t="n">
        <v>0</v>
      </c>
      <c r="L166" s="2" t="inlineStr">
        <is>
          <t>OK</t>
        </is>
      </c>
      <c r="M166" s="2" t="inlineStr">
        <is>
          <t>120h × 60/h = 7,200</t>
        </is>
      </c>
    </row>
    <row r="167" ht="36" customHeight="1" s="4">
      <c r="A167" s="2" t="inlineStr">
        <is>
          <t>华测</t>
        </is>
      </c>
      <c r="B167" s="2" t="n">
        <v>84</v>
      </c>
      <c r="C167" s="2" t="inlineStr">
        <is>
          <t>DV</t>
        </is>
      </c>
      <c r="D167" s="2" t="inlineStr">
        <is>
          <t>Group D Parallel Tests / D-9</t>
        </is>
      </c>
      <c r="E167" s="2" t="inlineStr">
        <is>
          <t>L1&amp;L4</t>
        </is>
      </c>
      <c r="F167" s="2" t="inlineStr">
        <is>
          <t>L1&amp;L4 Performance Evaluation &amp; Functional Evaluation</t>
        </is>
      </c>
      <c r="G167" s="2" t="inlineStr">
        <is>
          <t>77-82</t>
        </is>
      </c>
      <c r="H167" s="2" t="inlineStr">
        <is>
          <t>6 个样品</t>
        </is>
      </c>
      <c r="I167" s="3" t="n">
        <v>4200</v>
      </c>
      <c r="J167" s="3" t="n">
        <v>4200</v>
      </c>
      <c r="K167" s="3" t="n">
        <v>0</v>
      </c>
      <c r="L167" s="2" t="inlineStr">
        <is>
          <t>OK</t>
        </is>
      </c>
      <c r="M167" s="2" t="inlineStr">
        <is>
          <t>6个 × 700/个 = 4,200</t>
        </is>
      </c>
    </row>
    <row r="168" ht="36" customHeight="1" s="4">
      <c r="A168" s="2" t="inlineStr">
        <is>
          <t>华测</t>
        </is>
      </c>
      <c r="B168" s="2" t="n">
        <v>90</v>
      </c>
      <c r="C168" s="2" t="inlineStr">
        <is>
          <t>PV</t>
        </is>
      </c>
      <c r="D168" s="2" t="inlineStr">
        <is>
          <t>Group A Sequence Tests</t>
        </is>
      </c>
      <c r="E168" s="2" t="inlineStr">
        <is>
          <t>L1&amp;L4</t>
        </is>
      </c>
      <c r="F168" s="2" t="inlineStr">
        <is>
          <t>L1&amp;L4 Performance Evaluation &amp; Functional Evaluation</t>
        </is>
      </c>
      <c r="G168" s="2" t="inlineStr">
        <is>
          <t>1-14</t>
        </is>
      </c>
      <c r="H168" s="2" t="inlineStr">
        <is>
          <t>14 个样品</t>
        </is>
      </c>
      <c r="I168" s="3" t="n">
        <v>9800</v>
      </c>
      <c r="J168" s="3" t="n">
        <v>9800</v>
      </c>
      <c r="K168" s="3" t="n">
        <v>0</v>
      </c>
      <c r="L168" s="2" t="inlineStr">
        <is>
          <t>OK</t>
        </is>
      </c>
      <c r="M168" s="2" t="inlineStr">
        <is>
          <t>14个 × 700/个 = 9,800</t>
        </is>
      </c>
    </row>
    <row r="169" ht="18" customHeight="1" s="4">
      <c r="A169" s="2" t="inlineStr">
        <is>
          <t>华测</t>
        </is>
      </c>
      <c r="B169" s="2" t="n">
        <v>91</v>
      </c>
      <c r="C169" s="2" t="inlineStr">
        <is>
          <t>PV</t>
        </is>
      </c>
      <c r="D169" s="2" t="inlineStr">
        <is>
          <t>Group A Sequence Tests</t>
        </is>
      </c>
      <c r="E169" s="2" t="inlineStr">
        <is>
          <t>Particle</t>
        </is>
      </c>
      <c r="F169" s="2" t="inlineStr">
        <is>
          <t>Particle Exposure</t>
        </is>
      </c>
      <c r="G169" s="2" t="inlineStr">
        <is>
          <t>1-12</t>
        </is>
      </c>
      <c r="H169" s="2" t="n"/>
      <c r="I169" s="3" t="n">
        <v>24000</v>
      </c>
      <c r="J169" s="3" t="n">
        <v>24000</v>
      </c>
      <c r="K169" s="3" t="n">
        <v>0</v>
      </c>
      <c r="L169" s="2" t="inlineStr">
        <is>
          <t>OK</t>
        </is>
      </c>
      <c r="M169" s="2" t="inlineStr">
        <is>
          <t>4批 × 1,500/批 + 粉尘费 6,000 + 清洁费 12,000 = 24,000</t>
        </is>
      </c>
    </row>
    <row r="170" ht="18" customHeight="1" s="4">
      <c r="A170" s="2" t="inlineStr">
        <is>
          <t>华测</t>
        </is>
      </c>
      <c r="B170" s="2" t="n">
        <v>92</v>
      </c>
      <c r="C170" s="2" t="inlineStr">
        <is>
          <t>PV</t>
        </is>
      </c>
      <c r="D170" s="2" t="inlineStr">
        <is>
          <t>Group A Sequence Tests</t>
        </is>
      </c>
      <c r="E170" s="2" t="inlineStr">
        <is>
          <t>K1</t>
        </is>
      </c>
      <c r="F170" s="2" t="inlineStr">
        <is>
          <t>K1 Low Temperature Exposure</t>
        </is>
      </c>
      <c r="G170" s="2" t="inlineStr">
        <is>
          <t>1-12</t>
        </is>
      </c>
      <c r="H170" s="2" t="inlineStr">
        <is>
          <t>24 h</t>
        </is>
      </c>
      <c r="I170" s="3" t="n">
        <v>600</v>
      </c>
      <c r="J170" s="3" t="n">
        <v>600</v>
      </c>
      <c r="K170" s="3" t="n">
        <v>0</v>
      </c>
      <c r="L170" s="2" t="inlineStr">
        <is>
          <t>OK</t>
        </is>
      </c>
      <c r="M170" s="2" t="inlineStr">
        <is>
          <t>24h × 25/h = 600（大环境箱单价）</t>
        </is>
      </c>
    </row>
    <row r="171" ht="18" customHeight="1" s="4">
      <c r="A171" s="2" t="inlineStr">
        <is>
          <t>华测</t>
        </is>
      </c>
      <c r="B171" s="2" t="n">
        <v>93</v>
      </c>
      <c r="C171" s="2" t="inlineStr">
        <is>
          <t>PV</t>
        </is>
      </c>
      <c r="D171" s="2" t="inlineStr">
        <is>
          <t>Group A Sequence Tests</t>
        </is>
      </c>
      <c r="E171" s="2" t="inlineStr">
        <is>
          <t>K2</t>
        </is>
      </c>
      <c r="F171" s="2" t="inlineStr">
        <is>
          <t>K2 High Temperature Exposure</t>
        </is>
      </c>
      <c r="G171" s="2" t="inlineStr">
        <is>
          <t>1-12</t>
        </is>
      </c>
      <c r="H171" s="2" t="inlineStr">
        <is>
          <t>24 h</t>
        </is>
      </c>
      <c r="I171" s="3" t="n">
        <v>600</v>
      </c>
      <c r="J171" s="3" t="n">
        <v>600</v>
      </c>
      <c r="K171" s="3" t="n">
        <v>0</v>
      </c>
      <c r="L171" s="2" t="inlineStr">
        <is>
          <t>OK</t>
        </is>
      </c>
      <c r="M171" s="2" t="inlineStr">
        <is>
          <t>24h × 25/h = 600（大环境箱单价）</t>
        </is>
      </c>
    </row>
    <row r="172" ht="18" customHeight="1" s="4">
      <c r="A172" s="2" t="inlineStr">
        <is>
          <t>华测</t>
        </is>
      </c>
      <c r="B172" s="2" t="n">
        <v>94</v>
      </c>
      <c r="C172" s="2" t="inlineStr">
        <is>
          <t>PV</t>
        </is>
      </c>
      <c r="D172" s="2" t="inlineStr">
        <is>
          <t>Group A Sequence Tests</t>
        </is>
      </c>
      <c r="E172" s="2" t="inlineStr">
        <is>
          <t>K3</t>
        </is>
      </c>
      <c r="F172" s="2" t="inlineStr">
        <is>
          <t>K3 Low Temperature Operation</t>
        </is>
      </c>
      <c r="G172" s="2" t="inlineStr">
        <is>
          <t>1-12</t>
        </is>
      </c>
      <c r="H172" s="2" t="inlineStr">
        <is>
          <t>24 h</t>
        </is>
      </c>
      <c r="I172" s="3" t="n">
        <v>600</v>
      </c>
      <c r="J172" s="3" t="n">
        <v>600</v>
      </c>
      <c r="K172" s="3" t="n">
        <v>0</v>
      </c>
      <c r="L172" s="2" t="inlineStr">
        <is>
          <t>OK</t>
        </is>
      </c>
      <c r="M172" s="2" t="inlineStr">
        <is>
          <t>24h × 25/h = 600（大环境箱单价）</t>
        </is>
      </c>
    </row>
    <row r="173" ht="18" customHeight="1" s="4">
      <c r="A173" s="2" t="inlineStr">
        <is>
          <t>华测</t>
        </is>
      </c>
      <c r="B173" s="2" t="n">
        <v>95</v>
      </c>
      <c r="C173" s="2" t="inlineStr">
        <is>
          <t>PV</t>
        </is>
      </c>
      <c r="D173" s="2" t="inlineStr">
        <is>
          <t>Group A Sequence Tests</t>
        </is>
      </c>
      <c r="E173" s="2" t="inlineStr">
        <is>
          <t>K4</t>
        </is>
      </c>
      <c r="F173" s="2" t="inlineStr">
        <is>
          <t>K4 High Temperature Operation</t>
        </is>
      </c>
      <c r="G173" s="2" t="inlineStr">
        <is>
          <t>1-12</t>
        </is>
      </c>
      <c r="H173" s="2" t="inlineStr">
        <is>
          <t>96 h</t>
        </is>
      </c>
      <c r="I173" s="3" t="n">
        <v>2400</v>
      </c>
      <c r="J173" s="3" t="n">
        <v>2400</v>
      </c>
      <c r="K173" s="3" t="n">
        <v>0</v>
      </c>
      <c r="L173" s="2" t="inlineStr">
        <is>
          <t>OK</t>
        </is>
      </c>
      <c r="M173" s="2" t="inlineStr">
        <is>
          <t>96h × 25/h = 2,400（大环境箱单价）</t>
        </is>
      </c>
    </row>
    <row r="174" ht="18" customHeight="1" s="4">
      <c r="A174" s="2" t="inlineStr">
        <is>
          <t>华测</t>
        </is>
      </c>
      <c r="B174" s="2" t="n">
        <v>96</v>
      </c>
      <c r="C174" s="2" t="inlineStr">
        <is>
          <t>PV</t>
        </is>
      </c>
      <c r="D174" s="2" t="inlineStr">
        <is>
          <t>Group A Sequence Tests</t>
        </is>
      </c>
      <c r="E174" s="2" t="inlineStr">
        <is>
          <t>K5</t>
        </is>
      </c>
      <c r="F174" s="2" t="inlineStr">
        <is>
          <t>K5 Temperature Step Test</t>
        </is>
      </c>
      <c r="G174" s="2" t="inlineStr">
        <is>
          <t>1-12</t>
        </is>
      </c>
      <c r="H174" s="2" t="inlineStr">
        <is>
          <t>1 批</t>
        </is>
      </c>
      <c r="I174" s="3" t="n">
        <v>5000</v>
      </c>
      <c r="J174" s="3" t="n">
        <v>5000</v>
      </c>
      <c r="K174" s="3" t="n">
        <v>0</v>
      </c>
      <c r="L174" s="2" t="inlineStr">
        <is>
          <t>OK</t>
        </is>
      </c>
      <c r="M174" s="2" t="inlineStr">
        <is>
          <t>1批 × 5,000/批 = 5,000</t>
        </is>
      </c>
    </row>
    <row r="175" ht="18" customHeight="1" s="4">
      <c r="A175" s="2" t="inlineStr">
        <is>
          <t>华测</t>
        </is>
      </c>
      <c r="B175" s="2" t="n">
        <v>97</v>
      </c>
      <c r="C175" s="2" t="inlineStr">
        <is>
          <t>PV</t>
        </is>
      </c>
      <c r="D175" s="2" t="inlineStr">
        <is>
          <t>Group A Sequence Tests</t>
        </is>
      </c>
      <c r="E175" s="2" t="inlineStr">
        <is>
          <t>K6</t>
        </is>
      </c>
      <c r="F175" s="2" t="inlineStr">
        <is>
          <t>K6 Power Thermal Cycle</t>
        </is>
      </c>
      <c r="G175" s="2" t="inlineStr">
        <is>
          <t>1-12</t>
        </is>
      </c>
      <c r="H175" s="2" t="inlineStr">
        <is>
          <t>240 h</t>
        </is>
      </c>
      <c r="I175" s="3" t="n">
        <v>6000</v>
      </c>
      <c r="J175" s="3" t="n">
        <v>6000</v>
      </c>
      <c r="K175" s="3" t="n">
        <v>0</v>
      </c>
      <c r="L175" s="2" t="inlineStr">
        <is>
          <t>OK</t>
        </is>
      </c>
      <c r="M175" s="2" t="inlineStr">
        <is>
          <t>240h × 25/h = 6,000（大环境箱单价）</t>
        </is>
      </c>
    </row>
    <row r="176" ht="18" customHeight="1" s="4">
      <c r="A176" s="2" t="inlineStr">
        <is>
          <t>华测</t>
        </is>
      </c>
      <c r="B176" s="2" t="n">
        <v>98</v>
      </c>
      <c r="C176" s="2" t="inlineStr">
        <is>
          <t>PV</t>
        </is>
      </c>
      <c r="D176" s="2" t="inlineStr">
        <is>
          <t>Group A Sequence Tests</t>
        </is>
      </c>
      <c r="E176" s="2" t="inlineStr">
        <is>
          <t>K7</t>
        </is>
      </c>
      <c r="F176" s="2" t="inlineStr">
        <is>
          <t>K7 Thermal Shock in Air</t>
        </is>
      </c>
      <c r="G176" s="2" t="inlineStr">
        <is>
          <t>1-12</t>
        </is>
      </c>
      <c r="H176" s="2" t="inlineStr">
        <is>
          <t>105 h</t>
        </is>
      </c>
      <c r="I176" s="3" t="n">
        <v>7350</v>
      </c>
      <c r="J176" s="3" t="n">
        <v>7350</v>
      </c>
      <c r="K176" s="3" t="n">
        <v>0</v>
      </c>
      <c r="L176" s="2" t="inlineStr">
        <is>
          <t>OK</t>
        </is>
      </c>
      <c r="M176" s="2" t="inlineStr">
        <is>
          <t>105h × 70/h = 7,350</t>
        </is>
      </c>
    </row>
    <row r="177" ht="18" customHeight="1" s="4">
      <c r="A177" s="2" t="inlineStr">
        <is>
          <t>华测</t>
        </is>
      </c>
      <c r="B177" s="2" t="n">
        <v>99</v>
      </c>
      <c r="C177" s="2" t="inlineStr">
        <is>
          <t>PV</t>
        </is>
      </c>
      <c r="D177" s="2" t="inlineStr">
        <is>
          <t>Group A Sequence Tests</t>
        </is>
      </c>
      <c r="E177" s="2" t="inlineStr">
        <is>
          <t>K15</t>
        </is>
      </c>
      <c r="F177" s="2" t="inlineStr">
        <is>
          <t>K15 Vibration</t>
        </is>
      </c>
      <c r="G177" s="2" t="inlineStr">
        <is>
          <t>1-12</t>
        </is>
      </c>
      <c r="H177" s="2" t="inlineStr">
        <is>
          <t>48 h</t>
        </is>
      </c>
      <c r="I177" s="3" t="n">
        <v>19200</v>
      </c>
      <c r="J177" s="3" t="n">
        <v>19200</v>
      </c>
      <c r="K177" s="3" t="n">
        <v>0</v>
      </c>
      <c r="L177" s="2" t="inlineStr">
        <is>
          <t>OK</t>
        </is>
      </c>
      <c r="M177" s="2" t="inlineStr">
        <is>
          <t>48h × 400/h = 19,200</t>
        </is>
      </c>
    </row>
    <row r="178" ht="36" customHeight="1" s="4">
      <c r="A178" s="2" t="inlineStr">
        <is>
          <t>华测</t>
        </is>
      </c>
      <c r="B178" s="2" t="n">
        <v>100</v>
      </c>
      <c r="C178" s="2" t="inlineStr">
        <is>
          <t>PV</t>
        </is>
      </c>
      <c r="D178" s="2" t="inlineStr">
        <is>
          <t>Group A Sequence Tests</t>
        </is>
      </c>
      <c r="E178" s="2" t="inlineStr">
        <is>
          <t>K16.1</t>
        </is>
      </c>
      <c r="F178" s="2" t="inlineStr">
        <is>
          <t>K16.1 Mechanical Shock Package Drop</t>
        </is>
      </c>
      <c r="G178" s="2" t="inlineStr">
        <is>
          <t>1-14</t>
        </is>
      </c>
      <c r="H178" s="2" t="inlineStr">
        <is>
          <t>14 个样品</t>
        </is>
      </c>
      <c r="I178" s="3" t="n">
        <v>1680</v>
      </c>
      <c r="J178" s="3" t="n">
        <v>1680</v>
      </c>
      <c r="K178" s="3" t="n">
        <v>0</v>
      </c>
      <c r="L178" s="2" t="inlineStr">
        <is>
          <t>OK</t>
        </is>
      </c>
      <c r="M178" s="2" t="inlineStr">
        <is>
          <t>14个 × 120/个 = 1,680</t>
        </is>
      </c>
    </row>
    <row r="179" ht="18" customHeight="1" s="4">
      <c r="A179" s="2" t="inlineStr">
        <is>
          <t>华测</t>
        </is>
      </c>
      <c r="B179" s="2" t="n">
        <v>101</v>
      </c>
      <c r="C179" s="2" t="inlineStr">
        <is>
          <t>PV</t>
        </is>
      </c>
      <c r="D179" s="2" t="inlineStr">
        <is>
          <t>Group A Sequence Tests</t>
        </is>
      </c>
      <c r="E179" s="2" t="inlineStr">
        <is>
          <t>K16.4</t>
        </is>
      </c>
      <c r="F179" s="2" t="inlineStr">
        <is>
          <t>K16.4 Mechanical Shock Low</t>
        </is>
      </c>
      <c r="G179" s="2" t="inlineStr">
        <is>
          <t>1-12</t>
        </is>
      </c>
      <c r="H179" s="2" t="inlineStr">
        <is>
          <t>12 个样品</t>
        </is>
      </c>
      <c r="I179" s="3" t="n">
        <v>2004</v>
      </c>
      <c r="J179" s="3" t="n">
        <v>2004</v>
      </c>
      <c r="K179" s="3" t="n">
        <v>0</v>
      </c>
      <c r="L179" s="2" t="inlineStr">
        <is>
          <t>OK</t>
        </is>
      </c>
      <c r="M179" s="2" t="inlineStr">
        <is>
          <t>12个 × 167/个 = 2,004</t>
        </is>
      </c>
    </row>
    <row r="180" ht="18" customHeight="1" s="4">
      <c r="A180" s="2" t="inlineStr">
        <is>
          <t>华测</t>
        </is>
      </c>
      <c r="B180" s="2" t="n">
        <v>102</v>
      </c>
      <c r="C180" s="2" t="inlineStr">
        <is>
          <t>PV</t>
        </is>
      </c>
      <c r="D180" s="2" t="inlineStr">
        <is>
          <t>Group A Sequence Tests</t>
        </is>
      </c>
      <c r="E180" s="2" t="inlineStr">
        <is>
          <t>K17</t>
        </is>
      </c>
      <c r="F180" s="2" t="inlineStr">
        <is>
          <t>K17 Audible Noise</t>
        </is>
      </c>
      <c r="G180" s="2" t="inlineStr">
        <is>
          <t>1-12</t>
        </is>
      </c>
      <c r="H180" s="2" t="inlineStr">
        <is>
          <t>12 个样品</t>
        </is>
      </c>
      <c r="I180" s="3" t="n">
        <v>120000</v>
      </c>
      <c r="J180" s="3" t="n">
        <v>120000</v>
      </c>
      <c r="K180" s="3" t="n">
        <v>0</v>
      </c>
      <c r="L180" s="2" t="inlineStr">
        <is>
          <t>OK</t>
        </is>
      </c>
      <c r="M180" s="2" t="inlineStr">
        <is>
          <t>12个 × 10,000/个 = 120,000</t>
        </is>
      </c>
    </row>
    <row r="181" ht="18" customHeight="1" s="4">
      <c r="A181" s="2" t="inlineStr">
        <is>
          <t>华测</t>
        </is>
      </c>
      <c r="B181" s="2" t="n">
        <v>103</v>
      </c>
      <c r="C181" s="2" t="inlineStr">
        <is>
          <t>PV</t>
        </is>
      </c>
      <c r="D181" s="2" t="inlineStr">
        <is>
          <t>Group A Sequence Tests</t>
        </is>
      </c>
      <c r="E181" s="2" t="inlineStr">
        <is>
          <t>K9</t>
        </is>
      </c>
      <c r="F181" s="2" t="inlineStr">
        <is>
          <t>K9 Temperature/Humidity Cycle</t>
        </is>
      </c>
      <c r="G181" s="2" t="inlineStr">
        <is>
          <t>1-12</t>
        </is>
      </c>
      <c r="H181" s="2" t="inlineStr">
        <is>
          <t>264 h</t>
        </is>
      </c>
      <c r="I181" s="3" t="n">
        <v>6600</v>
      </c>
      <c r="J181" s="3" t="n">
        <v>6600</v>
      </c>
      <c r="K181" s="3" t="n">
        <v>0</v>
      </c>
      <c r="L181" s="2" t="inlineStr">
        <is>
          <t>OK</t>
        </is>
      </c>
      <c r="M181" s="2" t="inlineStr">
        <is>
          <t>264h × 25/h = 6,600（大环境箱单价）</t>
        </is>
      </c>
    </row>
    <row r="182" ht="18" customHeight="1" s="4">
      <c r="A182" s="2" t="inlineStr">
        <is>
          <t>华测</t>
        </is>
      </c>
      <c r="B182" s="2" t="n">
        <v>104</v>
      </c>
      <c r="C182" s="2" t="inlineStr">
        <is>
          <t>PV</t>
        </is>
      </c>
      <c r="D182" s="2" t="inlineStr">
        <is>
          <t>Group A Sequence Tests</t>
        </is>
      </c>
      <c r="E182" s="2" t="inlineStr">
        <is>
          <t>K10</t>
        </is>
      </c>
      <c r="F182" s="2" t="inlineStr">
        <is>
          <t>K10 Water/Fluid Ingress Test</t>
        </is>
      </c>
      <c r="G182" s="2" t="inlineStr">
        <is>
          <t>1-12</t>
        </is>
      </c>
      <c r="H182" s="2" t="inlineStr">
        <is>
          <t>12 个样品</t>
        </is>
      </c>
      <c r="I182" s="3" t="n">
        <v>6000</v>
      </c>
      <c r="J182" s="3" t="n">
        <v>6000</v>
      </c>
      <c r="K182" s="3" t="n">
        <v>0</v>
      </c>
      <c r="L182" s="2" t="inlineStr">
        <is>
          <t>OK</t>
        </is>
      </c>
      <c r="M182" s="2" t="inlineStr">
        <is>
          <t>12个 × 500/个 = 6,000</t>
        </is>
      </c>
    </row>
    <row r="183" ht="18" customHeight="1" s="4">
      <c r="A183" s="2" t="inlineStr">
        <is>
          <t>华测</t>
        </is>
      </c>
      <c r="B183" s="2" t="n">
        <v>105</v>
      </c>
      <c r="C183" s="2" t="inlineStr">
        <is>
          <t>PV</t>
        </is>
      </c>
      <c r="D183" s="2" t="inlineStr">
        <is>
          <t>Group A Sequence Tests</t>
        </is>
      </c>
      <c r="E183" s="2" t="inlineStr">
        <is>
          <t>K13</t>
        </is>
      </c>
      <c r="F183" s="2" t="inlineStr">
        <is>
          <t>K13 Dust Ingress</t>
        </is>
      </c>
      <c r="G183" s="2" t="inlineStr">
        <is>
          <t>1-12</t>
        </is>
      </c>
      <c r="H183" s="2" t="inlineStr">
        <is>
          <t>4 批</t>
        </is>
      </c>
      <c r="I183" s="3" t="n">
        <v>6000</v>
      </c>
      <c r="J183" s="3" t="n">
        <v>6000</v>
      </c>
      <c r="K183" s="3" t="n">
        <v>0</v>
      </c>
      <c r="L183" s="2" t="inlineStr">
        <is>
          <t>OK</t>
        </is>
      </c>
      <c r="M183" s="2" t="inlineStr">
        <is>
          <t>4批 × 1,500/批 = 6,000</t>
        </is>
      </c>
    </row>
    <row r="184" ht="36" customHeight="1" s="4">
      <c r="A184" s="2" t="inlineStr">
        <is>
          <t>华测</t>
        </is>
      </c>
      <c r="B184" s="2" t="n">
        <v>106</v>
      </c>
      <c r="C184" s="2" t="inlineStr">
        <is>
          <t>PV</t>
        </is>
      </c>
      <c r="D184" s="2" t="inlineStr">
        <is>
          <t>Group A Sequence Tests</t>
        </is>
      </c>
      <c r="E184" s="2" t="inlineStr">
        <is>
          <t>L1&amp;L4</t>
        </is>
      </c>
      <c r="F184" s="2" t="inlineStr">
        <is>
          <t>L1&amp;L4 Performance Evaluation &amp; Functional Evaluation</t>
        </is>
      </c>
      <c r="G184" s="2" t="inlineStr">
        <is>
          <t>1-14</t>
        </is>
      </c>
      <c r="H184" s="2" t="inlineStr">
        <is>
          <t>14 个样品</t>
        </is>
      </c>
      <c r="I184" s="3" t="n">
        <v>9800</v>
      </c>
      <c r="J184" s="3" t="n">
        <v>9800</v>
      </c>
      <c r="K184" s="3" t="n">
        <v>0</v>
      </c>
      <c r="L184" s="2" t="inlineStr">
        <is>
          <t>OK</t>
        </is>
      </c>
      <c r="M184" s="2" t="inlineStr">
        <is>
          <t>14个 × 700/个 = 9,800</t>
        </is>
      </c>
    </row>
    <row r="185" ht="36" customHeight="1" s="4">
      <c r="A185" s="2" t="inlineStr">
        <is>
          <t>华测</t>
        </is>
      </c>
      <c r="B185" s="2" t="n">
        <v>109</v>
      </c>
      <c r="C185" s="2" t="inlineStr">
        <is>
          <t>PV</t>
        </is>
      </c>
      <c r="D185" s="2" t="inlineStr">
        <is>
          <t>Group B Sequence Tests</t>
        </is>
      </c>
      <c r="E185" s="2" t="inlineStr">
        <is>
          <t>L1&amp;L4</t>
        </is>
      </c>
      <c r="F185" s="2" t="inlineStr">
        <is>
          <t>L1&amp;L4 Performance Evaluation &amp; Functional Evaluation</t>
        </is>
      </c>
      <c r="G185" s="2" t="inlineStr">
        <is>
          <t>15-26</t>
        </is>
      </c>
      <c r="H185" s="2" t="inlineStr">
        <is>
          <t>12 个样品</t>
        </is>
      </c>
      <c r="I185" s="3" t="n">
        <v>8400</v>
      </c>
      <c r="J185" s="3" t="n">
        <v>8400</v>
      </c>
      <c r="K185" s="3" t="n">
        <v>0</v>
      </c>
      <c r="L185" s="2" t="inlineStr">
        <is>
          <t>OK</t>
        </is>
      </c>
      <c r="M185" s="2" t="inlineStr">
        <is>
          <t>12个 × 700/个 = 8,400</t>
        </is>
      </c>
    </row>
    <row r="186" ht="18" customHeight="1" s="4">
      <c r="A186" s="2" t="inlineStr">
        <is>
          <t>华测</t>
        </is>
      </c>
      <c r="B186" s="2" t="n">
        <v>110</v>
      </c>
      <c r="C186" s="2" t="inlineStr">
        <is>
          <t>PV</t>
        </is>
      </c>
      <c r="D186" s="2" t="inlineStr">
        <is>
          <t>Group B Sequence Tests</t>
        </is>
      </c>
      <c r="E186" s="2" t="inlineStr">
        <is>
          <t>K22</t>
        </is>
      </c>
      <c r="F186" s="2" t="inlineStr">
        <is>
          <t>K22 Chemical Resistance</t>
        </is>
      </c>
      <c r="G186" s="2" t="inlineStr">
        <is>
          <t>15-26</t>
        </is>
      </c>
      <c r="H186" s="2" t="inlineStr">
        <is>
          <t>72 h</t>
        </is>
      </c>
      <c r="I186" s="3" t="n">
        <v>12300</v>
      </c>
      <c r="J186" s="3" t="n">
        <v>12300</v>
      </c>
      <c r="K186" s="3" t="n">
        <v>0</v>
      </c>
      <c r="L186" s="2" t="inlineStr">
        <is>
          <t>OK</t>
        </is>
      </c>
      <c r="M186" s="2" t="inlineStr">
        <is>
          <t>特殊组合计费，按规则表总价 = 12,300</t>
        </is>
      </c>
    </row>
    <row r="187" ht="36" customHeight="1" s="4">
      <c r="A187" s="2" t="inlineStr">
        <is>
          <t>华测</t>
        </is>
      </c>
      <c r="B187" s="2" t="n">
        <v>111</v>
      </c>
      <c r="C187" s="2" t="inlineStr">
        <is>
          <t>PV</t>
        </is>
      </c>
      <c r="D187" s="2" t="inlineStr">
        <is>
          <t>Group B Sequence Tests</t>
        </is>
      </c>
      <c r="E187" s="2" t="inlineStr">
        <is>
          <t>K18</t>
        </is>
      </c>
      <c r="F187" s="2" t="inlineStr">
        <is>
          <t>K18 Connector and lead/lock strength</t>
        </is>
      </c>
      <c r="G187" s="2" t="inlineStr">
        <is>
          <t>15-26</t>
        </is>
      </c>
      <c r="H187" s="2" t="inlineStr">
        <is>
          <t>12 个样品</t>
        </is>
      </c>
      <c r="I187" s="3" t="n">
        <v>27500</v>
      </c>
      <c r="J187" s="3" t="n">
        <v>27500</v>
      </c>
      <c r="K187" s="3" t="n">
        <v>0</v>
      </c>
      <c r="L187" s="2" t="inlineStr">
        <is>
          <t>OK</t>
        </is>
      </c>
      <c r="M187" s="2" t="inlineStr">
        <is>
          <t>特殊组合计费，按规则表总价 = 27,500</t>
        </is>
      </c>
    </row>
    <row r="188" ht="36" customHeight="1" s="4">
      <c r="A188" s="2" t="inlineStr">
        <is>
          <t>华测</t>
        </is>
      </c>
      <c r="B188" s="2" t="n">
        <v>112</v>
      </c>
      <c r="C188" s="2" t="inlineStr">
        <is>
          <t>PV</t>
        </is>
      </c>
      <c r="D188" s="2" t="inlineStr">
        <is>
          <t>Group B Sequence Tests</t>
        </is>
      </c>
      <c r="E188" s="2" t="inlineStr">
        <is>
          <t>L1&amp;L4</t>
        </is>
      </c>
      <c r="F188" s="2" t="inlineStr">
        <is>
          <t>L1&amp;L4 Performance Evaluation &amp; Functional Evaluation</t>
        </is>
      </c>
      <c r="G188" s="2" t="inlineStr">
        <is>
          <t>15-26</t>
        </is>
      </c>
      <c r="H188" s="2" t="inlineStr">
        <is>
          <t>12 个样品</t>
        </is>
      </c>
      <c r="I188" s="3" t="n">
        <v>8400</v>
      </c>
      <c r="J188" s="3" t="n">
        <v>8400</v>
      </c>
      <c r="K188" s="3" t="n">
        <v>0</v>
      </c>
      <c r="L188" s="2" t="inlineStr">
        <is>
          <t>OK</t>
        </is>
      </c>
      <c r="M188" s="2" t="inlineStr">
        <is>
          <t>12个 × 700/个 = 8,400</t>
        </is>
      </c>
    </row>
    <row r="189" ht="36" customHeight="1" s="4">
      <c r="A189" s="2" t="inlineStr">
        <is>
          <t>华测</t>
        </is>
      </c>
      <c r="B189" s="2" t="n">
        <v>115</v>
      </c>
      <c r="C189" s="2" t="inlineStr">
        <is>
          <t>PV</t>
        </is>
      </c>
      <c r="D189" s="2" t="inlineStr">
        <is>
          <t>Group C Sequence Tests</t>
        </is>
      </c>
      <c r="E189" s="2" t="inlineStr">
        <is>
          <t>L1&amp;L4</t>
        </is>
      </c>
      <c r="F189" s="2" t="inlineStr">
        <is>
          <t>L1&amp;L4 Performance Evaluation &amp; Functional Evaluation</t>
        </is>
      </c>
      <c r="G189" s="2" t="inlineStr">
        <is>
          <t>27-32</t>
        </is>
      </c>
      <c r="H189" s="2" t="inlineStr">
        <is>
          <t>6 个样品</t>
        </is>
      </c>
      <c r="I189" s="3" t="n">
        <v>4200</v>
      </c>
      <c r="J189" s="3" t="n">
        <v>4200</v>
      </c>
      <c r="K189" s="3" t="n">
        <v>0</v>
      </c>
      <c r="L189" s="2" t="inlineStr">
        <is>
          <t>OK</t>
        </is>
      </c>
      <c r="M189" s="2" t="inlineStr">
        <is>
          <t>6个 × 700/个 = 4,200</t>
        </is>
      </c>
    </row>
    <row r="190" ht="18" customHeight="1" s="4">
      <c r="A190" s="2" t="inlineStr">
        <is>
          <t>华测</t>
        </is>
      </c>
      <c r="B190" s="2" t="n">
        <v>116</v>
      </c>
      <c r="C190" s="2" t="inlineStr">
        <is>
          <t>PV</t>
        </is>
      </c>
      <c r="D190" s="2" t="inlineStr">
        <is>
          <t>Group C Sequence Tests</t>
        </is>
      </c>
      <c r="E190" s="2" t="inlineStr">
        <is>
          <t>K7</t>
        </is>
      </c>
      <c r="F190" s="2" t="inlineStr">
        <is>
          <t>K7 Thermal Shock in Air</t>
        </is>
      </c>
      <c r="G190" s="2" t="inlineStr">
        <is>
          <t>27-32</t>
        </is>
      </c>
      <c r="H190" s="2" t="inlineStr">
        <is>
          <t>105 h</t>
        </is>
      </c>
      <c r="I190" s="3" t="n">
        <v>7350</v>
      </c>
      <c r="J190" s="3" t="n">
        <v>7350</v>
      </c>
      <c r="K190" s="3" t="n">
        <v>0</v>
      </c>
      <c r="L190" s="2" t="inlineStr">
        <is>
          <t>OK</t>
        </is>
      </c>
      <c r="M190" s="2" t="inlineStr">
        <is>
          <t>105h × 70/h = 7,350</t>
        </is>
      </c>
    </row>
    <row r="191" ht="36" customHeight="1" s="4">
      <c r="A191" s="2" t="inlineStr">
        <is>
          <t>华测</t>
        </is>
      </c>
      <c r="B191" s="2" t="n">
        <v>117</v>
      </c>
      <c r="C191" s="2" t="inlineStr">
        <is>
          <t>PV</t>
        </is>
      </c>
      <c r="D191" s="2" t="inlineStr">
        <is>
          <t>Group C Sequence Tests</t>
        </is>
      </c>
      <c r="E191" s="2" t="inlineStr">
        <is>
          <t>Particle</t>
        </is>
      </c>
      <c r="F191" s="2" t="inlineStr">
        <is>
          <t>Particle Exposure</t>
        </is>
      </c>
      <c r="G191" s="2" t="inlineStr">
        <is>
          <t>27-32</t>
        </is>
      </c>
      <c r="H191" s="2" t="n"/>
      <c r="I191" s="3" t="n">
        <v>3000</v>
      </c>
      <c r="J191" s="3" t="n">
        <v>3000</v>
      </c>
      <c r="K191" s="3" t="n">
        <v>0</v>
      </c>
      <c r="L191" s="2" t="inlineStr">
        <is>
          <t>OK</t>
        </is>
      </c>
      <c r="M191" s="2" t="inlineStr">
        <is>
          <t>A组已计入粉尘费/清洁费，当前仅计批次费：2批 × 1,500/批 = 3,000</t>
        </is>
      </c>
    </row>
    <row r="192" ht="18" customHeight="1" s="4">
      <c r="A192" s="2" t="inlineStr">
        <is>
          <t>华测</t>
        </is>
      </c>
      <c r="B192" s="2" t="n">
        <v>118</v>
      </c>
      <c r="C192" s="2" t="inlineStr">
        <is>
          <t>PV</t>
        </is>
      </c>
      <c r="D192" s="2" t="inlineStr">
        <is>
          <t>Group C Sequence Tests</t>
        </is>
      </c>
      <c r="E192" s="2" t="inlineStr">
        <is>
          <t>K15</t>
        </is>
      </c>
      <c r="F192" s="2" t="inlineStr">
        <is>
          <t>K15 Vibartion</t>
        </is>
      </c>
      <c r="G192" s="2" t="inlineStr">
        <is>
          <t>27-32</t>
        </is>
      </c>
      <c r="H192" s="2" t="inlineStr">
        <is>
          <t>24 h</t>
        </is>
      </c>
      <c r="I192" s="3" t="n">
        <v>9600</v>
      </c>
      <c r="J192" s="3" t="n">
        <v>9600</v>
      </c>
      <c r="K192" s="3" t="n">
        <v>0</v>
      </c>
      <c r="L192" s="2" t="inlineStr">
        <is>
          <t>OK</t>
        </is>
      </c>
      <c r="M192" s="2" t="inlineStr">
        <is>
          <t>24h × 400/h = 9,600</t>
        </is>
      </c>
    </row>
    <row r="193" ht="18" customHeight="1" s="4">
      <c r="A193" s="2" t="inlineStr">
        <is>
          <t>华测</t>
        </is>
      </c>
      <c r="B193" s="2" t="n">
        <v>119</v>
      </c>
      <c r="C193" s="2" t="inlineStr">
        <is>
          <t>PV</t>
        </is>
      </c>
      <c r="D193" s="2" t="inlineStr">
        <is>
          <t>Group C Sequence Tests</t>
        </is>
      </c>
      <c r="E193" s="2" t="inlineStr">
        <is>
          <t>K13</t>
        </is>
      </c>
      <c r="F193" s="2" t="inlineStr">
        <is>
          <t>K13 Dust Ingress</t>
        </is>
      </c>
      <c r="G193" s="2" t="inlineStr">
        <is>
          <t>27-32</t>
        </is>
      </c>
      <c r="H193" s="2" t="inlineStr">
        <is>
          <t>2 批</t>
        </is>
      </c>
      <c r="I193" s="3" t="n">
        <v>3000</v>
      </c>
      <c r="J193" s="3" t="n">
        <v>3000</v>
      </c>
      <c r="K193" s="3" t="n">
        <v>0</v>
      </c>
      <c r="L193" s="2" t="inlineStr">
        <is>
          <t>OK</t>
        </is>
      </c>
      <c r="M193" s="2" t="inlineStr">
        <is>
          <t>2批 × 1,500/批 = 3,000</t>
        </is>
      </c>
    </row>
    <row r="194" ht="18" customHeight="1" s="4">
      <c r="A194" s="2" t="inlineStr">
        <is>
          <t>华测</t>
        </is>
      </c>
      <c r="B194" s="2" t="n">
        <v>120</v>
      </c>
      <c r="C194" s="2" t="inlineStr">
        <is>
          <t>PV</t>
        </is>
      </c>
      <c r="D194" s="2" t="inlineStr">
        <is>
          <t>Group C Sequence Tests</t>
        </is>
      </c>
      <c r="E194" s="2" t="inlineStr">
        <is>
          <t>K26</t>
        </is>
      </c>
      <c r="F194" s="2" t="inlineStr">
        <is>
          <t>K26 Mechanical Wear-Out</t>
        </is>
      </c>
      <c r="G194" s="2" t="inlineStr">
        <is>
          <t>27-32</t>
        </is>
      </c>
      <c r="H194" s="2" t="inlineStr">
        <is>
          <t>500 h</t>
        </is>
      </c>
      <c r="I194" s="3" t="n">
        <v>6488</v>
      </c>
      <c r="J194" s="3" t="n">
        <v>6488</v>
      </c>
      <c r="K194" s="3" t="n">
        <v>0</v>
      </c>
      <c r="L194" s="2" t="inlineStr">
        <is>
          <t>OK</t>
        </is>
      </c>
      <c r="M194" s="2" t="inlineStr">
        <is>
          <t>特殊组合计费，按规则表总价 = 6,488</t>
        </is>
      </c>
    </row>
    <row r="195" ht="36" customHeight="1" s="4">
      <c r="A195" s="2" t="inlineStr">
        <is>
          <t>华测</t>
        </is>
      </c>
      <c r="B195" s="2" t="n">
        <v>121</v>
      </c>
      <c r="C195" s="2" t="inlineStr">
        <is>
          <t>PV</t>
        </is>
      </c>
      <c r="D195" s="2" t="inlineStr">
        <is>
          <t>Group C Sequence Tests</t>
        </is>
      </c>
      <c r="E195" s="2" t="inlineStr">
        <is>
          <t>L1&amp;L4</t>
        </is>
      </c>
      <c r="F195" s="2" t="inlineStr">
        <is>
          <t>L1&amp;L4 Performance Evaluation &amp; Functional Evaluation</t>
        </is>
      </c>
      <c r="G195" s="2" t="inlineStr">
        <is>
          <t>27-32</t>
        </is>
      </c>
      <c r="H195" s="2" t="inlineStr">
        <is>
          <t>6 个样品</t>
        </is>
      </c>
      <c r="I195" s="3" t="n">
        <v>4200</v>
      </c>
      <c r="J195" s="3" t="n">
        <v>4200</v>
      </c>
      <c r="K195" s="3" t="n">
        <v>0</v>
      </c>
      <c r="L195" s="2" t="inlineStr">
        <is>
          <t>OK</t>
        </is>
      </c>
      <c r="M195" s="2" t="inlineStr">
        <is>
          <t>6个 × 700/个 = 4,200</t>
        </is>
      </c>
    </row>
    <row r="196" ht="36" customHeight="1" s="4">
      <c r="A196" s="2" t="inlineStr">
        <is>
          <t>华测</t>
        </is>
      </c>
      <c r="B196" s="2" t="n">
        <v>124</v>
      </c>
      <c r="C196" s="2" t="inlineStr">
        <is>
          <t>PV</t>
        </is>
      </c>
      <c r="D196" s="2" t="inlineStr">
        <is>
          <t>Group D Parallel Tests / D-1 Corrosive Gases</t>
        </is>
      </c>
      <c r="E196" s="2" t="inlineStr">
        <is>
          <t>L1&amp;L4</t>
        </is>
      </c>
      <c r="F196" s="2" t="inlineStr">
        <is>
          <t>L1&amp;L4 Performance Evaluation &amp; Functional Evaluation</t>
        </is>
      </c>
      <c r="G196" s="2" t="inlineStr">
        <is>
          <t>33-38</t>
        </is>
      </c>
      <c r="H196" s="2" t="inlineStr">
        <is>
          <t>6 个样品</t>
        </is>
      </c>
      <c r="I196" s="3" t="n">
        <v>4200</v>
      </c>
      <c r="J196" s="3" t="n">
        <v>4200</v>
      </c>
      <c r="K196" s="3" t="n">
        <v>0</v>
      </c>
      <c r="L196" s="2" t="inlineStr">
        <is>
          <t>OK</t>
        </is>
      </c>
      <c r="M196" s="2" t="inlineStr">
        <is>
          <t>6个 × 700/个 = 4,200</t>
        </is>
      </c>
    </row>
    <row r="197" ht="36" customHeight="1" s="4">
      <c r="A197" s="2" t="inlineStr">
        <is>
          <t>华测</t>
        </is>
      </c>
      <c r="B197" s="2" t="n">
        <v>125</v>
      </c>
      <c r="C197" s="2" t="inlineStr">
        <is>
          <t>PV</t>
        </is>
      </c>
      <c r="D197" s="2" t="inlineStr">
        <is>
          <t>Group D Parallel Tests / D-1 Corrosive Gases</t>
        </is>
      </c>
      <c r="E197" s="2" t="inlineStr">
        <is>
          <t>K21</t>
        </is>
      </c>
      <c r="F197" s="2" t="inlineStr">
        <is>
          <t>K21 Corrosive Gases</t>
        </is>
      </c>
      <c r="G197" s="2" t="inlineStr">
        <is>
          <t>33-38</t>
        </is>
      </c>
      <c r="H197" s="2" t="inlineStr">
        <is>
          <t>336 h</t>
        </is>
      </c>
      <c r="I197" s="3" t="n">
        <v>40320</v>
      </c>
      <c r="J197" s="3" t="n">
        <v>40320</v>
      </c>
      <c r="K197" s="3" t="n">
        <v>0</v>
      </c>
      <c r="L197" s="2" t="inlineStr">
        <is>
          <t>OK</t>
        </is>
      </c>
      <c r="M197" s="2" t="inlineStr">
        <is>
          <t>336h × 120/h = 40,320</t>
        </is>
      </c>
    </row>
    <row r="198" ht="36" customHeight="1" s="4">
      <c r="A198" s="2" t="inlineStr">
        <is>
          <t>华测</t>
        </is>
      </c>
      <c r="B198" s="2" t="n">
        <v>126</v>
      </c>
      <c r="C198" s="2" t="inlineStr">
        <is>
          <t>PV</t>
        </is>
      </c>
      <c r="D198" s="2" t="inlineStr">
        <is>
          <t>Group D Parallel Tests / D-1 Corrosive Gases</t>
        </is>
      </c>
      <c r="E198" s="2" t="inlineStr">
        <is>
          <t>L1&amp;L4</t>
        </is>
      </c>
      <c r="F198" s="2" t="inlineStr">
        <is>
          <t>L1&amp;L4 Performance Evaluation &amp; Functional Evaluation</t>
        </is>
      </c>
      <c r="G198" s="2" t="inlineStr">
        <is>
          <t>33-38</t>
        </is>
      </c>
      <c r="H198" s="2" t="inlineStr">
        <is>
          <t>6 个样品</t>
        </is>
      </c>
      <c r="I198" s="3" t="n">
        <v>4200</v>
      </c>
      <c r="J198" s="3" t="n">
        <v>4200</v>
      </c>
      <c r="K198" s="3" t="n">
        <v>0</v>
      </c>
      <c r="L198" s="2" t="inlineStr">
        <is>
          <t>OK</t>
        </is>
      </c>
      <c r="M198" s="2" t="inlineStr">
        <is>
          <t>6个 × 700/个 = 4,200</t>
        </is>
      </c>
    </row>
    <row r="199" ht="36" customHeight="1" s="4">
      <c r="A199" s="2" t="inlineStr">
        <is>
          <t>华测</t>
        </is>
      </c>
      <c r="B199" s="2" t="n">
        <v>129</v>
      </c>
      <c r="C199" s="2" t="inlineStr">
        <is>
          <t>PV</t>
        </is>
      </c>
      <c r="D199" s="2" t="inlineStr">
        <is>
          <t>Group D Parallel Tests / D-2 Solar Radiation</t>
        </is>
      </c>
      <c r="E199" s="2" t="inlineStr">
        <is>
          <t>L1&amp;L4</t>
        </is>
      </c>
      <c r="F199" s="2" t="inlineStr">
        <is>
          <t>L1&amp;L4 Performance Evaluation &amp; Functional Evaluation</t>
        </is>
      </c>
      <c r="G199" s="2" t="inlineStr">
        <is>
          <t>39-44</t>
        </is>
      </c>
      <c r="H199" s="2" t="inlineStr">
        <is>
          <t>6 个样品</t>
        </is>
      </c>
      <c r="I199" s="3" t="n">
        <v>4200</v>
      </c>
      <c r="J199" s="3" t="n">
        <v>4200</v>
      </c>
      <c r="K199" s="3" t="n">
        <v>0</v>
      </c>
      <c r="L199" s="2" t="inlineStr">
        <is>
          <t>OK</t>
        </is>
      </c>
      <c r="M199" s="2" t="inlineStr">
        <is>
          <t>6个 × 700/个 = 4,200</t>
        </is>
      </c>
    </row>
    <row r="200" ht="36" customHeight="1" s="4">
      <c r="A200" s="2" t="inlineStr">
        <is>
          <t>华测</t>
        </is>
      </c>
      <c r="B200" s="2" t="n">
        <v>130</v>
      </c>
      <c r="C200" s="2" t="inlineStr">
        <is>
          <t>PV</t>
        </is>
      </c>
      <c r="D200" s="2" t="inlineStr">
        <is>
          <t>Group D Parallel Tests / D-2 Solar Radiation</t>
        </is>
      </c>
      <c r="E200" s="2" t="inlineStr">
        <is>
          <t>K20</t>
        </is>
      </c>
      <c r="F200" s="2" t="inlineStr">
        <is>
          <t>K20 Solar Radiation</t>
        </is>
      </c>
      <c r="G200" s="2" t="inlineStr">
        <is>
          <t>39-44</t>
        </is>
      </c>
      <c r="H200" s="2" t="inlineStr">
        <is>
          <t>720 h</t>
        </is>
      </c>
      <c r="I200" s="3" t="n">
        <v>288000</v>
      </c>
      <c r="J200" s="3" t="n">
        <v>288000</v>
      </c>
      <c r="K200" s="3" t="n">
        <v>0</v>
      </c>
      <c r="L200" s="2" t="inlineStr">
        <is>
          <t>OK</t>
        </is>
      </c>
      <c r="M200" s="2" t="inlineStr">
        <is>
          <t>720h × 400/h = 288,000</t>
        </is>
      </c>
    </row>
    <row r="201" ht="36" customHeight="1" s="4">
      <c r="A201" s="2" t="inlineStr">
        <is>
          <t>华测</t>
        </is>
      </c>
      <c r="B201" s="2" t="n">
        <v>131</v>
      </c>
      <c r="C201" s="2" t="inlineStr">
        <is>
          <t>PV</t>
        </is>
      </c>
      <c r="D201" s="2" t="inlineStr">
        <is>
          <t>Group D Parallel Tests / D-2 Solar Radiation</t>
        </is>
      </c>
      <c r="E201" s="2" t="inlineStr">
        <is>
          <t>L1&amp;L4</t>
        </is>
      </c>
      <c r="F201" s="2" t="inlineStr">
        <is>
          <t>L1&amp;L4 Performance Evaluation &amp; Functional Evaluation</t>
        </is>
      </c>
      <c r="G201" s="2" t="inlineStr">
        <is>
          <t>39-44</t>
        </is>
      </c>
      <c r="H201" s="2" t="inlineStr">
        <is>
          <t>6 个样品</t>
        </is>
      </c>
      <c r="I201" s="3" t="n">
        <v>4200</v>
      </c>
      <c r="J201" s="3" t="n">
        <v>4200</v>
      </c>
      <c r="K201" s="3" t="n">
        <v>0</v>
      </c>
      <c r="L201" s="2" t="inlineStr">
        <is>
          <t>OK</t>
        </is>
      </c>
      <c r="M201" s="2" t="inlineStr">
        <is>
          <t>6个 × 700/个 = 4,200</t>
        </is>
      </c>
    </row>
    <row r="202" ht="36" customHeight="1" s="4">
      <c r="A202" s="2" t="inlineStr">
        <is>
          <t>华测</t>
        </is>
      </c>
      <c r="B202" s="2" t="n">
        <v>134</v>
      </c>
      <c r="C202" s="2" t="inlineStr">
        <is>
          <t>PV</t>
        </is>
      </c>
      <c r="D202" s="2" t="inlineStr">
        <is>
          <t>Group D Parallel Tests / D-3 PCBA</t>
        </is>
      </c>
      <c r="E202" s="2" t="inlineStr">
        <is>
          <t>L1&amp;L4</t>
        </is>
      </c>
      <c r="F202" s="2" t="inlineStr">
        <is>
          <t>L1&amp;L4 Performance Evaluation &amp; Functional Evaluation</t>
        </is>
      </c>
      <c r="G202" s="2" t="inlineStr">
        <is>
          <t>45-52</t>
        </is>
      </c>
      <c r="H202" s="2" t="inlineStr">
        <is>
          <t>6 个样品</t>
        </is>
      </c>
      <c r="I202" s="3" t="n">
        <v>4200</v>
      </c>
      <c r="J202" s="3" t="n">
        <v>4200</v>
      </c>
      <c r="K202" s="3" t="n">
        <v>0</v>
      </c>
      <c r="L202" s="2" t="inlineStr">
        <is>
          <t>OK</t>
        </is>
      </c>
      <c r="M202" s="2" t="inlineStr">
        <is>
          <t>6个 × 700/个 = 4,200</t>
        </is>
      </c>
    </row>
    <row r="203" ht="18" customHeight="1" s="4">
      <c r="A203" s="2" t="inlineStr">
        <is>
          <t>华测</t>
        </is>
      </c>
      <c r="B203" s="2" t="n">
        <v>135</v>
      </c>
      <c r="C203" s="2" t="inlineStr">
        <is>
          <t>PV</t>
        </is>
      </c>
      <c r="D203" s="2" t="inlineStr">
        <is>
          <t>Group D Parallel Tests / D-3 PCBA</t>
        </is>
      </c>
      <c r="E203" s="2" t="inlineStr">
        <is>
          <t>K23</t>
        </is>
      </c>
      <c r="F203" s="2" t="inlineStr">
        <is>
          <t>K23 Thermal Shock Endurance</t>
        </is>
      </c>
      <c r="G203" s="2" t="inlineStr">
        <is>
          <t>45-52</t>
        </is>
      </c>
      <c r="H203" s="2" t="inlineStr">
        <is>
          <t>1017 h</t>
        </is>
      </c>
      <c r="I203" s="3" t="n">
        <v>50850</v>
      </c>
      <c r="J203" s="3" t="n">
        <v>50850</v>
      </c>
      <c r="K203" s="3" t="n">
        <v>0</v>
      </c>
      <c r="L203" s="2" t="inlineStr">
        <is>
          <t>OK</t>
        </is>
      </c>
      <c r="M203" s="2" t="inlineStr">
        <is>
          <t>1,017h × 50/h = 50,850</t>
        </is>
      </c>
    </row>
    <row r="204" ht="36" customHeight="1" s="4">
      <c r="A204" s="2" t="inlineStr">
        <is>
          <t>华测</t>
        </is>
      </c>
      <c r="B204" s="2" t="n">
        <v>136</v>
      </c>
      <c r="C204" s="2" t="inlineStr">
        <is>
          <t>PV</t>
        </is>
      </c>
      <c r="D204" s="2" t="inlineStr">
        <is>
          <t>Group D Parallel Tests / D-3 PCBA</t>
        </is>
      </c>
      <c r="E204" s="2" t="inlineStr">
        <is>
          <t>L1&amp;L4</t>
        </is>
      </c>
      <c r="F204" s="2" t="inlineStr">
        <is>
          <t>L1&amp;L4 Performance Evaluation &amp; Functional Evaluation</t>
        </is>
      </c>
      <c r="G204" s="2" t="inlineStr">
        <is>
          <t>45-52</t>
        </is>
      </c>
      <c r="H204" s="2" t="inlineStr">
        <is>
          <t>6 个样品</t>
        </is>
      </c>
      <c r="I204" s="3" t="n">
        <v>4200</v>
      </c>
      <c r="J204" s="3" t="n">
        <v>4200</v>
      </c>
      <c r="K204" s="3" t="n">
        <v>0</v>
      </c>
      <c r="L204" s="2" t="inlineStr">
        <is>
          <t>OK</t>
        </is>
      </c>
      <c r="M204" s="2" t="inlineStr">
        <is>
          <t>6个 × 700/个 = 4,200</t>
        </is>
      </c>
    </row>
    <row r="205" ht="53" customHeight="1" s="4">
      <c r="A205" s="2" t="inlineStr">
        <is>
          <t>华测</t>
        </is>
      </c>
      <c r="B205" s="2" t="n">
        <v>137</v>
      </c>
      <c r="C205" s="2" t="inlineStr">
        <is>
          <t>PV</t>
        </is>
      </c>
      <c r="D205" s="2" t="inlineStr">
        <is>
          <t>Group D Parallel Tests / D-3 PCBA</t>
        </is>
      </c>
      <c r="E205" s="2" t="inlineStr">
        <is>
          <t>L6-SEM&amp;SECTION</t>
        </is>
      </c>
      <c r="F205" s="2" t="inlineStr">
        <is>
          <t>L6-SEM&amp;SECTION</t>
        </is>
      </c>
      <c r="G205" s="2" t="inlineStr">
        <is>
          <t>45-52</t>
        </is>
      </c>
      <c r="H205" s="2" t="inlineStr">
        <is>
          <t>33 个样品</t>
        </is>
      </c>
      <c r="I205" s="3" t="n">
        <v>16500</v>
      </c>
      <c r="J205" s="3" t="n">
        <v>16500</v>
      </c>
      <c r="K205" s="3" t="n">
        <v>0</v>
      </c>
      <c r="L205" s="2" t="inlineStr">
        <is>
          <t>OK</t>
        </is>
      </c>
      <c r="M205" s="2" t="inlineStr">
        <is>
          <t>33个 × 500/个 = 16,500</t>
        </is>
      </c>
    </row>
    <row r="206" ht="36" customHeight="1" s="4">
      <c r="A206" s="2" t="inlineStr">
        <is>
          <t>华测</t>
        </is>
      </c>
      <c r="B206" s="2" t="n">
        <v>140</v>
      </c>
      <c r="C206" s="2" t="inlineStr">
        <is>
          <t>PV</t>
        </is>
      </c>
      <c r="D206" s="2" t="inlineStr">
        <is>
          <t>Group D Parallel Tests / D-4 Dewing Test</t>
        </is>
      </c>
      <c r="E206" s="2" t="inlineStr">
        <is>
          <t>L1&amp;L4</t>
        </is>
      </c>
      <c r="F206" s="2" t="inlineStr">
        <is>
          <t>L1&amp;L4 Performance Evaluation &amp; Functional Evaluation</t>
        </is>
      </c>
      <c r="G206" s="2" t="inlineStr">
        <is>
          <t>53-58</t>
        </is>
      </c>
      <c r="H206" s="2" t="inlineStr">
        <is>
          <t>6 个样品</t>
        </is>
      </c>
      <c r="I206" s="3" t="n">
        <v>4200</v>
      </c>
      <c r="J206" s="3" t="n">
        <v>4200</v>
      </c>
      <c r="K206" s="3" t="n">
        <v>0</v>
      </c>
      <c r="L206" s="2" t="inlineStr">
        <is>
          <t>OK</t>
        </is>
      </c>
      <c r="M206" s="2" t="inlineStr">
        <is>
          <t>6个 × 700/个 = 4,200</t>
        </is>
      </c>
    </row>
    <row r="207" ht="36" customHeight="1" s="4">
      <c r="A207" s="2" t="inlineStr">
        <is>
          <t>华测</t>
        </is>
      </c>
      <c r="B207" s="2" t="n">
        <v>141</v>
      </c>
      <c r="C207" s="2" t="inlineStr">
        <is>
          <t>PV</t>
        </is>
      </c>
      <c r="D207" s="2" t="inlineStr">
        <is>
          <t>Group D Parallel Tests / D-4 Dewing Test</t>
        </is>
      </c>
      <c r="E207" s="2" t="inlineStr">
        <is>
          <t>K8</t>
        </is>
      </c>
      <c r="F207" s="2" t="inlineStr">
        <is>
          <t>K8 Dewing Test</t>
        </is>
      </c>
      <c r="G207" s="2" t="inlineStr">
        <is>
          <t>53-58</t>
        </is>
      </c>
      <c r="H207" s="2" t="inlineStr">
        <is>
          <t>1 批</t>
        </is>
      </c>
      <c r="I207" s="3" t="n">
        <v>5000</v>
      </c>
      <c r="J207" s="3" t="n">
        <v>5000</v>
      </c>
      <c r="K207" s="3" t="n">
        <v>0</v>
      </c>
      <c r="L207" s="2" t="inlineStr">
        <is>
          <t>OK</t>
        </is>
      </c>
      <c r="M207" s="2" t="inlineStr">
        <is>
          <t>1批 × 5,000/批 = 5,000</t>
        </is>
      </c>
    </row>
    <row r="208" ht="36" customHeight="1" s="4">
      <c r="A208" s="2" t="inlineStr">
        <is>
          <t>华测</t>
        </is>
      </c>
      <c r="B208" s="2" t="n">
        <v>142</v>
      </c>
      <c r="C208" s="2" t="inlineStr">
        <is>
          <t>PV</t>
        </is>
      </c>
      <c r="D208" s="2" t="inlineStr">
        <is>
          <t>Group D Parallel Tests / D-4 Dewing Test</t>
        </is>
      </c>
      <c r="E208" s="2" t="inlineStr">
        <is>
          <t>L1&amp;L4</t>
        </is>
      </c>
      <c r="F208" s="2" t="inlineStr">
        <is>
          <t>L1&amp;L4 Performance Evaluation &amp; Functional Evaluation</t>
        </is>
      </c>
      <c r="G208" s="2" t="inlineStr">
        <is>
          <t>53-58</t>
        </is>
      </c>
      <c r="H208" s="2" t="inlineStr">
        <is>
          <t>6 个样品</t>
        </is>
      </c>
      <c r="I208" s="3" t="n">
        <v>4200</v>
      </c>
      <c r="J208" s="3" t="n">
        <v>4200</v>
      </c>
      <c r="K208" s="3" t="n">
        <v>0</v>
      </c>
      <c r="L208" s="2" t="inlineStr">
        <is>
          <t>OK</t>
        </is>
      </c>
      <c r="M208" s="2" t="inlineStr">
        <is>
          <t>6个 × 700/个 = 4,200</t>
        </is>
      </c>
    </row>
    <row r="209" ht="36" customHeight="1" s="4">
      <c r="A209" s="2" t="inlineStr">
        <is>
          <t>华测</t>
        </is>
      </c>
      <c r="B209" s="2" t="n">
        <v>145</v>
      </c>
      <c r="C209" s="2" t="inlineStr">
        <is>
          <t>PV</t>
        </is>
      </c>
      <c r="D209" s="2" t="inlineStr">
        <is>
          <t>Group D Parallel Tests / D-5 Life Test-1</t>
        </is>
      </c>
      <c r="E209" s="2" t="inlineStr">
        <is>
          <t>L1&amp;L4</t>
        </is>
      </c>
      <c r="F209" s="2" t="inlineStr">
        <is>
          <t>L1&amp;L4 Performance Evaluation &amp; Functional Evaluation</t>
        </is>
      </c>
      <c r="G209" s="2" t="inlineStr">
        <is>
          <t>59-64</t>
        </is>
      </c>
      <c r="H209" s="2" t="inlineStr">
        <is>
          <t>6 个样品</t>
        </is>
      </c>
      <c r="I209" s="3" t="n">
        <v>4200</v>
      </c>
      <c r="J209" s="3" t="n">
        <v>4200</v>
      </c>
      <c r="K209" s="3" t="n">
        <v>0</v>
      </c>
      <c r="L209" s="2" t="inlineStr">
        <is>
          <t>OK</t>
        </is>
      </c>
      <c r="M209" s="2" t="inlineStr">
        <is>
          <t>6个 × 700/个 = 4,200</t>
        </is>
      </c>
    </row>
    <row r="210" ht="36" customHeight="1" s="4">
      <c r="A210" s="2" t="inlineStr">
        <is>
          <t>华测</t>
        </is>
      </c>
      <c r="B210" s="2" t="n">
        <v>146</v>
      </c>
      <c r="C210" s="2" t="inlineStr">
        <is>
          <t>PV</t>
        </is>
      </c>
      <c r="D210" s="2" t="inlineStr">
        <is>
          <t>Group D Parallel Tests / D-5 Life Test-1</t>
        </is>
      </c>
      <c r="E210" s="2" t="inlineStr">
        <is>
          <t>K24</t>
        </is>
      </c>
      <c r="F210" s="2" t="inlineStr">
        <is>
          <t>K24 High Temperature Endurance</t>
        </is>
      </c>
      <c r="G210" s="2" t="inlineStr">
        <is>
          <t>59-64</t>
        </is>
      </c>
      <c r="H210" s="2" t="inlineStr">
        <is>
          <t>1000 h</t>
        </is>
      </c>
      <c r="I210" s="3" t="n">
        <v>15000</v>
      </c>
      <c r="J210" s="3" t="n">
        <v>15000</v>
      </c>
      <c r="K210" s="3" t="n">
        <v>0</v>
      </c>
      <c r="L210" s="2" t="inlineStr">
        <is>
          <t>OK</t>
        </is>
      </c>
      <c r="M210" s="2" t="inlineStr">
        <is>
          <t>1,000h × 15/h = 15,000</t>
        </is>
      </c>
    </row>
    <row r="211" ht="36" customHeight="1" s="4">
      <c r="A211" s="2" t="inlineStr">
        <is>
          <t>华测</t>
        </is>
      </c>
      <c r="B211" s="2" t="n">
        <v>147</v>
      </c>
      <c r="C211" s="2" t="inlineStr">
        <is>
          <t>PV</t>
        </is>
      </c>
      <c r="D211" s="2" t="inlineStr">
        <is>
          <t>Group D Parallel Tests / D-5 Life Test-1</t>
        </is>
      </c>
      <c r="E211" s="2" t="inlineStr">
        <is>
          <t>L1&amp;L4</t>
        </is>
      </c>
      <c r="F211" s="2" t="inlineStr">
        <is>
          <t>L1&amp;L4 Performance Evaluation &amp; Functional Evaluation</t>
        </is>
      </c>
      <c r="G211" s="2" t="inlineStr">
        <is>
          <t>59-64</t>
        </is>
      </c>
      <c r="H211" s="2" t="inlineStr">
        <is>
          <t>6 个样品</t>
        </is>
      </c>
      <c r="I211" s="3" t="n">
        <v>4200</v>
      </c>
      <c r="J211" s="3" t="n">
        <v>4200</v>
      </c>
      <c r="K211" s="3" t="n">
        <v>0</v>
      </c>
      <c r="L211" s="2" t="inlineStr">
        <is>
          <t>OK</t>
        </is>
      </c>
      <c r="M211" s="2" t="inlineStr">
        <is>
          <t>6个 × 700/个 = 4,200</t>
        </is>
      </c>
    </row>
    <row r="212" ht="36" customHeight="1" s="4">
      <c r="A212" s="2" t="inlineStr">
        <is>
          <t>华测</t>
        </is>
      </c>
      <c r="B212" s="2" t="n">
        <v>150</v>
      </c>
      <c r="C212" s="2" t="inlineStr">
        <is>
          <t>PV</t>
        </is>
      </c>
      <c r="D212" s="2" t="inlineStr">
        <is>
          <t>Group D Parallel Tests / D-6 Life Test-2-1</t>
        </is>
      </c>
      <c r="E212" s="2" t="inlineStr">
        <is>
          <t>L1&amp;L4</t>
        </is>
      </c>
      <c r="F212" s="2" t="inlineStr">
        <is>
          <t>L1&amp;L4 Performance Evaluation &amp; Functional Evaluation</t>
        </is>
      </c>
      <c r="G212" s="2" t="inlineStr">
        <is>
          <t>65-70</t>
        </is>
      </c>
      <c r="H212" s="2" t="inlineStr">
        <is>
          <t>6 个样品</t>
        </is>
      </c>
      <c r="I212" s="3" t="n">
        <v>4200</v>
      </c>
      <c r="J212" s="3" t="n">
        <v>4200</v>
      </c>
      <c r="K212" s="3" t="n">
        <v>0</v>
      </c>
      <c r="L212" s="2" t="inlineStr">
        <is>
          <t>OK</t>
        </is>
      </c>
      <c r="M212" s="2" t="inlineStr">
        <is>
          <t>6个 × 700/个 = 4,200</t>
        </is>
      </c>
    </row>
    <row r="213" ht="36" customHeight="1" s="4">
      <c r="A213" s="2" t="inlineStr">
        <is>
          <t>华测</t>
        </is>
      </c>
      <c r="B213" s="2" t="n">
        <v>151</v>
      </c>
      <c r="C213" s="2" t="inlineStr">
        <is>
          <t>PV</t>
        </is>
      </c>
      <c r="D213" s="2" t="inlineStr">
        <is>
          <t>Group D Parallel Tests / D-6 Life Test-2-1</t>
        </is>
      </c>
      <c r="E213" s="2" t="inlineStr">
        <is>
          <t>K27</t>
        </is>
      </c>
      <c r="F213" s="2" t="inlineStr">
        <is>
          <t>K27 85/85 High Temperature -High Humidity Endurance</t>
        </is>
      </c>
      <c r="G213" s="2" t="inlineStr">
        <is>
          <t>65-70</t>
        </is>
      </c>
      <c r="H213" s="2" t="inlineStr">
        <is>
          <t>1000 h</t>
        </is>
      </c>
      <c r="I213" s="3" t="n">
        <v>20000</v>
      </c>
      <c r="J213" s="3" t="n">
        <v>20000</v>
      </c>
      <c r="K213" s="3" t="n">
        <v>0</v>
      </c>
      <c r="L213" s="2" t="inlineStr">
        <is>
          <t>OK</t>
        </is>
      </c>
      <c r="M213" s="2" t="inlineStr">
        <is>
          <t>1,000h × 20/h = 20,000</t>
        </is>
      </c>
    </row>
    <row r="214" ht="36" customHeight="1" s="4">
      <c r="A214" s="2" t="inlineStr">
        <is>
          <t>华测</t>
        </is>
      </c>
      <c r="B214" s="2" t="n">
        <v>152</v>
      </c>
      <c r="C214" s="2" t="inlineStr">
        <is>
          <t>PV</t>
        </is>
      </c>
      <c r="D214" s="2" t="inlineStr">
        <is>
          <t>Group D Parallel Tests / D-6 Life Test-2-1</t>
        </is>
      </c>
      <c r="E214" s="2" t="inlineStr">
        <is>
          <t>L1&amp;L4</t>
        </is>
      </c>
      <c r="F214" s="2" t="inlineStr">
        <is>
          <t>L1&amp;L4 Performance Evaluation &amp; Functional Evaluation</t>
        </is>
      </c>
      <c r="G214" s="2" t="inlineStr">
        <is>
          <t>65-70</t>
        </is>
      </c>
      <c r="H214" s="2" t="inlineStr">
        <is>
          <t>6 个样品</t>
        </is>
      </c>
      <c r="I214" s="3" t="n">
        <v>4200</v>
      </c>
      <c r="J214" s="3" t="n">
        <v>4200</v>
      </c>
      <c r="K214" s="3" t="n">
        <v>0</v>
      </c>
      <c r="L214" s="2" t="inlineStr">
        <is>
          <t>OK</t>
        </is>
      </c>
      <c r="M214" s="2" t="inlineStr">
        <is>
          <t>6个 × 700/个 = 4,200</t>
        </is>
      </c>
    </row>
    <row r="215" ht="36" customHeight="1" s="4">
      <c r="A215" s="2" t="inlineStr">
        <is>
          <t>华测</t>
        </is>
      </c>
      <c r="B215" s="2" t="n">
        <v>155</v>
      </c>
      <c r="C215" s="2" t="inlineStr">
        <is>
          <t>PV</t>
        </is>
      </c>
      <c r="D215" s="2" t="inlineStr">
        <is>
          <t>Group D Parallel Tests / D-7 Life Test-2-2</t>
        </is>
      </c>
      <c r="E215" s="2" t="inlineStr">
        <is>
          <t>L1&amp;L4</t>
        </is>
      </c>
      <c r="F215" s="2" t="inlineStr">
        <is>
          <t>L1&amp;L4 Performance Evaluation &amp; Functional Evaluation</t>
        </is>
      </c>
      <c r="G215" s="2" t="inlineStr">
        <is>
          <t>71-76</t>
        </is>
      </c>
      <c r="H215" s="2" t="inlineStr">
        <is>
          <t>6 个样品</t>
        </is>
      </c>
      <c r="I215" s="3" t="n">
        <v>4200</v>
      </c>
      <c r="J215" s="3" t="n">
        <v>4200</v>
      </c>
      <c r="K215" s="3" t="n">
        <v>0</v>
      </c>
      <c r="L215" s="2" t="inlineStr">
        <is>
          <t>OK</t>
        </is>
      </c>
      <c r="M215" s="2" t="inlineStr">
        <is>
          <t>6个 × 700/个 = 4,200</t>
        </is>
      </c>
    </row>
    <row r="216" ht="36" customHeight="1" s="4">
      <c r="A216" s="2" t="inlineStr">
        <is>
          <t>华测</t>
        </is>
      </c>
      <c r="B216" s="2" t="n">
        <v>156</v>
      </c>
      <c r="C216" s="2" t="inlineStr">
        <is>
          <t>PV</t>
        </is>
      </c>
      <c r="D216" s="2" t="inlineStr">
        <is>
          <t>Group D Parallel Tests / D-7 Life Test-2-2</t>
        </is>
      </c>
      <c r="E216" s="2" t="inlineStr">
        <is>
          <t>K27</t>
        </is>
      </c>
      <c r="F216" s="2" t="inlineStr">
        <is>
          <t>K27 60/95 High Temperature -High Humidity Endurance</t>
        </is>
      </c>
      <c r="G216" s="2" t="inlineStr">
        <is>
          <t>71-76</t>
        </is>
      </c>
      <c r="H216" s="2" t="inlineStr">
        <is>
          <t>1100 h</t>
        </is>
      </c>
      <c r="I216" s="3" t="n">
        <v>22000</v>
      </c>
      <c r="J216" s="3" t="n">
        <v>22000</v>
      </c>
      <c r="K216" s="3" t="n">
        <v>0</v>
      </c>
      <c r="L216" s="2" t="inlineStr">
        <is>
          <t>OK</t>
        </is>
      </c>
      <c r="M216" s="2" t="inlineStr">
        <is>
          <t>1,100h × 20/h = 22,000</t>
        </is>
      </c>
    </row>
    <row r="217" ht="36" customHeight="1" s="4">
      <c r="A217" s="2" t="inlineStr">
        <is>
          <t>华测</t>
        </is>
      </c>
      <c r="B217" s="2" t="n">
        <v>157</v>
      </c>
      <c r="C217" s="2" t="inlineStr">
        <is>
          <t>PV</t>
        </is>
      </c>
      <c r="D217" s="2" t="inlineStr">
        <is>
          <t>Group D Parallel Tests / D-7 Life Test-2-2</t>
        </is>
      </c>
      <c r="E217" s="2" t="inlineStr">
        <is>
          <t>L1&amp;L4</t>
        </is>
      </c>
      <c r="F217" s="2" t="inlineStr">
        <is>
          <t>L1&amp;L4 Performance Evaluation &amp; Functional Evaluation</t>
        </is>
      </c>
      <c r="G217" s="2" t="inlineStr">
        <is>
          <t>71-76</t>
        </is>
      </c>
      <c r="H217" s="2" t="inlineStr">
        <is>
          <t>6 个样品</t>
        </is>
      </c>
      <c r="I217" s="3" t="n">
        <v>4200</v>
      </c>
      <c r="J217" s="3" t="n">
        <v>4200</v>
      </c>
      <c r="K217" s="3" t="n">
        <v>0</v>
      </c>
      <c r="L217" s="2" t="inlineStr">
        <is>
          <t>OK</t>
        </is>
      </c>
      <c r="M217" s="2" t="inlineStr">
        <is>
          <t>6个 × 700/个 = 4,200</t>
        </is>
      </c>
    </row>
    <row r="218" ht="36" customHeight="1" s="4">
      <c r="A218" s="2" t="inlineStr">
        <is>
          <t>华测</t>
        </is>
      </c>
      <c r="B218" s="2" t="n">
        <v>160</v>
      </c>
      <c r="C218" s="2" t="inlineStr">
        <is>
          <t>PV</t>
        </is>
      </c>
      <c r="D218" s="2" t="inlineStr">
        <is>
          <t>Group D Parallel Tests / D-8</t>
        </is>
      </c>
      <c r="E218" s="2" t="inlineStr">
        <is>
          <t>L1&amp;L4</t>
        </is>
      </c>
      <c r="F218" s="2" t="inlineStr">
        <is>
          <t>L1&amp;L4 Performance Evaluation &amp; Functional Evaluation</t>
        </is>
      </c>
      <c r="G218" s="2" t="inlineStr">
        <is>
          <t>77-91</t>
        </is>
      </c>
      <c r="H218" s="2" t="inlineStr">
        <is>
          <t>15 个样品</t>
        </is>
      </c>
      <c r="I218" s="3" t="n">
        <v>10500</v>
      </c>
      <c r="J218" s="3" t="n">
        <v>10500</v>
      </c>
      <c r="K218" s="3" t="n">
        <v>0</v>
      </c>
      <c r="L218" s="2" t="inlineStr">
        <is>
          <t>OK</t>
        </is>
      </c>
      <c r="M218" s="2" t="inlineStr">
        <is>
          <t>15个 × 700/个 = 10,500</t>
        </is>
      </c>
    </row>
    <row r="219" ht="18" customHeight="1" s="4">
      <c r="A219" s="2" t="inlineStr">
        <is>
          <t>华测</t>
        </is>
      </c>
      <c r="B219" s="2" t="n">
        <v>161</v>
      </c>
      <c r="C219" s="2" t="inlineStr">
        <is>
          <t>PV</t>
        </is>
      </c>
      <c r="D219" s="2" t="inlineStr">
        <is>
          <t>Group D Parallel Tests / D-8</t>
        </is>
      </c>
      <c r="E219" s="2" t="inlineStr">
        <is>
          <t>K28</t>
        </is>
      </c>
      <c r="F219" s="2" t="inlineStr">
        <is>
          <t>K28 HALT Cold</t>
        </is>
      </c>
      <c r="G219" s="2" t="inlineStr">
        <is>
          <t>77-91</t>
        </is>
      </c>
      <c r="H219" s="2" t="inlineStr">
        <is>
          <t>8 h</t>
        </is>
      </c>
      <c r="I219" s="3" t="n">
        <v>4800</v>
      </c>
      <c r="J219" s="3" t="n">
        <v>4800</v>
      </c>
      <c r="K219" s="3" t="n">
        <v>0</v>
      </c>
      <c r="L219" s="2" t="inlineStr">
        <is>
          <t>OK</t>
        </is>
      </c>
      <c r="M219" s="2" t="inlineStr">
        <is>
          <t>8h × 600/h = 4,800</t>
        </is>
      </c>
    </row>
    <row r="220" ht="18" customHeight="1" s="4">
      <c r="A220" s="2" t="inlineStr">
        <is>
          <t>华测</t>
        </is>
      </c>
      <c r="B220" s="2" t="n">
        <v>162</v>
      </c>
      <c r="C220" s="2" t="inlineStr">
        <is>
          <t>PV</t>
        </is>
      </c>
      <c r="D220" s="2" t="inlineStr">
        <is>
          <t>Group D Parallel Tests / D-8</t>
        </is>
      </c>
      <c r="E220" s="2" t="inlineStr">
        <is>
          <t>K28</t>
        </is>
      </c>
      <c r="F220" s="2" t="inlineStr">
        <is>
          <t>K28 HALT Hot</t>
        </is>
      </c>
      <c r="G220" s="2" t="inlineStr">
        <is>
          <t>77-91</t>
        </is>
      </c>
      <c r="H220" s="2" t="inlineStr">
        <is>
          <t>8 h</t>
        </is>
      </c>
      <c r="I220" s="3" t="n">
        <v>4800</v>
      </c>
      <c r="J220" s="3" t="n">
        <v>4800</v>
      </c>
      <c r="K220" s="3" t="n">
        <v>0</v>
      </c>
      <c r="L220" s="2" t="inlineStr">
        <is>
          <t>OK</t>
        </is>
      </c>
      <c r="M220" s="2" t="inlineStr">
        <is>
          <t>8h × 600/h = 4,800</t>
        </is>
      </c>
    </row>
    <row r="221" ht="18" customHeight="1" s="4">
      <c r="A221" s="2" t="inlineStr">
        <is>
          <t>华测</t>
        </is>
      </c>
      <c r="B221" s="2" t="n">
        <v>163</v>
      </c>
      <c r="C221" s="2" t="inlineStr">
        <is>
          <t>PV</t>
        </is>
      </c>
      <c r="D221" s="2" t="inlineStr">
        <is>
          <t>Group D Parallel Tests / D-8</t>
        </is>
      </c>
      <c r="E221" s="2" t="inlineStr">
        <is>
          <t>K28</t>
        </is>
      </c>
      <c r="F221" s="2" t="inlineStr">
        <is>
          <t>K28 HALT Thermal Shock</t>
        </is>
      </c>
      <c r="G221" s="2" t="inlineStr">
        <is>
          <t>77-91</t>
        </is>
      </c>
      <c r="H221" s="2" t="inlineStr">
        <is>
          <t>8 h</t>
        </is>
      </c>
      <c r="I221" s="3" t="n">
        <v>4800</v>
      </c>
      <c r="J221" s="3" t="n">
        <v>4800</v>
      </c>
      <c r="K221" s="3" t="n">
        <v>0</v>
      </c>
      <c r="L221" s="2" t="inlineStr">
        <is>
          <t>OK</t>
        </is>
      </c>
      <c r="M221" s="2" t="inlineStr">
        <is>
          <t>8h × 600/h = 4,800</t>
        </is>
      </c>
    </row>
    <row r="222" ht="18" customHeight="1" s="4">
      <c r="A222" s="2" t="inlineStr">
        <is>
          <t>华测</t>
        </is>
      </c>
      <c r="B222" s="2" t="n">
        <v>164</v>
      </c>
      <c r="C222" s="2" t="inlineStr">
        <is>
          <t>PV</t>
        </is>
      </c>
      <c r="D222" s="2" t="inlineStr">
        <is>
          <t>Group D Parallel Tests / D-8</t>
        </is>
      </c>
      <c r="E222" s="2" t="inlineStr">
        <is>
          <t>K28</t>
        </is>
      </c>
      <c r="F222" s="2" t="inlineStr">
        <is>
          <t>K28 HALT Vibration</t>
        </is>
      </c>
      <c r="G222" s="2" t="inlineStr">
        <is>
          <t>77-91</t>
        </is>
      </c>
      <c r="H222" s="2" t="inlineStr">
        <is>
          <t>8 h</t>
        </is>
      </c>
      <c r="I222" s="3" t="n">
        <v>4800</v>
      </c>
      <c r="J222" s="3" t="n">
        <v>4800</v>
      </c>
      <c r="K222" s="3" t="n">
        <v>0</v>
      </c>
      <c r="L222" s="2" t="inlineStr">
        <is>
          <t>OK</t>
        </is>
      </c>
      <c r="M222" s="2" t="inlineStr">
        <is>
          <t>8h × 600/h = 4,800</t>
        </is>
      </c>
    </row>
    <row r="223" ht="18" customHeight="1" s="4">
      <c r="A223" s="2" t="inlineStr">
        <is>
          <t>华测</t>
        </is>
      </c>
      <c r="B223" s="2" t="n">
        <v>165</v>
      </c>
      <c r="C223" s="2" t="inlineStr">
        <is>
          <t>PV</t>
        </is>
      </c>
      <c r="D223" s="2" t="inlineStr">
        <is>
          <t>Group D Parallel Tests / D-8</t>
        </is>
      </c>
      <c r="E223" s="2" t="inlineStr">
        <is>
          <t>K28</t>
        </is>
      </c>
      <c r="F223" s="2" t="inlineStr">
        <is>
          <t>K28 HALT TST &amp; Vibration</t>
        </is>
      </c>
      <c r="G223" s="2" t="inlineStr">
        <is>
          <t>77-91</t>
        </is>
      </c>
      <c r="H223" s="2" t="inlineStr">
        <is>
          <t>8 h</t>
        </is>
      </c>
      <c r="I223" s="3" t="n">
        <v>4800</v>
      </c>
      <c r="J223" s="3" t="n">
        <v>4800</v>
      </c>
      <c r="K223" s="3" t="n">
        <v>0</v>
      </c>
      <c r="L223" s="2" t="inlineStr">
        <is>
          <t>OK</t>
        </is>
      </c>
      <c r="M223" s="2" t="inlineStr">
        <is>
          <t>8h × 600/h = 4,800</t>
        </is>
      </c>
    </row>
    <row r="224" ht="36" customHeight="1" s="4">
      <c r="A224" s="2" t="inlineStr">
        <is>
          <t>华测</t>
        </is>
      </c>
      <c r="B224" s="2" t="n">
        <v>166</v>
      </c>
      <c r="C224" s="2" t="inlineStr">
        <is>
          <t>PV</t>
        </is>
      </c>
      <c r="D224" s="2" t="inlineStr">
        <is>
          <t>Group D Parallel Tests / D-8</t>
        </is>
      </c>
      <c r="E224" s="2" t="inlineStr">
        <is>
          <t>L1&amp;L4</t>
        </is>
      </c>
      <c r="F224" s="2" t="inlineStr">
        <is>
          <t>L1&amp;L4 Performance Evaluation &amp; Functional Evaluation</t>
        </is>
      </c>
      <c r="G224" s="2" t="inlineStr">
        <is>
          <t>77-91</t>
        </is>
      </c>
      <c r="H224" s="2" t="inlineStr">
        <is>
          <t>9 个样品</t>
        </is>
      </c>
      <c r="I224" s="3" t="n">
        <v>6300</v>
      </c>
      <c r="J224" s="3" t="n">
        <v>6300</v>
      </c>
      <c r="K224" s="3" t="n">
        <v>0</v>
      </c>
      <c r="L224" s="2" t="inlineStr">
        <is>
          <t>OK</t>
        </is>
      </c>
      <c r="M224" s="2" t="inlineStr">
        <is>
          <t>9个 × 700/个 = 6,300</t>
        </is>
      </c>
    </row>
    <row r="225" ht="36" customHeight="1" s="4">
      <c r="A225" s="2" t="inlineStr">
        <is>
          <t>华测</t>
        </is>
      </c>
      <c r="B225" s="2" t="n">
        <v>169</v>
      </c>
      <c r="C225" s="2" t="inlineStr">
        <is>
          <t>PV</t>
        </is>
      </c>
      <c r="D225" s="2" t="inlineStr">
        <is>
          <t>Group D Parallel Tests / D-9</t>
        </is>
      </c>
      <c r="E225" s="2" t="inlineStr">
        <is>
          <t>L1&amp;L4</t>
        </is>
      </c>
      <c r="F225" s="2" t="inlineStr">
        <is>
          <t>L1&amp;L4 Performance Evaluation &amp; Functional Evaluation</t>
        </is>
      </c>
      <c r="G225" s="2" t="inlineStr">
        <is>
          <t>92-97</t>
        </is>
      </c>
      <c r="H225" s="2" t="inlineStr">
        <is>
          <t>6 个样品</t>
        </is>
      </c>
      <c r="I225" s="3" t="n">
        <v>4200</v>
      </c>
      <c r="J225" s="3" t="n">
        <v>4200</v>
      </c>
      <c r="K225" s="3" t="n">
        <v>0</v>
      </c>
      <c r="L225" s="2" t="inlineStr">
        <is>
          <t>OK</t>
        </is>
      </c>
      <c r="M225" s="2" t="inlineStr">
        <is>
          <t>6个 × 700/个 = 4,200</t>
        </is>
      </c>
    </row>
    <row r="226" ht="18" customHeight="1" s="4">
      <c r="A226" s="2" t="inlineStr">
        <is>
          <t>华测</t>
        </is>
      </c>
      <c r="B226" s="2" t="n">
        <v>170</v>
      </c>
      <c r="C226" s="2" t="inlineStr">
        <is>
          <t>PV</t>
        </is>
      </c>
      <c r="D226" s="2" t="inlineStr">
        <is>
          <t>Group D Parallel Tests / D-9</t>
        </is>
      </c>
      <c r="E226" s="2" t="inlineStr">
        <is>
          <t>K52.351</t>
        </is>
      </c>
      <c r="F226" s="2" t="inlineStr">
        <is>
          <t>K52.351 Condensing humidity</t>
        </is>
      </c>
      <c r="G226" s="2" t="inlineStr">
        <is>
          <t>92-97</t>
        </is>
      </c>
      <c r="H226" s="2" t="inlineStr">
        <is>
          <t>120 h</t>
        </is>
      </c>
      <c r="I226" s="3" t="n">
        <v>7200</v>
      </c>
      <c r="J226" s="3" t="n">
        <v>7200</v>
      </c>
      <c r="K226" s="3" t="n">
        <v>0</v>
      </c>
      <c r="L226" s="2" t="inlineStr">
        <is>
          <t>OK</t>
        </is>
      </c>
      <c r="M226" s="2" t="inlineStr">
        <is>
          <t>120h × 60/h = 7,200</t>
        </is>
      </c>
    </row>
    <row r="227" ht="36" customHeight="1" s="4">
      <c r="A227" s="2" t="inlineStr">
        <is>
          <t>华测</t>
        </is>
      </c>
      <c r="B227" s="2" t="n">
        <v>171</v>
      </c>
      <c r="C227" s="2" t="inlineStr">
        <is>
          <t>PV</t>
        </is>
      </c>
      <c r="D227" s="2" t="inlineStr">
        <is>
          <t>Group D Parallel Tests / D-9</t>
        </is>
      </c>
      <c r="E227" s="2" t="inlineStr">
        <is>
          <t>L1&amp;L4</t>
        </is>
      </c>
      <c r="F227" s="2" t="inlineStr">
        <is>
          <t>L1&amp;L4 Performance Evaluation &amp; Functional Evaluation</t>
        </is>
      </c>
      <c r="G227" s="2" t="inlineStr">
        <is>
          <t>92-97</t>
        </is>
      </c>
      <c r="H227" s="2" t="inlineStr">
        <is>
          <t>6 个样品</t>
        </is>
      </c>
      <c r="I227" s="3" t="n">
        <v>4200</v>
      </c>
      <c r="J227" s="3" t="n">
        <v>4200</v>
      </c>
      <c r="K227" s="3" t="n">
        <v>0</v>
      </c>
      <c r="L227" s="2" t="inlineStr">
        <is>
          <t>OK</t>
        </is>
      </c>
      <c r="M227" s="2" t="inlineStr">
        <is>
          <t>6个 × 700/个 = 4,200</t>
        </is>
      </c>
    </row>
    <row r="228" ht="36" customHeight="1" s="4">
      <c r="A228" s="2" t="inlineStr">
        <is>
          <t>苏勃</t>
        </is>
      </c>
      <c r="B228" s="2" t="n">
        <v>12</v>
      </c>
      <c r="C228" s="2" t="inlineStr">
        <is>
          <t>DV</t>
        </is>
      </c>
      <c r="D228" s="2" t="inlineStr">
        <is>
          <t>Group A Sequence Tests</t>
        </is>
      </c>
      <c r="E228" s="2" t="inlineStr">
        <is>
          <t>L1&amp;L4</t>
        </is>
      </c>
      <c r="F228" s="2" t="inlineStr">
        <is>
          <t>L1&amp;L4 Performance Evaluation &amp; Functional Evaluation</t>
        </is>
      </c>
      <c r="G228" s="2" t="inlineStr">
        <is>
          <t>1-14</t>
        </is>
      </c>
      <c r="H228" s="2" t="inlineStr">
        <is>
          <t>14 个样品</t>
        </is>
      </c>
      <c r="I228" s="3" t="n">
        <v>5600</v>
      </c>
      <c r="J228" s="3" t="n">
        <v>5600</v>
      </c>
      <c r="K228" s="3" t="n">
        <v>0</v>
      </c>
      <c r="L228" s="2" t="inlineStr">
        <is>
          <t>OK</t>
        </is>
      </c>
      <c r="M228" s="2" t="inlineStr">
        <is>
          <t>14个 × 400/个 = 5,600</t>
        </is>
      </c>
    </row>
    <row r="229" ht="18" customHeight="1" s="4">
      <c r="A229" s="2" t="inlineStr">
        <is>
          <t>苏勃</t>
        </is>
      </c>
      <c r="B229" s="2" t="n">
        <v>13</v>
      </c>
      <c r="C229" s="2" t="inlineStr">
        <is>
          <t>DV</t>
        </is>
      </c>
      <c r="D229" s="2" t="inlineStr">
        <is>
          <t>Group A Sequence Tests</t>
        </is>
      </c>
      <c r="E229" s="2" t="inlineStr">
        <is>
          <t>Particle</t>
        </is>
      </c>
      <c r="F229" s="2" t="inlineStr">
        <is>
          <t>Particle Exposure</t>
        </is>
      </c>
      <c r="G229" s="2" t="inlineStr">
        <is>
          <t>1-12</t>
        </is>
      </c>
      <c r="H229" s="2" t="n"/>
      <c r="I229" s="3" t="n">
        <v>31000</v>
      </c>
      <c r="J229" s="3" t="n">
        <v>31000</v>
      </c>
      <c r="K229" s="3" t="n">
        <v>0</v>
      </c>
      <c r="L229" s="2" t="inlineStr">
        <is>
          <t>OK</t>
        </is>
      </c>
      <c r="M229" s="2" t="inlineStr">
        <is>
          <t>4批 × 6,500/批 + 粉尘费 5,000 + 清洁费 0 = 31,000</t>
        </is>
      </c>
    </row>
    <row r="230" ht="18" customHeight="1" s="4">
      <c r="A230" s="2" t="inlineStr">
        <is>
          <t>苏勃</t>
        </is>
      </c>
      <c r="B230" s="2" t="n">
        <v>14</v>
      </c>
      <c r="C230" s="2" t="inlineStr">
        <is>
          <t>DV</t>
        </is>
      </c>
      <c r="D230" s="2" t="inlineStr">
        <is>
          <t>Group A Sequence Tests</t>
        </is>
      </c>
      <c r="E230" s="2" t="inlineStr">
        <is>
          <t>K1</t>
        </is>
      </c>
      <c r="F230" s="2" t="inlineStr">
        <is>
          <t>K1 Low Temperature Exposure</t>
        </is>
      </c>
      <c r="G230" s="2" t="inlineStr">
        <is>
          <t>1-12</t>
        </is>
      </c>
      <c r="H230" s="2" t="inlineStr">
        <is>
          <t>24 h</t>
        </is>
      </c>
      <c r="I230" s="3" t="n">
        <v>960</v>
      </c>
      <c r="J230" s="3" t="n">
        <v>960</v>
      </c>
      <c r="K230" s="3" t="n">
        <v>0</v>
      </c>
      <c r="L230" s="2" t="inlineStr">
        <is>
          <t>OK</t>
        </is>
      </c>
      <c r="M230" s="2" t="inlineStr">
        <is>
          <t>24h × 40/h = 960（大环境箱单价）</t>
        </is>
      </c>
    </row>
    <row r="231" ht="18" customHeight="1" s="4">
      <c r="A231" s="2" t="inlineStr">
        <is>
          <t>苏勃</t>
        </is>
      </c>
      <c r="B231" s="2" t="n">
        <v>15</v>
      </c>
      <c r="C231" s="2" t="inlineStr">
        <is>
          <t>DV</t>
        </is>
      </c>
      <c r="D231" s="2" t="inlineStr">
        <is>
          <t>Group A Sequence Tests</t>
        </is>
      </c>
      <c r="E231" s="2" t="inlineStr">
        <is>
          <t>K2</t>
        </is>
      </c>
      <c r="F231" s="2" t="inlineStr">
        <is>
          <t>K2 High Temperature Exposure</t>
        </is>
      </c>
      <c r="G231" s="2" t="inlineStr">
        <is>
          <t>1-12</t>
        </is>
      </c>
      <c r="H231" s="2" t="inlineStr">
        <is>
          <t>24 h</t>
        </is>
      </c>
      <c r="I231" s="3" t="n">
        <v>960</v>
      </c>
      <c r="J231" s="3" t="n">
        <v>960</v>
      </c>
      <c r="K231" s="3" t="n">
        <v>0</v>
      </c>
      <c r="L231" s="2" t="inlineStr">
        <is>
          <t>OK</t>
        </is>
      </c>
      <c r="M231" s="2" t="inlineStr">
        <is>
          <t>24h × 40/h = 960（大环境箱单价）</t>
        </is>
      </c>
    </row>
    <row r="232" ht="18" customHeight="1" s="4">
      <c r="A232" s="2" t="inlineStr">
        <is>
          <t>苏勃</t>
        </is>
      </c>
      <c r="B232" s="2" t="n">
        <v>16</v>
      </c>
      <c r="C232" s="2" t="inlineStr">
        <is>
          <t>DV</t>
        </is>
      </c>
      <c r="D232" s="2" t="inlineStr">
        <is>
          <t>Group A Sequence Tests</t>
        </is>
      </c>
      <c r="E232" s="2" t="inlineStr">
        <is>
          <t>K3</t>
        </is>
      </c>
      <c r="F232" s="2" t="inlineStr">
        <is>
          <t>K3 Low Temperature Operation</t>
        </is>
      </c>
      <c r="G232" s="2" t="inlineStr">
        <is>
          <t>1-12</t>
        </is>
      </c>
      <c r="H232" s="2" t="inlineStr">
        <is>
          <t>24 h</t>
        </is>
      </c>
      <c r="I232" s="3" t="n">
        <v>960</v>
      </c>
      <c r="J232" s="3" t="n">
        <v>960</v>
      </c>
      <c r="K232" s="3" t="n">
        <v>0</v>
      </c>
      <c r="L232" s="2" t="inlineStr">
        <is>
          <t>OK</t>
        </is>
      </c>
      <c r="M232" s="2" t="inlineStr">
        <is>
          <t>24h × 40/h = 960（大环境箱单价）</t>
        </is>
      </c>
    </row>
    <row r="233" ht="18" customHeight="1" s="4">
      <c r="A233" s="2" t="inlineStr">
        <is>
          <t>苏勃</t>
        </is>
      </c>
      <c r="B233" s="2" t="n">
        <v>17</v>
      </c>
      <c r="C233" s="2" t="inlineStr">
        <is>
          <t>DV</t>
        </is>
      </c>
      <c r="D233" s="2" t="inlineStr">
        <is>
          <t>Group A Sequence Tests</t>
        </is>
      </c>
      <c r="E233" s="2" t="inlineStr">
        <is>
          <t>K4</t>
        </is>
      </c>
      <c r="F233" s="2" t="inlineStr">
        <is>
          <t>K4 High Temperature Operation</t>
        </is>
      </c>
      <c r="G233" s="2" t="inlineStr">
        <is>
          <t>1-12</t>
        </is>
      </c>
      <c r="H233" s="2" t="inlineStr">
        <is>
          <t>96 h</t>
        </is>
      </c>
      <c r="I233" s="3" t="n">
        <v>3840</v>
      </c>
      <c r="J233" s="3" t="n">
        <v>3840</v>
      </c>
      <c r="K233" s="3" t="n">
        <v>0</v>
      </c>
      <c r="L233" s="2" t="inlineStr">
        <is>
          <t>OK</t>
        </is>
      </c>
      <c r="M233" s="2" t="inlineStr">
        <is>
          <t>96h × 40/h = 3,840（大环境箱单价）</t>
        </is>
      </c>
    </row>
    <row r="234" ht="18" customHeight="1" s="4">
      <c r="A234" s="2" t="inlineStr">
        <is>
          <t>苏勃</t>
        </is>
      </c>
      <c r="B234" s="2" t="n">
        <v>18</v>
      </c>
      <c r="C234" s="2" t="inlineStr">
        <is>
          <t>DV</t>
        </is>
      </c>
      <c r="D234" s="2" t="inlineStr">
        <is>
          <t>Group A Sequence Tests</t>
        </is>
      </c>
      <c r="E234" s="2" t="inlineStr">
        <is>
          <t>K5</t>
        </is>
      </c>
      <c r="F234" s="2" t="inlineStr">
        <is>
          <t>K5 Temperature Step Test</t>
        </is>
      </c>
      <c r="G234" s="2" t="inlineStr">
        <is>
          <t>1-12</t>
        </is>
      </c>
      <c r="H234" s="2" t="inlineStr">
        <is>
          <t>1 批</t>
        </is>
      </c>
      <c r="I234" s="3" t="n">
        <v>5000</v>
      </c>
      <c r="J234" s="3" t="n">
        <v>5000</v>
      </c>
      <c r="K234" s="3" t="n">
        <v>0</v>
      </c>
      <c r="L234" s="2" t="inlineStr">
        <is>
          <t>OK</t>
        </is>
      </c>
      <c r="M234" s="2" t="inlineStr">
        <is>
          <t>1批 × 5,000/批 = 5,000</t>
        </is>
      </c>
    </row>
    <row r="235" ht="18" customHeight="1" s="4">
      <c r="A235" s="2" t="inlineStr">
        <is>
          <t>苏勃</t>
        </is>
      </c>
      <c r="B235" s="2" t="n">
        <v>19</v>
      </c>
      <c r="C235" s="2" t="inlineStr">
        <is>
          <t>DV</t>
        </is>
      </c>
      <c r="D235" s="2" t="inlineStr">
        <is>
          <t>Group A Sequence Tests</t>
        </is>
      </c>
      <c r="E235" s="2" t="inlineStr">
        <is>
          <t>K6</t>
        </is>
      </c>
      <c r="F235" s="2" t="inlineStr">
        <is>
          <t>K6 Power Thermal Cycle</t>
        </is>
      </c>
      <c r="G235" s="2" t="inlineStr">
        <is>
          <t>1-12</t>
        </is>
      </c>
      <c r="H235" s="2" t="inlineStr">
        <is>
          <t>240 h</t>
        </is>
      </c>
      <c r="I235" s="3" t="n">
        <v>9600</v>
      </c>
      <c r="J235" s="3" t="n">
        <v>9600</v>
      </c>
      <c r="K235" s="3" t="n">
        <v>0</v>
      </c>
      <c r="L235" s="2" t="inlineStr">
        <is>
          <t>OK</t>
        </is>
      </c>
      <c r="M235" s="2" t="inlineStr">
        <is>
          <t>240h × 40/h = 9,600（大环境箱单价）</t>
        </is>
      </c>
    </row>
    <row r="236" ht="18" customHeight="1" s="4">
      <c r="A236" s="2" t="inlineStr">
        <is>
          <t>苏勃</t>
        </is>
      </c>
      <c r="B236" s="2" t="n">
        <v>20</v>
      </c>
      <c r="C236" s="2" t="inlineStr">
        <is>
          <t>DV</t>
        </is>
      </c>
      <c r="D236" s="2" t="inlineStr">
        <is>
          <t>Group A Sequence Tests</t>
        </is>
      </c>
      <c r="E236" s="2" t="inlineStr">
        <is>
          <t>K7</t>
        </is>
      </c>
      <c r="F236" s="2" t="inlineStr">
        <is>
          <t>K7 Thermal Shock in Air</t>
        </is>
      </c>
      <c r="G236" s="2" t="inlineStr">
        <is>
          <t>1-12</t>
        </is>
      </c>
      <c r="H236" s="2" t="inlineStr">
        <is>
          <t>105 h</t>
        </is>
      </c>
      <c r="I236" s="3" t="n">
        <v>10500</v>
      </c>
      <c r="J236" s="3" t="n">
        <v>10500</v>
      </c>
      <c r="K236" s="3" t="n">
        <v>0</v>
      </c>
      <c r="L236" s="2" t="inlineStr">
        <is>
          <t>OK</t>
        </is>
      </c>
      <c r="M236" s="2" t="inlineStr">
        <is>
          <t>105h × 100/h = 10,500</t>
        </is>
      </c>
    </row>
    <row r="237" ht="18" customHeight="1" s="4">
      <c r="A237" s="2" t="inlineStr">
        <is>
          <t>苏勃</t>
        </is>
      </c>
      <c r="B237" s="2" t="n">
        <v>21</v>
      </c>
      <c r="C237" s="2" t="inlineStr">
        <is>
          <t>DV</t>
        </is>
      </c>
      <c r="D237" s="2" t="inlineStr">
        <is>
          <t>Group A Sequence Tests</t>
        </is>
      </c>
      <c r="E237" s="2" t="inlineStr">
        <is>
          <t>K15</t>
        </is>
      </c>
      <c r="F237" s="2" t="inlineStr">
        <is>
          <t>K15 Vibration</t>
        </is>
      </c>
      <c r="G237" s="2" t="inlineStr">
        <is>
          <t>1-12</t>
        </is>
      </c>
      <c r="H237" s="2" t="inlineStr">
        <is>
          <t>48 h</t>
        </is>
      </c>
      <c r="I237" s="3" t="n">
        <v>28800</v>
      </c>
      <c r="J237" s="3" t="n">
        <v>28800</v>
      </c>
      <c r="K237" s="3" t="n">
        <v>0</v>
      </c>
      <c r="L237" s="2" t="inlineStr">
        <is>
          <t>OK</t>
        </is>
      </c>
      <c r="M237" s="2" t="inlineStr">
        <is>
          <t>48h × 600/h = 28,800</t>
        </is>
      </c>
    </row>
    <row r="238" ht="36" customHeight="1" s="4">
      <c r="A238" s="2" t="inlineStr">
        <is>
          <t>苏勃</t>
        </is>
      </c>
      <c r="B238" s="2" t="n">
        <v>22</v>
      </c>
      <c r="C238" s="2" t="inlineStr">
        <is>
          <t>DV</t>
        </is>
      </c>
      <c r="D238" s="2" t="inlineStr">
        <is>
          <t>Group A Sequence Tests</t>
        </is>
      </c>
      <c r="E238" s="2" t="inlineStr">
        <is>
          <t>K16.1</t>
        </is>
      </c>
      <c r="F238" s="2" t="inlineStr">
        <is>
          <t>K16.1 Mechanical Shock Package Drop</t>
        </is>
      </c>
      <c r="G238" s="2" t="inlineStr">
        <is>
          <t>1-14</t>
        </is>
      </c>
      <c r="H238" s="2" t="inlineStr">
        <is>
          <t>14 个样品</t>
        </is>
      </c>
      <c r="I238" s="3" t="n">
        <v>4200</v>
      </c>
      <c r="J238" s="3" t="n">
        <v>4200</v>
      </c>
      <c r="K238" s="3" t="n">
        <v>0</v>
      </c>
      <c r="L238" s="2" t="inlineStr">
        <is>
          <t>OK</t>
        </is>
      </c>
      <c r="M238" s="2" t="inlineStr">
        <is>
          <t>14个 × 300/个 = 4,200</t>
        </is>
      </c>
    </row>
    <row r="239" ht="18" customHeight="1" s="4">
      <c r="A239" s="2" t="inlineStr">
        <is>
          <t>苏勃</t>
        </is>
      </c>
      <c r="B239" s="2" t="n">
        <v>23</v>
      </c>
      <c r="C239" s="2" t="inlineStr">
        <is>
          <t>DV</t>
        </is>
      </c>
      <c r="D239" s="2" t="inlineStr">
        <is>
          <t>Group A Sequence Tests</t>
        </is>
      </c>
      <c r="E239" s="2" t="inlineStr">
        <is>
          <t>K16.4</t>
        </is>
      </c>
      <c r="F239" s="2" t="inlineStr">
        <is>
          <t>K16.4 Mechanical Shock Low</t>
        </is>
      </c>
      <c r="G239" s="2" t="inlineStr">
        <is>
          <t>1-12</t>
        </is>
      </c>
      <c r="H239" s="2" t="inlineStr">
        <is>
          <t>12 个样品</t>
        </is>
      </c>
      <c r="I239" s="3" t="n">
        <v>3600</v>
      </c>
      <c r="J239" s="3" t="n">
        <v>3600</v>
      </c>
      <c r="K239" s="3" t="n">
        <v>0</v>
      </c>
      <c r="L239" s="2" t="inlineStr">
        <is>
          <t>OK</t>
        </is>
      </c>
      <c r="M239" s="2" t="inlineStr">
        <is>
          <t>12个 × 300/个 = 3,600</t>
        </is>
      </c>
    </row>
    <row r="240" ht="18" customHeight="1" s="4">
      <c r="A240" s="2" t="inlineStr">
        <is>
          <t>苏勃</t>
        </is>
      </c>
      <c r="B240" s="2" t="n">
        <v>24</v>
      </c>
      <c r="C240" s="2" t="inlineStr">
        <is>
          <t>DV</t>
        </is>
      </c>
      <c r="D240" s="2" t="inlineStr">
        <is>
          <t>Group A Sequence Tests</t>
        </is>
      </c>
      <c r="E240" s="2" t="inlineStr">
        <is>
          <t>K17</t>
        </is>
      </c>
      <c r="F240" s="2" t="inlineStr">
        <is>
          <t>K17 Audible Noise</t>
        </is>
      </c>
      <c r="G240" s="2" t="inlineStr">
        <is>
          <t>1-12</t>
        </is>
      </c>
      <c r="H240" s="2" t="inlineStr">
        <is>
          <t>12 个样品</t>
        </is>
      </c>
      <c r="I240" s="3" t="n">
        <v>36000</v>
      </c>
      <c r="J240" s="3" t="n">
        <v>36000</v>
      </c>
      <c r="K240" s="3" t="n">
        <v>0</v>
      </c>
      <c r="L240" s="2" t="inlineStr">
        <is>
          <t>OK</t>
        </is>
      </c>
      <c r="M240" s="2" t="inlineStr">
        <is>
          <t>12个 × 3,000/个 = 36,000</t>
        </is>
      </c>
    </row>
    <row r="241" ht="18" customHeight="1" s="4">
      <c r="A241" s="2" t="inlineStr">
        <is>
          <t>苏勃</t>
        </is>
      </c>
      <c r="B241" s="2" t="n">
        <v>25</v>
      </c>
      <c r="C241" s="2" t="inlineStr">
        <is>
          <t>DV</t>
        </is>
      </c>
      <c r="D241" s="2" t="inlineStr">
        <is>
          <t>Group A Sequence Tests</t>
        </is>
      </c>
      <c r="E241" s="2" t="inlineStr">
        <is>
          <t>K9</t>
        </is>
      </c>
      <c r="F241" s="2" t="inlineStr">
        <is>
          <t>K9 Temperature/Humidity Cycle</t>
        </is>
      </c>
      <c r="G241" s="2" t="inlineStr">
        <is>
          <t>1-12</t>
        </is>
      </c>
      <c r="H241" s="2" t="inlineStr">
        <is>
          <t>264 h</t>
        </is>
      </c>
      <c r="I241" s="3" t="n">
        <v>10560</v>
      </c>
      <c r="J241" s="3" t="n">
        <v>10560</v>
      </c>
      <c r="K241" s="3" t="n">
        <v>0</v>
      </c>
      <c r="L241" s="2" t="inlineStr">
        <is>
          <t>OK</t>
        </is>
      </c>
      <c r="M241" s="2" t="inlineStr">
        <is>
          <t>264h × 40/h = 10,560（大环境箱单价）</t>
        </is>
      </c>
    </row>
    <row r="242" ht="18" customHeight="1" s="4">
      <c r="A242" s="2" t="inlineStr">
        <is>
          <t>苏勃</t>
        </is>
      </c>
      <c r="B242" s="2" t="n">
        <v>26</v>
      </c>
      <c r="C242" s="2" t="inlineStr">
        <is>
          <t>DV</t>
        </is>
      </c>
      <c r="D242" s="2" t="inlineStr">
        <is>
          <t>Group A Sequence Tests</t>
        </is>
      </c>
      <c r="E242" s="2" t="inlineStr">
        <is>
          <t>K10</t>
        </is>
      </c>
      <c r="F242" s="2" t="inlineStr">
        <is>
          <t>K10 Water/Fluid Ingress Test</t>
        </is>
      </c>
      <c r="G242" s="2" t="inlineStr">
        <is>
          <t>1-12</t>
        </is>
      </c>
      <c r="H242" s="2" t="inlineStr">
        <is>
          <t>12 个样品</t>
        </is>
      </c>
      <c r="I242" s="3" t="n">
        <v>6000</v>
      </c>
      <c r="J242" s="3" t="n">
        <v>6000</v>
      </c>
      <c r="K242" s="3" t="n">
        <v>0</v>
      </c>
      <c r="L242" s="2" t="inlineStr">
        <is>
          <t>OK</t>
        </is>
      </c>
      <c r="M242" s="2" t="inlineStr">
        <is>
          <t>12个 × 500/个 = 6,000</t>
        </is>
      </c>
    </row>
    <row r="243" ht="18" customHeight="1" s="4">
      <c r="A243" s="2" t="inlineStr">
        <is>
          <t>苏勃</t>
        </is>
      </c>
      <c r="B243" s="2" t="n">
        <v>27</v>
      </c>
      <c r="C243" s="2" t="inlineStr">
        <is>
          <t>DV</t>
        </is>
      </c>
      <c r="D243" s="2" t="inlineStr">
        <is>
          <t>Group A Sequence Tests</t>
        </is>
      </c>
      <c r="E243" s="2" t="inlineStr">
        <is>
          <t>K13</t>
        </is>
      </c>
      <c r="F243" s="2" t="inlineStr">
        <is>
          <t>K13 Dust Ingress</t>
        </is>
      </c>
      <c r="G243" s="2" t="inlineStr">
        <is>
          <t>1-12</t>
        </is>
      </c>
      <c r="H243" s="2" t="inlineStr">
        <is>
          <t>4 批</t>
        </is>
      </c>
      <c r="I243" s="3" t="n">
        <v>7200</v>
      </c>
      <c r="J243" s="3" t="n">
        <v>7200</v>
      </c>
      <c r="K243" s="3" t="n">
        <v>0</v>
      </c>
      <c r="L243" s="2" t="inlineStr">
        <is>
          <t>OK</t>
        </is>
      </c>
      <c r="M243" s="2" t="inlineStr">
        <is>
          <t>4批 × 1,800/批 = 7,200</t>
        </is>
      </c>
    </row>
    <row r="244" ht="36" customHeight="1" s="4">
      <c r="A244" s="2" t="inlineStr">
        <is>
          <t>苏勃</t>
        </is>
      </c>
      <c r="B244" s="2" t="n">
        <v>28</v>
      </c>
      <c r="C244" s="2" t="inlineStr">
        <is>
          <t>DV</t>
        </is>
      </c>
      <c r="D244" s="2" t="inlineStr">
        <is>
          <t>Group A Sequence Tests</t>
        </is>
      </c>
      <c r="E244" s="2" t="inlineStr">
        <is>
          <t>L1&amp;L4</t>
        </is>
      </c>
      <c r="F244" s="2" t="inlineStr">
        <is>
          <t>L1&amp;L4 Performance Evaluation &amp; Functional Evaluation</t>
        </is>
      </c>
      <c r="G244" s="2" t="inlineStr">
        <is>
          <t>1-14</t>
        </is>
      </c>
      <c r="H244" s="2" t="inlineStr">
        <is>
          <t>14 个样品</t>
        </is>
      </c>
      <c r="I244" s="3" t="n">
        <v>5600</v>
      </c>
      <c r="J244" s="3" t="n">
        <v>5600</v>
      </c>
      <c r="K244" s="3" t="n">
        <v>0</v>
      </c>
      <c r="L244" s="2" t="inlineStr">
        <is>
          <t>OK</t>
        </is>
      </c>
      <c r="M244" s="2" t="inlineStr">
        <is>
          <t>14个 × 400/个 = 5,600</t>
        </is>
      </c>
    </row>
    <row r="245" ht="36" customHeight="1" s="4">
      <c r="A245" s="2" t="inlineStr">
        <is>
          <t>苏勃</t>
        </is>
      </c>
      <c r="B245" s="2" t="n">
        <v>31</v>
      </c>
      <c r="C245" s="2" t="inlineStr">
        <is>
          <t>DV</t>
        </is>
      </c>
      <c r="D245" s="2" t="inlineStr">
        <is>
          <t>Group B Sequence Tests</t>
        </is>
      </c>
      <c r="E245" s="2" t="inlineStr">
        <is>
          <t>L1&amp;L4</t>
        </is>
      </c>
      <c r="F245" s="2" t="inlineStr">
        <is>
          <t>L1&amp;L4 Performance Evaluation &amp; Functional Evaluation</t>
        </is>
      </c>
      <c r="G245" s="2" t="inlineStr">
        <is>
          <t>15-26</t>
        </is>
      </c>
      <c r="H245" s="2" t="inlineStr">
        <is>
          <t>12 个样品</t>
        </is>
      </c>
      <c r="I245" s="3" t="n">
        <v>4800</v>
      </c>
      <c r="J245" s="3" t="n">
        <v>4800</v>
      </c>
      <c r="K245" s="3" t="n">
        <v>0</v>
      </c>
      <c r="L245" s="2" t="inlineStr">
        <is>
          <t>OK</t>
        </is>
      </c>
      <c r="M245" s="2" t="inlineStr">
        <is>
          <t>12个 × 400/个 = 4,800</t>
        </is>
      </c>
    </row>
    <row r="246" ht="18" customHeight="1" s="4">
      <c r="A246" s="2" t="inlineStr">
        <is>
          <t>苏勃</t>
        </is>
      </c>
      <c r="B246" s="2" t="n">
        <v>32</v>
      </c>
      <c r="C246" s="2" t="inlineStr">
        <is>
          <t>DV</t>
        </is>
      </c>
      <c r="D246" s="2" t="inlineStr">
        <is>
          <t>Group B Sequence Tests</t>
        </is>
      </c>
      <c r="E246" s="2" t="inlineStr">
        <is>
          <t>K22</t>
        </is>
      </c>
      <c r="F246" s="2" t="inlineStr">
        <is>
          <t>K22 Chemical Resistance</t>
        </is>
      </c>
      <c r="G246" s="2" t="inlineStr">
        <is>
          <t>15-26</t>
        </is>
      </c>
      <c r="H246" s="2" t="inlineStr">
        <is>
          <t>72 h</t>
        </is>
      </c>
      <c r="I246" s="3" t="n">
        <v>6660</v>
      </c>
      <c r="J246" s="3" t="n">
        <v>6660</v>
      </c>
      <c r="K246" s="3" t="n">
        <v>0</v>
      </c>
      <c r="L246" s="2" t="inlineStr">
        <is>
          <t>OK</t>
        </is>
      </c>
      <c r="M246" s="2" t="inlineStr">
        <is>
          <t>特殊组合计费，按规则表总价 = 6,660</t>
        </is>
      </c>
    </row>
    <row r="247" ht="36" customHeight="1" s="4">
      <c r="A247" s="2" t="inlineStr">
        <is>
          <t>苏勃</t>
        </is>
      </c>
      <c r="B247" s="2" t="n">
        <v>33</v>
      </c>
      <c r="C247" s="2" t="inlineStr">
        <is>
          <t>DV</t>
        </is>
      </c>
      <c r="D247" s="2" t="inlineStr">
        <is>
          <t>Group B Sequence Tests</t>
        </is>
      </c>
      <c r="E247" s="2" t="inlineStr">
        <is>
          <t>K18</t>
        </is>
      </c>
      <c r="F247" s="2" t="inlineStr">
        <is>
          <t>K18 Connector and lead/lock strength</t>
        </is>
      </c>
      <c r="G247" s="2" t="inlineStr">
        <is>
          <t>15-26</t>
        </is>
      </c>
      <c r="H247" s="2" t="inlineStr">
        <is>
          <t>12 个样品</t>
        </is>
      </c>
      <c r="I247" s="3" t="n">
        <v>9500</v>
      </c>
      <c r="J247" s="3" t="n">
        <v>9500</v>
      </c>
      <c r="K247" s="3" t="n">
        <v>0</v>
      </c>
      <c r="L247" s="2" t="inlineStr">
        <is>
          <t>OK</t>
        </is>
      </c>
      <c r="M247" s="2" t="inlineStr">
        <is>
          <t>特殊组合计费，按规则表总价 = 9,500</t>
        </is>
      </c>
    </row>
    <row r="248" ht="36" customHeight="1" s="4">
      <c r="A248" s="2" t="inlineStr">
        <is>
          <t>苏勃</t>
        </is>
      </c>
      <c r="B248" s="2" t="n">
        <v>34</v>
      </c>
      <c r="C248" s="2" t="inlineStr">
        <is>
          <t>DV</t>
        </is>
      </c>
      <c r="D248" s="2" t="inlineStr">
        <is>
          <t>Group B Sequence Tests</t>
        </is>
      </c>
      <c r="E248" s="2" t="inlineStr">
        <is>
          <t>L1&amp;L4</t>
        </is>
      </c>
      <c r="F248" s="2" t="inlineStr">
        <is>
          <t>L1&amp;L4 Performance Evaluation &amp; Functional Evaluation</t>
        </is>
      </c>
      <c r="G248" s="2" t="inlineStr">
        <is>
          <t>15-26</t>
        </is>
      </c>
      <c r="H248" s="2" t="inlineStr">
        <is>
          <t>12 个样品</t>
        </is>
      </c>
      <c r="I248" s="3" t="n">
        <v>4800</v>
      </c>
      <c r="J248" s="3" t="n">
        <v>4800</v>
      </c>
      <c r="K248" s="3" t="n">
        <v>0</v>
      </c>
      <c r="L248" s="2" t="inlineStr">
        <is>
          <t>OK</t>
        </is>
      </c>
      <c r="M248" s="2" t="inlineStr">
        <is>
          <t>12个 × 400/个 = 4,800</t>
        </is>
      </c>
    </row>
    <row r="249" ht="36" customHeight="1" s="4">
      <c r="A249" s="2" t="inlineStr">
        <is>
          <t>苏勃</t>
        </is>
      </c>
      <c r="B249" s="2" t="n">
        <v>37</v>
      </c>
      <c r="C249" s="2" t="inlineStr">
        <is>
          <t>DV</t>
        </is>
      </c>
      <c r="D249" s="2" t="inlineStr">
        <is>
          <t>Group C Sequence Tests</t>
        </is>
      </c>
      <c r="E249" s="2" t="inlineStr">
        <is>
          <t>L1&amp;L4</t>
        </is>
      </c>
      <c r="F249" s="2" t="inlineStr">
        <is>
          <t>L1&amp;L4 Performance Evaluation &amp; Functional Evaluation</t>
        </is>
      </c>
      <c r="G249" s="2" t="inlineStr">
        <is>
          <t>27-32</t>
        </is>
      </c>
      <c r="H249" s="2" t="inlineStr">
        <is>
          <t>6 个样品</t>
        </is>
      </c>
      <c r="I249" s="3" t="n">
        <v>2400</v>
      </c>
      <c r="J249" s="3" t="n">
        <v>2400</v>
      </c>
      <c r="K249" s="3" t="n">
        <v>0</v>
      </c>
      <c r="L249" s="2" t="inlineStr">
        <is>
          <t>OK</t>
        </is>
      </c>
      <c r="M249" s="2" t="inlineStr">
        <is>
          <t>6个 × 400/个 = 2,400</t>
        </is>
      </c>
    </row>
    <row r="250" ht="18" customHeight="1" s="4">
      <c r="A250" s="2" t="inlineStr">
        <is>
          <t>苏勃</t>
        </is>
      </c>
      <c r="B250" s="2" t="n">
        <v>38</v>
      </c>
      <c r="C250" s="2" t="inlineStr">
        <is>
          <t>DV</t>
        </is>
      </c>
      <c r="D250" s="2" t="inlineStr">
        <is>
          <t>Group C Sequence Tests</t>
        </is>
      </c>
      <c r="E250" s="2" t="inlineStr">
        <is>
          <t>K7</t>
        </is>
      </c>
      <c r="F250" s="2" t="inlineStr">
        <is>
          <t>K7 Thermal Shock in Air</t>
        </is>
      </c>
      <c r="G250" s="2" t="inlineStr">
        <is>
          <t>27-32</t>
        </is>
      </c>
      <c r="H250" s="2" t="inlineStr">
        <is>
          <t>105 h</t>
        </is>
      </c>
      <c r="I250" s="3" t="n">
        <v>10500</v>
      </c>
      <c r="J250" s="3" t="n">
        <v>10500</v>
      </c>
      <c r="K250" s="3" t="n">
        <v>0</v>
      </c>
      <c r="L250" s="2" t="inlineStr">
        <is>
          <t>OK</t>
        </is>
      </c>
      <c r="M250" s="2" t="inlineStr">
        <is>
          <t>105h × 100/h = 10,500</t>
        </is>
      </c>
    </row>
    <row r="251" ht="36" customHeight="1" s="4">
      <c r="A251" s="2" t="inlineStr">
        <is>
          <t>苏勃</t>
        </is>
      </c>
      <c r="B251" s="2" t="n">
        <v>39</v>
      </c>
      <c r="C251" s="2" t="inlineStr">
        <is>
          <t>DV</t>
        </is>
      </c>
      <c r="D251" s="2" t="inlineStr">
        <is>
          <t>Group C Sequence Tests</t>
        </is>
      </c>
      <c r="E251" s="2" t="inlineStr">
        <is>
          <t>Particle</t>
        </is>
      </c>
      <c r="F251" s="2" t="inlineStr">
        <is>
          <t>Particle Exposure</t>
        </is>
      </c>
      <c r="G251" s="2" t="inlineStr">
        <is>
          <t>27-32</t>
        </is>
      </c>
      <c r="H251" s="2" t="n"/>
      <c r="I251" s="3" t="n">
        <v>13000</v>
      </c>
      <c r="J251" s="3" t="n">
        <v>13000</v>
      </c>
      <c r="K251" s="3" t="n">
        <v>0</v>
      </c>
      <c r="L251" s="2" t="inlineStr">
        <is>
          <t>OK</t>
        </is>
      </c>
      <c r="M251" s="2" t="inlineStr">
        <is>
          <t>A组已计入粉尘费/清洁费，当前仅计批次费：2批 × 6,500/批 = 13,000</t>
        </is>
      </c>
    </row>
    <row r="252" ht="18" customHeight="1" s="4">
      <c r="A252" s="2" t="inlineStr">
        <is>
          <t>苏勃</t>
        </is>
      </c>
      <c r="B252" s="2" t="n">
        <v>40</v>
      </c>
      <c r="C252" s="2" t="inlineStr">
        <is>
          <t>DV</t>
        </is>
      </c>
      <c r="D252" s="2" t="inlineStr">
        <is>
          <t>Group C Sequence Tests</t>
        </is>
      </c>
      <c r="E252" s="2" t="inlineStr">
        <is>
          <t>K15</t>
        </is>
      </c>
      <c r="F252" s="2" t="inlineStr">
        <is>
          <t>K15 Vibartion</t>
        </is>
      </c>
      <c r="G252" s="2" t="inlineStr">
        <is>
          <t>27-32</t>
        </is>
      </c>
      <c r="H252" s="2" t="inlineStr">
        <is>
          <t>24 h</t>
        </is>
      </c>
      <c r="I252" s="3" t="n">
        <v>14400</v>
      </c>
      <c r="J252" s="3" t="n">
        <v>14400</v>
      </c>
      <c r="K252" s="3" t="n">
        <v>0</v>
      </c>
      <c r="L252" s="2" t="inlineStr">
        <is>
          <t>OK</t>
        </is>
      </c>
      <c r="M252" s="2" t="inlineStr">
        <is>
          <t>24h × 600/h = 14,400</t>
        </is>
      </c>
    </row>
    <row r="253" ht="18" customHeight="1" s="4">
      <c r="A253" s="2" t="inlineStr">
        <is>
          <t>苏勃</t>
        </is>
      </c>
      <c r="B253" s="2" t="n">
        <v>41</v>
      </c>
      <c r="C253" s="2" t="inlineStr">
        <is>
          <t>DV</t>
        </is>
      </c>
      <c r="D253" s="2" t="inlineStr">
        <is>
          <t>Group C Sequence Tests</t>
        </is>
      </c>
      <c r="E253" s="2" t="inlineStr">
        <is>
          <t>K13</t>
        </is>
      </c>
      <c r="F253" s="2" t="inlineStr">
        <is>
          <t>K13 Dust Ingress</t>
        </is>
      </c>
      <c r="G253" s="2" t="inlineStr">
        <is>
          <t>27-32</t>
        </is>
      </c>
      <c r="H253" s="2" t="inlineStr">
        <is>
          <t>2 批</t>
        </is>
      </c>
      <c r="I253" s="3" t="n">
        <v>3600</v>
      </c>
      <c r="J253" s="3" t="n">
        <v>3600</v>
      </c>
      <c r="K253" s="3" t="n">
        <v>0</v>
      </c>
      <c r="L253" s="2" t="inlineStr">
        <is>
          <t>OK</t>
        </is>
      </c>
      <c r="M253" s="2" t="inlineStr">
        <is>
          <t>2批 × 1,800/批 = 3,600</t>
        </is>
      </c>
    </row>
    <row r="254" ht="18" customHeight="1" s="4">
      <c r="A254" s="2" t="inlineStr">
        <is>
          <t>苏勃</t>
        </is>
      </c>
      <c r="B254" s="2" t="n">
        <v>42</v>
      </c>
      <c r="C254" s="2" t="inlineStr">
        <is>
          <t>DV</t>
        </is>
      </c>
      <c r="D254" s="2" t="inlineStr">
        <is>
          <t>Group C Sequence Tests</t>
        </is>
      </c>
      <c r="E254" s="2" t="inlineStr">
        <is>
          <t>K26</t>
        </is>
      </c>
      <c r="F254" s="2" t="inlineStr">
        <is>
          <t>K26 Mechanical Wear-Out</t>
        </is>
      </c>
      <c r="G254" s="2" t="inlineStr">
        <is>
          <t>27-32</t>
        </is>
      </c>
      <c r="H254" s="2" t="inlineStr">
        <is>
          <t>500 h</t>
        </is>
      </c>
      <c r="I254" s="3" t="n">
        <v>11660</v>
      </c>
      <c r="J254" s="3" t="n">
        <v>11660</v>
      </c>
      <c r="K254" s="3" t="n">
        <v>0</v>
      </c>
      <c r="L254" s="2" t="inlineStr">
        <is>
          <t>OK</t>
        </is>
      </c>
      <c r="M254" s="2" t="inlineStr">
        <is>
          <t>特殊组合计费，按规则表总价 = 11,660</t>
        </is>
      </c>
    </row>
    <row r="255" ht="36" customHeight="1" s="4">
      <c r="A255" s="2" t="inlineStr">
        <is>
          <t>苏勃</t>
        </is>
      </c>
      <c r="B255" s="2" t="n">
        <v>43</v>
      </c>
      <c r="C255" s="2" t="inlineStr">
        <is>
          <t>DV</t>
        </is>
      </c>
      <c r="D255" s="2" t="inlineStr">
        <is>
          <t>Group C Sequence Tests</t>
        </is>
      </c>
      <c r="E255" s="2" t="inlineStr">
        <is>
          <t>L1&amp;L4</t>
        </is>
      </c>
      <c r="F255" s="2" t="inlineStr">
        <is>
          <t>L1&amp;L4 Performance Evaluation &amp; Functional Evaluation</t>
        </is>
      </c>
      <c r="G255" s="2" t="inlineStr">
        <is>
          <t>27-32</t>
        </is>
      </c>
      <c r="H255" s="2" t="inlineStr">
        <is>
          <t>6 个样品</t>
        </is>
      </c>
      <c r="I255" s="3" t="n">
        <v>2400</v>
      </c>
      <c r="J255" s="3" t="n">
        <v>2400</v>
      </c>
      <c r="K255" s="3" t="n">
        <v>0</v>
      </c>
      <c r="L255" s="2" t="inlineStr">
        <is>
          <t>OK</t>
        </is>
      </c>
      <c r="M255" s="2" t="inlineStr">
        <is>
          <t>6个 × 400/个 = 2,400</t>
        </is>
      </c>
    </row>
    <row r="256" ht="36" customHeight="1" s="4">
      <c r="A256" s="2" t="inlineStr">
        <is>
          <t>苏勃</t>
        </is>
      </c>
      <c r="B256" s="2" t="n">
        <v>46</v>
      </c>
      <c r="C256" s="2" t="inlineStr">
        <is>
          <t>DV</t>
        </is>
      </c>
      <c r="D256" s="2" t="inlineStr">
        <is>
          <t>Group D Parallel Tests / D-1 Corrosive Gases</t>
        </is>
      </c>
      <c r="E256" s="2" t="inlineStr">
        <is>
          <t>L1&amp;L4</t>
        </is>
      </c>
      <c r="F256" s="2" t="inlineStr">
        <is>
          <t>L1&amp;L4 Performance Evaluation &amp; Functional Evaluation</t>
        </is>
      </c>
      <c r="G256" s="2" t="inlineStr">
        <is>
          <t>33-38</t>
        </is>
      </c>
      <c r="H256" s="2" t="inlineStr">
        <is>
          <t>6 个样品</t>
        </is>
      </c>
      <c r="I256" s="3" t="n">
        <v>2400</v>
      </c>
      <c r="J256" s="3" t="n">
        <v>2400</v>
      </c>
      <c r="K256" s="3" t="n">
        <v>0</v>
      </c>
      <c r="L256" s="2" t="inlineStr">
        <is>
          <t>OK</t>
        </is>
      </c>
      <c r="M256" s="2" t="inlineStr">
        <is>
          <t>6个 × 400/个 = 2,400</t>
        </is>
      </c>
    </row>
    <row r="257" ht="36" customHeight="1" s="4">
      <c r="A257" s="2" t="inlineStr">
        <is>
          <t>苏勃</t>
        </is>
      </c>
      <c r="B257" s="2" t="n">
        <v>47</v>
      </c>
      <c r="C257" s="2" t="inlineStr">
        <is>
          <t>DV</t>
        </is>
      </c>
      <c r="D257" s="2" t="inlineStr">
        <is>
          <t>Group D Parallel Tests / D-1 Corrosive Gases</t>
        </is>
      </c>
      <c r="E257" s="2" t="inlineStr">
        <is>
          <t>K21</t>
        </is>
      </c>
      <c r="F257" s="2" t="inlineStr">
        <is>
          <t>K21 Corrosive Gases</t>
        </is>
      </c>
      <c r="G257" s="2" t="inlineStr">
        <is>
          <t>33-38</t>
        </is>
      </c>
      <c r="H257" s="2" t="inlineStr">
        <is>
          <t>336 h</t>
        </is>
      </c>
      <c r="I257" s="3" t="n">
        <v>50400</v>
      </c>
      <c r="J257" s="3" t="n">
        <v>50400</v>
      </c>
      <c r="K257" s="3" t="n">
        <v>0</v>
      </c>
      <c r="L257" s="2" t="inlineStr">
        <is>
          <t>OK</t>
        </is>
      </c>
      <c r="M257" s="2" t="inlineStr">
        <is>
          <t>336h × 150/h = 50,400</t>
        </is>
      </c>
    </row>
    <row r="258" ht="36" customHeight="1" s="4">
      <c r="A258" s="2" t="inlineStr">
        <is>
          <t>苏勃</t>
        </is>
      </c>
      <c r="B258" s="2" t="n">
        <v>48</v>
      </c>
      <c r="C258" s="2" t="inlineStr">
        <is>
          <t>DV</t>
        </is>
      </c>
      <c r="D258" s="2" t="inlineStr">
        <is>
          <t>Group D Parallel Tests / D-1 Corrosive Gases</t>
        </is>
      </c>
      <c r="E258" s="2" t="inlineStr">
        <is>
          <t>L1&amp;L4</t>
        </is>
      </c>
      <c r="F258" s="2" t="inlineStr">
        <is>
          <t>L1&amp;L4 Performance Evaluation &amp; Functional Evaluation</t>
        </is>
      </c>
      <c r="G258" s="2" t="inlineStr">
        <is>
          <t>33-38</t>
        </is>
      </c>
      <c r="H258" s="2" t="inlineStr">
        <is>
          <t>6 个样品</t>
        </is>
      </c>
      <c r="I258" s="3" t="n">
        <v>2400</v>
      </c>
      <c r="J258" s="3" t="n">
        <v>2400</v>
      </c>
      <c r="K258" s="3" t="n">
        <v>0</v>
      </c>
      <c r="L258" s="2" t="inlineStr">
        <is>
          <t>OK</t>
        </is>
      </c>
      <c r="M258" s="2" t="inlineStr">
        <is>
          <t>6个 × 400/个 = 2,400</t>
        </is>
      </c>
    </row>
    <row r="259" ht="36" customHeight="1" s="4">
      <c r="A259" s="2" t="inlineStr">
        <is>
          <t>苏勃</t>
        </is>
      </c>
      <c r="B259" s="2" t="n">
        <v>51</v>
      </c>
      <c r="C259" s="2" t="inlineStr">
        <is>
          <t>DV</t>
        </is>
      </c>
      <c r="D259" s="2" t="inlineStr">
        <is>
          <t>Group D Parallel Tests / D-2 Solar Radiation</t>
        </is>
      </c>
      <c r="E259" s="2" t="inlineStr">
        <is>
          <t>L1&amp;L4</t>
        </is>
      </c>
      <c r="F259" s="2" t="inlineStr">
        <is>
          <t>L1&amp;L4 Performance Evaluation &amp; Functional Evaluation</t>
        </is>
      </c>
      <c r="G259" s="2" t="inlineStr">
        <is>
          <t>39-44</t>
        </is>
      </c>
      <c r="H259" s="2" t="inlineStr">
        <is>
          <t>6 个样品</t>
        </is>
      </c>
      <c r="I259" s="3" t="n">
        <v>2400</v>
      </c>
      <c r="J259" s="3" t="n">
        <v>2400</v>
      </c>
      <c r="K259" s="3" t="n">
        <v>0</v>
      </c>
      <c r="L259" s="2" t="inlineStr">
        <is>
          <t>OK</t>
        </is>
      </c>
      <c r="M259" s="2" t="inlineStr">
        <is>
          <t>6个 × 400/个 = 2,400</t>
        </is>
      </c>
    </row>
    <row r="260" ht="36" customHeight="1" s="4">
      <c r="A260" s="2" t="inlineStr">
        <is>
          <t>苏勃</t>
        </is>
      </c>
      <c r="B260" s="2" t="n">
        <v>52</v>
      </c>
      <c r="C260" s="2" t="inlineStr">
        <is>
          <t>DV</t>
        </is>
      </c>
      <c r="D260" s="2" t="inlineStr">
        <is>
          <t>Group D Parallel Tests / D-2 Solar Radiation</t>
        </is>
      </c>
      <c r="E260" s="2" t="inlineStr">
        <is>
          <t>K20</t>
        </is>
      </c>
      <c r="F260" s="2" t="inlineStr">
        <is>
          <t>K20 Solar Radiation</t>
        </is>
      </c>
      <c r="G260" s="2" t="inlineStr">
        <is>
          <t>39-44</t>
        </is>
      </c>
      <c r="H260" s="2" t="inlineStr">
        <is>
          <t>720 h</t>
        </is>
      </c>
      <c r="I260" s="3" t="n">
        <v>57600</v>
      </c>
      <c r="J260" s="3" t="n">
        <v>57600</v>
      </c>
      <c r="K260" s="3" t="n">
        <v>0</v>
      </c>
      <c r="L260" s="2" t="inlineStr">
        <is>
          <t>OK</t>
        </is>
      </c>
      <c r="M260" s="2" t="inlineStr">
        <is>
          <t>720h × 80/h = 57,600</t>
        </is>
      </c>
    </row>
    <row r="261" ht="36" customHeight="1" s="4">
      <c r="A261" s="2" t="inlineStr">
        <is>
          <t>苏勃</t>
        </is>
      </c>
      <c r="B261" s="2" t="n">
        <v>53</v>
      </c>
      <c r="C261" s="2" t="inlineStr">
        <is>
          <t>DV</t>
        </is>
      </c>
      <c r="D261" s="2" t="inlineStr">
        <is>
          <t>Group D Parallel Tests / D-2 Solar Radiation</t>
        </is>
      </c>
      <c r="E261" s="2" t="inlineStr">
        <is>
          <t>L1&amp;L4</t>
        </is>
      </c>
      <c r="F261" s="2" t="inlineStr">
        <is>
          <t>L1&amp;L4 Performance Evaluation &amp; Functional Evaluation</t>
        </is>
      </c>
      <c r="G261" s="2" t="inlineStr">
        <is>
          <t>39-44</t>
        </is>
      </c>
      <c r="H261" s="2" t="inlineStr">
        <is>
          <t>6 个样品</t>
        </is>
      </c>
      <c r="I261" s="3" t="n">
        <v>2400</v>
      </c>
      <c r="J261" s="3" t="n">
        <v>2400</v>
      </c>
      <c r="K261" s="3" t="n">
        <v>0</v>
      </c>
      <c r="L261" s="2" t="inlineStr">
        <is>
          <t>OK</t>
        </is>
      </c>
      <c r="M261" s="2" t="inlineStr">
        <is>
          <t>6个 × 400/个 = 2,400</t>
        </is>
      </c>
    </row>
    <row r="262" ht="36" customHeight="1" s="4">
      <c r="A262" s="2" t="inlineStr">
        <is>
          <t>苏勃</t>
        </is>
      </c>
      <c r="B262" s="2" t="n">
        <v>56</v>
      </c>
      <c r="C262" s="2" t="inlineStr">
        <is>
          <t>DV</t>
        </is>
      </c>
      <c r="D262" s="2" t="inlineStr">
        <is>
          <t>Group D Parallel Tests / D-3 PCBA</t>
        </is>
      </c>
      <c r="E262" s="2" t="inlineStr">
        <is>
          <t>L1&amp;L4</t>
        </is>
      </c>
      <c r="F262" s="2" t="inlineStr">
        <is>
          <t>L1&amp;L4 Performance Evaluation &amp; Functional Evaluation</t>
        </is>
      </c>
      <c r="G262" s="2" t="inlineStr">
        <is>
          <t>45-52</t>
        </is>
      </c>
      <c r="H262" s="2" t="inlineStr">
        <is>
          <t>6 个样品</t>
        </is>
      </c>
      <c r="I262" s="3" t="n">
        <v>2400</v>
      </c>
      <c r="J262" s="3" t="n">
        <v>2400</v>
      </c>
      <c r="K262" s="3" t="n">
        <v>0</v>
      </c>
      <c r="L262" s="2" t="inlineStr">
        <is>
          <t>OK</t>
        </is>
      </c>
      <c r="M262" s="2" t="inlineStr">
        <is>
          <t>6个 × 400/个 = 2,400</t>
        </is>
      </c>
    </row>
    <row r="263" ht="18" customHeight="1" s="4">
      <c r="A263" s="2" t="inlineStr">
        <is>
          <t>苏勃</t>
        </is>
      </c>
      <c r="B263" s="2" t="n">
        <v>57</v>
      </c>
      <c r="C263" s="2" t="inlineStr">
        <is>
          <t>DV</t>
        </is>
      </c>
      <c r="D263" s="2" t="inlineStr">
        <is>
          <t>Group D Parallel Tests / D-3 PCBA</t>
        </is>
      </c>
      <c r="E263" s="2" t="inlineStr">
        <is>
          <t>K23</t>
        </is>
      </c>
      <c r="F263" s="2" t="inlineStr">
        <is>
          <t>K23 Thermal Shock Endurance</t>
        </is>
      </c>
      <c r="G263" s="2" t="inlineStr">
        <is>
          <t>45-52</t>
        </is>
      </c>
      <c r="H263" s="2" t="inlineStr">
        <is>
          <t>1017 h</t>
        </is>
      </c>
      <c r="I263" s="3" t="n">
        <v>55935</v>
      </c>
      <c r="J263" s="3" t="n">
        <v>55935</v>
      </c>
      <c r="K263" s="3" t="n">
        <v>0</v>
      </c>
      <c r="L263" s="2" t="inlineStr">
        <is>
          <t>OK</t>
        </is>
      </c>
      <c r="M263" s="2" t="inlineStr">
        <is>
          <t>1,017h × 55/h = 55,935</t>
        </is>
      </c>
    </row>
    <row r="264" ht="36" customHeight="1" s="4">
      <c r="A264" s="2" t="inlineStr">
        <is>
          <t>苏勃</t>
        </is>
      </c>
      <c r="B264" s="2" t="n">
        <v>58</v>
      </c>
      <c r="C264" s="2" t="inlineStr">
        <is>
          <t>DV</t>
        </is>
      </c>
      <c r="D264" s="2" t="inlineStr">
        <is>
          <t>Group D Parallel Tests / D-3 PCBA</t>
        </is>
      </c>
      <c r="E264" s="2" t="inlineStr">
        <is>
          <t>L1&amp;L4</t>
        </is>
      </c>
      <c r="F264" s="2" t="inlineStr">
        <is>
          <t>L1&amp;L4 Performance Evaluation &amp; Functional Evaluation</t>
        </is>
      </c>
      <c r="G264" s="2" t="inlineStr">
        <is>
          <t>45-52</t>
        </is>
      </c>
      <c r="H264" s="2" t="inlineStr">
        <is>
          <t>6 个样品</t>
        </is>
      </c>
      <c r="I264" s="3" t="n">
        <v>2400</v>
      </c>
      <c r="J264" s="3" t="n">
        <v>2400</v>
      </c>
      <c r="K264" s="3" t="n">
        <v>0</v>
      </c>
      <c r="L264" s="2" t="inlineStr">
        <is>
          <t>OK</t>
        </is>
      </c>
      <c r="M264" s="2" t="inlineStr">
        <is>
          <t>6个 × 400/个 = 2,400</t>
        </is>
      </c>
    </row>
    <row r="265" ht="53" customHeight="1" s="4">
      <c r="A265" s="2" t="inlineStr">
        <is>
          <t>苏勃</t>
        </is>
      </c>
      <c r="B265" s="2" t="n">
        <v>59</v>
      </c>
      <c r="C265" s="2" t="inlineStr">
        <is>
          <t>DV</t>
        </is>
      </c>
      <c r="D265" s="2" t="inlineStr">
        <is>
          <t>Group D Parallel Tests / D-3 PCBA</t>
        </is>
      </c>
      <c r="E265" s="2" t="inlineStr">
        <is>
          <t>L6-SEM&amp;SECTION</t>
        </is>
      </c>
      <c r="F265" s="2" t="inlineStr">
        <is>
          <t>L6-SEM&amp;SECTION</t>
        </is>
      </c>
      <c r="G265" s="2" t="inlineStr">
        <is>
          <t>45-52</t>
        </is>
      </c>
      <c r="H265" s="2" t="inlineStr">
        <is>
          <t>33 个样品</t>
        </is>
      </c>
      <c r="I265" s="3" t="n">
        <v>23100</v>
      </c>
      <c r="J265" s="3" t="n">
        <v>23100</v>
      </c>
      <c r="K265" s="3" t="n">
        <v>0</v>
      </c>
      <c r="L265" s="2" t="inlineStr">
        <is>
          <t>OK</t>
        </is>
      </c>
      <c r="M265" s="2" t="inlineStr">
        <is>
          <t>33个 × 700/个 = 23,100</t>
        </is>
      </c>
    </row>
    <row r="266" ht="36" customHeight="1" s="4">
      <c r="A266" s="2" t="inlineStr">
        <is>
          <t>苏勃</t>
        </is>
      </c>
      <c r="B266" s="2" t="n">
        <v>62</v>
      </c>
      <c r="C266" s="2" t="inlineStr">
        <is>
          <t>DV</t>
        </is>
      </c>
      <c r="D266" s="2" t="inlineStr">
        <is>
          <t>Group D Parallel Tests / D-4 Dewing Test</t>
        </is>
      </c>
      <c r="E266" s="2" t="inlineStr">
        <is>
          <t>L1&amp;L4</t>
        </is>
      </c>
      <c r="F266" s="2" t="inlineStr">
        <is>
          <t>L1&amp;L4 Performance Evaluation &amp; Functional Evaluation</t>
        </is>
      </c>
      <c r="G266" s="2" t="inlineStr">
        <is>
          <t>53-58</t>
        </is>
      </c>
      <c r="H266" s="2" t="inlineStr">
        <is>
          <t>6 个样品</t>
        </is>
      </c>
      <c r="I266" s="3" t="n">
        <v>2400</v>
      </c>
      <c r="J266" s="3" t="n">
        <v>2400</v>
      </c>
      <c r="K266" s="3" t="n">
        <v>0</v>
      </c>
      <c r="L266" s="2" t="inlineStr">
        <is>
          <t>OK</t>
        </is>
      </c>
      <c r="M266" s="2" t="inlineStr">
        <is>
          <t>6个 × 400/个 = 2,400</t>
        </is>
      </c>
    </row>
    <row r="267" ht="36" customHeight="1" s="4">
      <c r="A267" s="2" t="inlineStr">
        <is>
          <t>苏勃</t>
        </is>
      </c>
      <c r="B267" s="2" t="n">
        <v>63</v>
      </c>
      <c r="C267" s="2" t="inlineStr">
        <is>
          <t>DV</t>
        </is>
      </c>
      <c r="D267" s="2" t="inlineStr">
        <is>
          <t>Group D Parallel Tests / D-4 Dewing Test</t>
        </is>
      </c>
      <c r="E267" s="2" t="inlineStr">
        <is>
          <t>K8</t>
        </is>
      </c>
      <c r="F267" s="2" t="inlineStr">
        <is>
          <t>K8 Dewing Test</t>
        </is>
      </c>
      <c r="G267" s="2" t="inlineStr">
        <is>
          <t>53-58</t>
        </is>
      </c>
      <c r="H267" s="2" t="inlineStr">
        <is>
          <t>1 批</t>
        </is>
      </c>
      <c r="I267" s="3" t="n">
        <v>5000</v>
      </c>
      <c r="J267" s="3" t="n">
        <v>5000</v>
      </c>
      <c r="K267" s="3" t="n">
        <v>0</v>
      </c>
      <c r="L267" s="2" t="inlineStr">
        <is>
          <t>OK</t>
        </is>
      </c>
      <c r="M267" s="2" t="inlineStr">
        <is>
          <t>1批 × 5,000/批 = 5,000</t>
        </is>
      </c>
    </row>
    <row r="268" ht="36" customHeight="1" s="4">
      <c r="A268" s="2" t="inlineStr">
        <is>
          <t>苏勃</t>
        </is>
      </c>
      <c r="B268" s="2" t="n">
        <v>64</v>
      </c>
      <c r="C268" s="2" t="inlineStr">
        <is>
          <t>DV</t>
        </is>
      </c>
      <c r="D268" s="2" t="inlineStr">
        <is>
          <t>Group D Parallel Tests / D-4 Dewing Test</t>
        </is>
      </c>
      <c r="E268" s="2" t="inlineStr">
        <is>
          <t>L1&amp;L4</t>
        </is>
      </c>
      <c r="F268" s="2" t="inlineStr">
        <is>
          <t>L1&amp;L4 Performance Evaluation &amp; Functional Evaluation</t>
        </is>
      </c>
      <c r="G268" s="2" t="inlineStr">
        <is>
          <t>53-58</t>
        </is>
      </c>
      <c r="H268" s="2" t="inlineStr">
        <is>
          <t>6 个样品</t>
        </is>
      </c>
      <c r="I268" s="3" t="n">
        <v>2400</v>
      </c>
      <c r="J268" s="3" t="n">
        <v>2400</v>
      </c>
      <c r="K268" s="3" t="n">
        <v>0</v>
      </c>
      <c r="L268" s="2" t="inlineStr">
        <is>
          <t>OK</t>
        </is>
      </c>
      <c r="M268" s="2" t="inlineStr">
        <is>
          <t>6个 × 400/个 = 2,400</t>
        </is>
      </c>
    </row>
    <row r="269" ht="36" customHeight="1" s="4">
      <c r="A269" s="2" t="inlineStr">
        <is>
          <t>苏勃</t>
        </is>
      </c>
      <c r="B269" s="2" t="n">
        <v>67</v>
      </c>
      <c r="C269" s="2" t="inlineStr">
        <is>
          <t>DV</t>
        </is>
      </c>
      <c r="D269" s="2" t="inlineStr">
        <is>
          <t>Group D Parallel Tests / D-5 Life Test-1</t>
        </is>
      </c>
      <c r="E269" s="2" t="inlineStr">
        <is>
          <t>L1&amp;L4</t>
        </is>
      </c>
      <c r="F269" s="2" t="inlineStr">
        <is>
          <t>L1&amp;L4 Performance Evaluation &amp; Functional Evaluation</t>
        </is>
      </c>
      <c r="G269" s="2" t="inlineStr">
        <is>
          <t>59-64</t>
        </is>
      </c>
      <c r="H269" s="2" t="inlineStr">
        <is>
          <t>6 个样品</t>
        </is>
      </c>
      <c r="I269" s="3" t="n">
        <v>2400</v>
      </c>
      <c r="J269" s="3" t="n">
        <v>2400</v>
      </c>
      <c r="K269" s="3" t="n">
        <v>0</v>
      </c>
      <c r="L269" s="2" t="inlineStr">
        <is>
          <t>OK</t>
        </is>
      </c>
      <c r="M269" s="2" t="inlineStr">
        <is>
          <t>6个 × 400/个 = 2,400</t>
        </is>
      </c>
    </row>
    <row r="270" ht="36" customHeight="1" s="4">
      <c r="A270" s="2" t="inlineStr">
        <is>
          <t>苏勃</t>
        </is>
      </c>
      <c r="B270" s="2" t="n">
        <v>68</v>
      </c>
      <c r="C270" s="2" t="inlineStr">
        <is>
          <t>DV</t>
        </is>
      </c>
      <c r="D270" s="2" t="inlineStr">
        <is>
          <t>Group D Parallel Tests / D-5 Life Test-1</t>
        </is>
      </c>
      <c r="E270" s="2" t="inlineStr">
        <is>
          <t>K24</t>
        </is>
      </c>
      <c r="F270" s="2" t="inlineStr">
        <is>
          <t>K24 High Temperature Endurance</t>
        </is>
      </c>
      <c r="G270" s="2" t="inlineStr">
        <is>
          <t>59-64</t>
        </is>
      </c>
      <c r="H270" s="2" t="inlineStr">
        <is>
          <t>1000 h</t>
        </is>
      </c>
      <c r="I270" s="3" t="n">
        <v>30000</v>
      </c>
      <c r="J270" s="3" t="n">
        <v>30000</v>
      </c>
      <c r="K270" s="3" t="n">
        <v>0</v>
      </c>
      <c r="L270" s="2" t="inlineStr">
        <is>
          <t>OK</t>
        </is>
      </c>
      <c r="M270" s="2" t="inlineStr">
        <is>
          <t>1,000h × 30/h = 30,000</t>
        </is>
      </c>
    </row>
    <row r="271" ht="36" customHeight="1" s="4">
      <c r="A271" s="2" t="inlineStr">
        <is>
          <t>苏勃</t>
        </is>
      </c>
      <c r="B271" s="2" t="n">
        <v>69</v>
      </c>
      <c r="C271" s="2" t="inlineStr">
        <is>
          <t>DV</t>
        </is>
      </c>
      <c r="D271" s="2" t="inlineStr">
        <is>
          <t>Group D Parallel Tests / D-5 Life Test-1</t>
        </is>
      </c>
      <c r="E271" s="2" t="inlineStr">
        <is>
          <t>L1&amp;L4</t>
        </is>
      </c>
      <c r="F271" s="2" t="inlineStr">
        <is>
          <t>L1&amp;L4 Performance Evaluation &amp; Functional Evaluation</t>
        </is>
      </c>
      <c r="G271" s="2" t="inlineStr">
        <is>
          <t>59-64</t>
        </is>
      </c>
      <c r="H271" s="2" t="inlineStr">
        <is>
          <t>6 个样品</t>
        </is>
      </c>
      <c r="I271" s="3" t="n">
        <v>2400</v>
      </c>
      <c r="J271" s="3" t="n">
        <v>2400</v>
      </c>
      <c r="K271" s="3" t="n">
        <v>0</v>
      </c>
      <c r="L271" s="2" t="inlineStr">
        <is>
          <t>OK</t>
        </is>
      </c>
      <c r="M271" s="2" t="inlineStr">
        <is>
          <t>6个 × 400/个 = 2,400</t>
        </is>
      </c>
    </row>
    <row r="272" ht="36" customHeight="1" s="4">
      <c r="A272" s="2" t="inlineStr">
        <is>
          <t>苏勃</t>
        </is>
      </c>
      <c r="B272" s="2" t="n">
        <v>72</v>
      </c>
      <c r="C272" s="2" t="inlineStr">
        <is>
          <t>DV</t>
        </is>
      </c>
      <c r="D272" s="2" t="inlineStr">
        <is>
          <t>Group D Parallel Tests / D-6 Life Test-2-1</t>
        </is>
      </c>
      <c r="E272" s="2" t="inlineStr">
        <is>
          <t>L1&amp;L4</t>
        </is>
      </c>
      <c r="F272" s="2" t="inlineStr">
        <is>
          <t>L1&amp;L4 Performance Evaluation &amp; Functional Evaluation</t>
        </is>
      </c>
      <c r="G272" s="2" t="inlineStr">
        <is>
          <t>65-70</t>
        </is>
      </c>
      <c r="H272" s="2" t="inlineStr">
        <is>
          <t>6 个样品</t>
        </is>
      </c>
      <c r="I272" s="3" t="n">
        <v>2400</v>
      </c>
      <c r="J272" s="3" t="n">
        <v>2400</v>
      </c>
      <c r="K272" s="3" t="n">
        <v>0</v>
      </c>
      <c r="L272" s="2" t="inlineStr">
        <is>
          <t>OK</t>
        </is>
      </c>
      <c r="M272" s="2" t="inlineStr">
        <is>
          <t>6个 × 400/个 = 2,400</t>
        </is>
      </c>
    </row>
    <row r="273" ht="36" customHeight="1" s="4">
      <c r="A273" s="2" t="inlineStr">
        <is>
          <t>苏勃</t>
        </is>
      </c>
      <c r="B273" s="2" t="n">
        <v>73</v>
      </c>
      <c r="C273" s="2" t="inlineStr">
        <is>
          <t>DV</t>
        </is>
      </c>
      <c r="D273" s="2" t="inlineStr">
        <is>
          <t>Group D Parallel Tests / D-6 Life Test-2-1</t>
        </is>
      </c>
      <c r="E273" s="2" t="inlineStr">
        <is>
          <t>K27</t>
        </is>
      </c>
      <c r="F273" s="2" t="inlineStr">
        <is>
          <t>K27 85/85 High Temperature -High Humidity Endurance</t>
        </is>
      </c>
      <c r="G273" s="2" t="inlineStr">
        <is>
          <t>65-70</t>
        </is>
      </c>
      <c r="H273" s="2" t="inlineStr">
        <is>
          <t>1000 h</t>
        </is>
      </c>
      <c r="I273" s="3" t="n">
        <v>30000</v>
      </c>
      <c r="J273" s="3" t="n">
        <v>30000</v>
      </c>
      <c r="K273" s="3" t="n">
        <v>0</v>
      </c>
      <c r="L273" s="2" t="inlineStr">
        <is>
          <t>OK</t>
        </is>
      </c>
      <c r="M273" s="2" t="inlineStr">
        <is>
          <t>1,000h × 30/h = 30,000</t>
        </is>
      </c>
    </row>
    <row r="274" ht="36" customHeight="1" s="4">
      <c r="A274" s="2" t="inlineStr">
        <is>
          <t>苏勃</t>
        </is>
      </c>
      <c r="B274" s="2" t="n">
        <v>74</v>
      </c>
      <c r="C274" s="2" t="inlineStr">
        <is>
          <t>DV</t>
        </is>
      </c>
      <c r="D274" s="2" t="inlineStr">
        <is>
          <t>Group D Parallel Tests / D-6 Life Test-2-1</t>
        </is>
      </c>
      <c r="E274" s="2" t="inlineStr">
        <is>
          <t>L1&amp;L4</t>
        </is>
      </c>
      <c r="F274" s="2" t="inlineStr">
        <is>
          <t>L1&amp;L4 Performance Evaluation &amp; Functional Evaluation</t>
        </is>
      </c>
      <c r="G274" s="2" t="inlineStr">
        <is>
          <t>65-70</t>
        </is>
      </c>
      <c r="H274" s="2" t="inlineStr">
        <is>
          <t>6 个样品</t>
        </is>
      </c>
      <c r="I274" s="3" t="n">
        <v>2400</v>
      </c>
      <c r="J274" s="3" t="n">
        <v>2400</v>
      </c>
      <c r="K274" s="3" t="n">
        <v>0</v>
      </c>
      <c r="L274" s="2" t="inlineStr">
        <is>
          <t>OK</t>
        </is>
      </c>
      <c r="M274" s="2" t="inlineStr">
        <is>
          <t>6个 × 400/个 = 2,400</t>
        </is>
      </c>
    </row>
    <row r="275" ht="36" customHeight="1" s="4">
      <c r="A275" s="2" t="inlineStr">
        <is>
          <t>苏勃</t>
        </is>
      </c>
      <c r="B275" s="2" t="n">
        <v>77</v>
      </c>
      <c r="C275" s="2" t="inlineStr">
        <is>
          <t>DV</t>
        </is>
      </c>
      <c r="D275" s="2" t="inlineStr">
        <is>
          <t>Group D Parallel Tests / D-7 Life Test-2-2</t>
        </is>
      </c>
      <c r="E275" s="2" t="inlineStr">
        <is>
          <t>L1&amp;L4</t>
        </is>
      </c>
      <c r="F275" s="2" t="inlineStr">
        <is>
          <t>L1&amp;L4 Performance Evaluation &amp; Functional Evaluation</t>
        </is>
      </c>
      <c r="G275" s="2" t="inlineStr">
        <is>
          <t>71-76</t>
        </is>
      </c>
      <c r="H275" s="2" t="inlineStr">
        <is>
          <t>6 个样品</t>
        </is>
      </c>
      <c r="I275" s="3" t="n">
        <v>2400</v>
      </c>
      <c r="J275" s="3" t="n">
        <v>2400</v>
      </c>
      <c r="K275" s="3" t="n">
        <v>0</v>
      </c>
      <c r="L275" s="2" t="inlineStr">
        <is>
          <t>OK</t>
        </is>
      </c>
      <c r="M275" s="2" t="inlineStr">
        <is>
          <t>6个 × 400/个 = 2,400</t>
        </is>
      </c>
    </row>
    <row r="276" ht="36" customHeight="1" s="4">
      <c r="A276" s="2" t="inlineStr">
        <is>
          <t>苏勃</t>
        </is>
      </c>
      <c r="B276" s="2" t="n">
        <v>78</v>
      </c>
      <c r="C276" s="2" t="inlineStr">
        <is>
          <t>DV</t>
        </is>
      </c>
      <c r="D276" s="2" t="inlineStr">
        <is>
          <t>Group D Parallel Tests / D-7 Life Test-2-2</t>
        </is>
      </c>
      <c r="E276" s="2" t="inlineStr">
        <is>
          <t>K27</t>
        </is>
      </c>
      <c r="F276" s="2" t="inlineStr">
        <is>
          <t>K27 60/95 High Temperature -High Humidity Endurance</t>
        </is>
      </c>
      <c r="G276" s="2" t="inlineStr">
        <is>
          <t>71-76</t>
        </is>
      </c>
      <c r="H276" s="2" t="inlineStr">
        <is>
          <t>1100 h</t>
        </is>
      </c>
      <c r="I276" s="3" t="n">
        <v>33000</v>
      </c>
      <c r="J276" s="3" t="n">
        <v>33000</v>
      </c>
      <c r="K276" s="3" t="n">
        <v>0</v>
      </c>
      <c r="L276" s="2" t="inlineStr">
        <is>
          <t>OK</t>
        </is>
      </c>
      <c r="M276" s="2" t="inlineStr">
        <is>
          <t>1,100h × 30/h = 33,000</t>
        </is>
      </c>
    </row>
    <row r="277" ht="36" customHeight="1" s="4">
      <c r="A277" s="2" t="inlineStr">
        <is>
          <t>苏勃</t>
        </is>
      </c>
      <c r="B277" s="2" t="n">
        <v>79</v>
      </c>
      <c r="C277" s="2" t="inlineStr">
        <is>
          <t>DV</t>
        </is>
      </c>
      <c r="D277" s="2" t="inlineStr">
        <is>
          <t>Group D Parallel Tests / D-7 Life Test-2-2</t>
        </is>
      </c>
      <c r="E277" s="2" t="inlineStr">
        <is>
          <t>L1&amp;L4</t>
        </is>
      </c>
      <c r="F277" s="2" t="inlineStr">
        <is>
          <t>L1&amp;L4 Performance Evaluation &amp; Functional Evaluation</t>
        </is>
      </c>
      <c r="G277" s="2" t="inlineStr">
        <is>
          <t>71-76</t>
        </is>
      </c>
      <c r="H277" s="2" t="inlineStr">
        <is>
          <t>6 个样品</t>
        </is>
      </c>
      <c r="I277" s="3" t="n">
        <v>2400</v>
      </c>
      <c r="J277" s="3" t="n">
        <v>2400</v>
      </c>
      <c r="K277" s="3" t="n">
        <v>0</v>
      </c>
      <c r="L277" s="2" t="inlineStr">
        <is>
          <t>OK</t>
        </is>
      </c>
      <c r="M277" s="2" t="inlineStr">
        <is>
          <t>6个 × 400/个 = 2,400</t>
        </is>
      </c>
    </row>
    <row r="278" ht="36" customHeight="1" s="4">
      <c r="A278" s="2" t="inlineStr">
        <is>
          <t>苏勃</t>
        </is>
      </c>
      <c r="B278" s="2" t="n">
        <v>82</v>
      </c>
      <c r="C278" s="2" t="inlineStr">
        <is>
          <t>DV</t>
        </is>
      </c>
      <c r="D278" s="2" t="inlineStr">
        <is>
          <t>Group D Parallel Tests / D-9</t>
        </is>
      </c>
      <c r="E278" s="2" t="inlineStr">
        <is>
          <t>L1&amp;L4</t>
        </is>
      </c>
      <c r="F278" s="2" t="inlineStr">
        <is>
          <t>L1&amp;L4 Performance Evaluation &amp; Functional Evaluation</t>
        </is>
      </c>
      <c r="G278" s="2" t="inlineStr">
        <is>
          <t>77-82</t>
        </is>
      </c>
      <c r="H278" s="2" t="inlineStr">
        <is>
          <t>6 个样品</t>
        </is>
      </c>
      <c r="I278" s="3" t="n">
        <v>2400</v>
      </c>
      <c r="J278" s="3" t="n">
        <v>2400</v>
      </c>
      <c r="K278" s="3" t="n">
        <v>0</v>
      </c>
      <c r="L278" s="2" t="inlineStr">
        <is>
          <t>OK</t>
        </is>
      </c>
      <c r="M278" s="2" t="inlineStr">
        <is>
          <t>6个 × 400/个 = 2,400</t>
        </is>
      </c>
    </row>
    <row r="279" ht="18" customHeight="1" s="4">
      <c r="A279" s="2" t="inlineStr">
        <is>
          <t>苏勃</t>
        </is>
      </c>
      <c r="B279" s="2" t="n">
        <v>83</v>
      </c>
      <c r="C279" s="2" t="inlineStr">
        <is>
          <t>DV</t>
        </is>
      </c>
      <c r="D279" s="2" t="inlineStr">
        <is>
          <t>Group D Parallel Tests / D-9</t>
        </is>
      </c>
      <c r="E279" s="2" t="inlineStr">
        <is>
          <t>K52.351</t>
        </is>
      </c>
      <c r="F279" s="2" t="inlineStr">
        <is>
          <t>K52.351 Condensing humidity</t>
        </is>
      </c>
      <c r="G279" s="2" t="inlineStr">
        <is>
          <t>77-82</t>
        </is>
      </c>
      <c r="H279" s="2" t="inlineStr">
        <is>
          <t>120 h</t>
        </is>
      </c>
      <c r="I279" s="3" t="n">
        <v>6600</v>
      </c>
      <c r="J279" s="3" t="n">
        <v>6600</v>
      </c>
      <c r="K279" s="3" t="n">
        <v>0</v>
      </c>
      <c r="L279" s="2" t="inlineStr">
        <is>
          <t>OK</t>
        </is>
      </c>
      <c r="M279" s="2" t="inlineStr">
        <is>
          <t>120h × 55/h = 6,600</t>
        </is>
      </c>
    </row>
    <row r="280" ht="36" customHeight="1" s="4">
      <c r="A280" s="2" t="inlineStr">
        <is>
          <t>苏勃</t>
        </is>
      </c>
      <c r="B280" s="2" t="n">
        <v>84</v>
      </c>
      <c r="C280" s="2" t="inlineStr">
        <is>
          <t>DV</t>
        </is>
      </c>
      <c r="D280" s="2" t="inlineStr">
        <is>
          <t>Group D Parallel Tests / D-9</t>
        </is>
      </c>
      <c r="E280" s="2" t="inlineStr">
        <is>
          <t>L1&amp;L4</t>
        </is>
      </c>
      <c r="F280" s="2" t="inlineStr">
        <is>
          <t>L1&amp;L4 Performance Evaluation &amp; Functional Evaluation</t>
        </is>
      </c>
      <c r="G280" s="2" t="inlineStr">
        <is>
          <t>77-82</t>
        </is>
      </c>
      <c r="H280" s="2" t="inlineStr">
        <is>
          <t>6 个样品</t>
        </is>
      </c>
      <c r="I280" s="3" t="n">
        <v>2400</v>
      </c>
      <c r="J280" s="3" t="n">
        <v>2400</v>
      </c>
      <c r="K280" s="3" t="n">
        <v>0</v>
      </c>
      <c r="L280" s="2" t="inlineStr">
        <is>
          <t>OK</t>
        </is>
      </c>
      <c r="M280" s="2" t="inlineStr">
        <is>
          <t>6个 × 400/个 = 2,400</t>
        </is>
      </c>
    </row>
    <row r="281" ht="36" customHeight="1" s="4">
      <c r="A281" s="2" t="inlineStr">
        <is>
          <t>苏勃</t>
        </is>
      </c>
      <c r="B281" s="2" t="n">
        <v>90</v>
      </c>
      <c r="C281" s="2" t="inlineStr">
        <is>
          <t>PV</t>
        </is>
      </c>
      <c r="D281" s="2" t="inlineStr">
        <is>
          <t>Group A Sequence Tests</t>
        </is>
      </c>
      <c r="E281" s="2" t="inlineStr">
        <is>
          <t>L1&amp;L4</t>
        </is>
      </c>
      <c r="F281" s="2" t="inlineStr">
        <is>
          <t>L1&amp;L4 Performance Evaluation &amp; Functional Evaluation</t>
        </is>
      </c>
      <c r="G281" s="2" t="inlineStr">
        <is>
          <t>1-14</t>
        </is>
      </c>
      <c r="H281" s="2" t="inlineStr">
        <is>
          <t>14 个样品</t>
        </is>
      </c>
      <c r="I281" s="3" t="n">
        <v>5600</v>
      </c>
      <c r="J281" s="3" t="n">
        <v>5600</v>
      </c>
      <c r="K281" s="3" t="n">
        <v>0</v>
      </c>
      <c r="L281" s="2" t="inlineStr">
        <is>
          <t>OK</t>
        </is>
      </c>
      <c r="M281" s="2" t="inlineStr">
        <is>
          <t>14个 × 400/个 = 5,600</t>
        </is>
      </c>
    </row>
    <row r="282" ht="18" customHeight="1" s="4">
      <c r="A282" s="2" t="inlineStr">
        <is>
          <t>苏勃</t>
        </is>
      </c>
      <c r="B282" s="2" t="n">
        <v>91</v>
      </c>
      <c r="C282" s="2" t="inlineStr">
        <is>
          <t>PV</t>
        </is>
      </c>
      <c r="D282" s="2" t="inlineStr">
        <is>
          <t>Group A Sequence Tests</t>
        </is>
      </c>
      <c r="E282" s="2" t="inlineStr">
        <is>
          <t>Particle</t>
        </is>
      </c>
      <c r="F282" s="2" t="inlineStr">
        <is>
          <t>Particle Exposure</t>
        </is>
      </c>
      <c r="G282" s="2" t="inlineStr">
        <is>
          <t>1-12</t>
        </is>
      </c>
      <c r="H282" s="2" t="n"/>
      <c r="I282" s="3" t="n">
        <v>31000</v>
      </c>
      <c r="J282" s="3" t="n">
        <v>31000</v>
      </c>
      <c r="K282" s="3" t="n">
        <v>0</v>
      </c>
      <c r="L282" s="2" t="inlineStr">
        <is>
          <t>OK</t>
        </is>
      </c>
      <c r="M282" s="2" t="inlineStr">
        <is>
          <t>4批 × 6,500/批 + 粉尘费 5,000 + 清洁费 0 = 31,000</t>
        </is>
      </c>
    </row>
    <row r="283" ht="18" customHeight="1" s="4">
      <c r="A283" s="2" t="inlineStr">
        <is>
          <t>苏勃</t>
        </is>
      </c>
      <c r="B283" s="2" t="n">
        <v>92</v>
      </c>
      <c r="C283" s="2" t="inlineStr">
        <is>
          <t>PV</t>
        </is>
      </c>
      <c r="D283" s="2" t="inlineStr">
        <is>
          <t>Group A Sequence Tests</t>
        </is>
      </c>
      <c r="E283" s="2" t="inlineStr">
        <is>
          <t>K1</t>
        </is>
      </c>
      <c r="F283" s="2" t="inlineStr">
        <is>
          <t>K1 Low Temperature Exposure</t>
        </is>
      </c>
      <c r="G283" s="2" t="inlineStr">
        <is>
          <t>1-12</t>
        </is>
      </c>
      <c r="H283" s="2" t="inlineStr">
        <is>
          <t>24 h</t>
        </is>
      </c>
      <c r="I283" s="3" t="n">
        <v>960</v>
      </c>
      <c r="J283" s="3" t="n">
        <v>960</v>
      </c>
      <c r="K283" s="3" t="n">
        <v>0</v>
      </c>
      <c r="L283" s="2" t="inlineStr">
        <is>
          <t>OK</t>
        </is>
      </c>
      <c r="M283" s="2" t="inlineStr">
        <is>
          <t>24h × 40/h = 960（大环境箱单价）</t>
        </is>
      </c>
    </row>
    <row r="284" ht="18" customHeight="1" s="4">
      <c r="A284" s="2" t="inlineStr">
        <is>
          <t>苏勃</t>
        </is>
      </c>
      <c r="B284" s="2" t="n">
        <v>93</v>
      </c>
      <c r="C284" s="2" t="inlineStr">
        <is>
          <t>PV</t>
        </is>
      </c>
      <c r="D284" s="2" t="inlineStr">
        <is>
          <t>Group A Sequence Tests</t>
        </is>
      </c>
      <c r="E284" s="2" t="inlineStr">
        <is>
          <t>K2</t>
        </is>
      </c>
      <c r="F284" s="2" t="inlineStr">
        <is>
          <t>K2 High Temperature Exposure</t>
        </is>
      </c>
      <c r="G284" s="2" t="inlineStr">
        <is>
          <t>1-12</t>
        </is>
      </c>
      <c r="H284" s="2" t="inlineStr">
        <is>
          <t>24 h</t>
        </is>
      </c>
      <c r="I284" s="3" t="n">
        <v>960</v>
      </c>
      <c r="J284" s="3" t="n">
        <v>960</v>
      </c>
      <c r="K284" s="3" t="n">
        <v>0</v>
      </c>
      <c r="L284" s="2" t="inlineStr">
        <is>
          <t>OK</t>
        </is>
      </c>
      <c r="M284" s="2" t="inlineStr">
        <is>
          <t>24h × 40/h = 960（大环境箱单价）</t>
        </is>
      </c>
    </row>
    <row r="285" ht="18" customHeight="1" s="4">
      <c r="A285" s="2" t="inlineStr">
        <is>
          <t>苏勃</t>
        </is>
      </c>
      <c r="B285" s="2" t="n">
        <v>94</v>
      </c>
      <c r="C285" s="2" t="inlineStr">
        <is>
          <t>PV</t>
        </is>
      </c>
      <c r="D285" s="2" t="inlineStr">
        <is>
          <t>Group A Sequence Tests</t>
        </is>
      </c>
      <c r="E285" s="2" t="inlineStr">
        <is>
          <t>K3</t>
        </is>
      </c>
      <c r="F285" s="2" t="inlineStr">
        <is>
          <t>K3 Low Temperature Operation</t>
        </is>
      </c>
      <c r="G285" s="2" t="inlineStr">
        <is>
          <t>1-12</t>
        </is>
      </c>
      <c r="H285" s="2" t="inlineStr">
        <is>
          <t>24 h</t>
        </is>
      </c>
      <c r="I285" s="3" t="n">
        <v>960</v>
      </c>
      <c r="J285" s="3" t="n">
        <v>960</v>
      </c>
      <c r="K285" s="3" t="n">
        <v>0</v>
      </c>
      <c r="L285" s="2" t="inlineStr">
        <is>
          <t>OK</t>
        </is>
      </c>
      <c r="M285" s="2" t="inlineStr">
        <is>
          <t>24h × 40/h = 960（大环境箱单价）</t>
        </is>
      </c>
    </row>
    <row r="286" ht="18" customHeight="1" s="4">
      <c r="A286" s="2" t="inlineStr">
        <is>
          <t>苏勃</t>
        </is>
      </c>
      <c r="B286" s="2" t="n">
        <v>95</v>
      </c>
      <c r="C286" s="2" t="inlineStr">
        <is>
          <t>PV</t>
        </is>
      </c>
      <c r="D286" s="2" t="inlineStr">
        <is>
          <t>Group A Sequence Tests</t>
        </is>
      </c>
      <c r="E286" s="2" t="inlineStr">
        <is>
          <t>K4</t>
        </is>
      </c>
      <c r="F286" s="2" t="inlineStr">
        <is>
          <t>K4 High Temperature Operation</t>
        </is>
      </c>
      <c r="G286" s="2" t="inlineStr">
        <is>
          <t>1-12</t>
        </is>
      </c>
      <c r="H286" s="2" t="inlineStr">
        <is>
          <t>96 h</t>
        </is>
      </c>
      <c r="I286" s="3" t="n">
        <v>3840</v>
      </c>
      <c r="J286" s="3" t="n">
        <v>3840</v>
      </c>
      <c r="K286" s="3" t="n">
        <v>0</v>
      </c>
      <c r="L286" s="2" t="inlineStr">
        <is>
          <t>OK</t>
        </is>
      </c>
      <c r="M286" s="2" t="inlineStr">
        <is>
          <t>96h × 40/h = 3,840（大环境箱单价）</t>
        </is>
      </c>
    </row>
    <row r="287" ht="18" customHeight="1" s="4">
      <c r="A287" s="2" t="inlineStr">
        <is>
          <t>苏勃</t>
        </is>
      </c>
      <c r="B287" s="2" t="n">
        <v>96</v>
      </c>
      <c r="C287" s="2" t="inlineStr">
        <is>
          <t>PV</t>
        </is>
      </c>
      <c r="D287" s="2" t="inlineStr">
        <is>
          <t>Group A Sequence Tests</t>
        </is>
      </c>
      <c r="E287" s="2" t="inlineStr">
        <is>
          <t>K5</t>
        </is>
      </c>
      <c r="F287" s="2" t="inlineStr">
        <is>
          <t>K5 Temperature Step Test</t>
        </is>
      </c>
      <c r="G287" s="2" t="inlineStr">
        <is>
          <t>1-12</t>
        </is>
      </c>
      <c r="H287" s="2" t="inlineStr">
        <is>
          <t>1 批</t>
        </is>
      </c>
      <c r="I287" s="3" t="n">
        <v>5000</v>
      </c>
      <c r="J287" s="3" t="n">
        <v>5000</v>
      </c>
      <c r="K287" s="3" t="n">
        <v>0</v>
      </c>
      <c r="L287" s="2" t="inlineStr">
        <is>
          <t>OK</t>
        </is>
      </c>
      <c r="M287" s="2" t="inlineStr">
        <is>
          <t>1批 × 5,000/批 = 5,000</t>
        </is>
      </c>
    </row>
    <row r="288" ht="18" customHeight="1" s="4">
      <c r="A288" s="2" t="inlineStr">
        <is>
          <t>苏勃</t>
        </is>
      </c>
      <c r="B288" s="2" t="n">
        <v>97</v>
      </c>
      <c r="C288" s="2" t="inlineStr">
        <is>
          <t>PV</t>
        </is>
      </c>
      <c r="D288" s="2" t="inlineStr">
        <is>
          <t>Group A Sequence Tests</t>
        </is>
      </c>
      <c r="E288" s="2" t="inlineStr">
        <is>
          <t>K6</t>
        </is>
      </c>
      <c r="F288" s="2" t="inlineStr">
        <is>
          <t>K6 Power Thermal Cycle</t>
        </is>
      </c>
      <c r="G288" s="2" t="inlineStr">
        <is>
          <t>1-12</t>
        </is>
      </c>
      <c r="H288" s="2" t="inlineStr">
        <is>
          <t>240 h</t>
        </is>
      </c>
      <c r="I288" s="3" t="n">
        <v>9600</v>
      </c>
      <c r="J288" s="3" t="n">
        <v>9600</v>
      </c>
      <c r="K288" s="3" t="n">
        <v>0</v>
      </c>
      <c r="L288" s="2" t="inlineStr">
        <is>
          <t>OK</t>
        </is>
      </c>
      <c r="M288" s="2" t="inlineStr">
        <is>
          <t>240h × 40/h = 9,600（大环境箱单价）</t>
        </is>
      </c>
    </row>
    <row r="289" ht="18" customHeight="1" s="4">
      <c r="A289" s="2" t="inlineStr">
        <is>
          <t>苏勃</t>
        </is>
      </c>
      <c r="B289" s="2" t="n">
        <v>98</v>
      </c>
      <c r="C289" s="2" t="inlineStr">
        <is>
          <t>PV</t>
        </is>
      </c>
      <c r="D289" s="2" t="inlineStr">
        <is>
          <t>Group A Sequence Tests</t>
        </is>
      </c>
      <c r="E289" s="2" t="inlineStr">
        <is>
          <t>K7</t>
        </is>
      </c>
      <c r="F289" s="2" t="inlineStr">
        <is>
          <t>K7 Thermal Shock in Air</t>
        </is>
      </c>
      <c r="G289" s="2" t="inlineStr">
        <is>
          <t>1-12</t>
        </is>
      </c>
      <c r="H289" s="2" t="inlineStr">
        <is>
          <t>105 h</t>
        </is>
      </c>
      <c r="I289" s="3" t="n">
        <v>10500</v>
      </c>
      <c r="J289" s="3" t="n">
        <v>10500</v>
      </c>
      <c r="K289" s="3" t="n">
        <v>0</v>
      </c>
      <c r="L289" s="2" t="inlineStr">
        <is>
          <t>OK</t>
        </is>
      </c>
      <c r="M289" s="2" t="inlineStr">
        <is>
          <t>105h × 100/h = 10,500</t>
        </is>
      </c>
    </row>
    <row r="290" ht="18" customHeight="1" s="4">
      <c r="A290" s="2" t="inlineStr">
        <is>
          <t>苏勃</t>
        </is>
      </c>
      <c r="B290" s="2" t="n">
        <v>99</v>
      </c>
      <c r="C290" s="2" t="inlineStr">
        <is>
          <t>PV</t>
        </is>
      </c>
      <c r="D290" s="2" t="inlineStr">
        <is>
          <t>Group A Sequence Tests</t>
        </is>
      </c>
      <c r="E290" s="2" t="inlineStr">
        <is>
          <t>K15</t>
        </is>
      </c>
      <c r="F290" s="2" t="inlineStr">
        <is>
          <t>K15 Vibration</t>
        </is>
      </c>
      <c r="G290" s="2" t="inlineStr">
        <is>
          <t>1-12</t>
        </is>
      </c>
      <c r="H290" s="2" t="inlineStr">
        <is>
          <t>48 h</t>
        </is>
      </c>
      <c r="I290" s="3" t="n">
        <v>28800</v>
      </c>
      <c r="J290" s="3" t="n">
        <v>28800</v>
      </c>
      <c r="K290" s="3" t="n">
        <v>0</v>
      </c>
      <c r="L290" s="2" t="inlineStr">
        <is>
          <t>OK</t>
        </is>
      </c>
      <c r="M290" s="2" t="inlineStr">
        <is>
          <t>48h × 600/h = 28,800</t>
        </is>
      </c>
    </row>
    <row r="291" ht="36" customHeight="1" s="4">
      <c r="A291" s="2" t="inlineStr">
        <is>
          <t>苏勃</t>
        </is>
      </c>
      <c r="B291" s="2" t="n">
        <v>100</v>
      </c>
      <c r="C291" s="2" t="inlineStr">
        <is>
          <t>PV</t>
        </is>
      </c>
      <c r="D291" s="2" t="inlineStr">
        <is>
          <t>Group A Sequence Tests</t>
        </is>
      </c>
      <c r="E291" s="2" t="inlineStr">
        <is>
          <t>K16.1</t>
        </is>
      </c>
      <c r="F291" s="2" t="inlineStr">
        <is>
          <t>K16.1 Mechanical Shock Package Drop</t>
        </is>
      </c>
      <c r="G291" s="2" t="inlineStr">
        <is>
          <t>1-14</t>
        </is>
      </c>
      <c r="H291" s="2" t="inlineStr">
        <is>
          <t>14 个样品</t>
        </is>
      </c>
      <c r="I291" s="3" t="n">
        <v>4200</v>
      </c>
      <c r="J291" s="3" t="n">
        <v>4200</v>
      </c>
      <c r="K291" s="3" t="n">
        <v>0</v>
      </c>
      <c r="L291" s="2" t="inlineStr">
        <is>
          <t>OK</t>
        </is>
      </c>
      <c r="M291" s="2" t="inlineStr">
        <is>
          <t>14个 × 300/个 = 4,200</t>
        </is>
      </c>
    </row>
    <row r="292" ht="18" customHeight="1" s="4">
      <c r="A292" s="2" t="inlineStr">
        <is>
          <t>苏勃</t>
        </is>
      </c>
      <c r="B292" s="2" t="n">
        <v>101</v>
      </c>
      <c r="C292" s="2" t="inlineStr">
        <is>
          <t>PV</t>
        </is>
      </c>
      <c r="D292" s="2" t="inlineStr">
        <is>
          <t>Group A Sequence Tests</t>
        </is>
      </c>
      <c r="E292" s="2" t="inlineStr">
        <is>
          <t>K16.4</t>
        </is>
      </c>
      <c r="F292" s="2" t="inlineStr">
        <is>
          <t>K16.4 Mechanical Shock Low</t>
        </is>
      </c>
      <c r="G292" s="2" t="inlineStr">
        <is>
          <t>1-12</t>
        </is>
      </c>
      <c r="H292" s="2" t="inlineStr">
        <is>
          <t>12 个样品</t>
        </is>
      </c>
      <c r="I292" s="3" t="n">
        <v>3600</v>
      </c>
      <c r="J292" s="3" t="n">
        <v>3600</v>
      </c>
      <c r="K292" s="3" t="n">
        <v>0</v>
      </c>
      <c r="L292" s="2" t="inlineStr">
        <is>
          <t>OK</t>
        </is>
      </c>
      <c r="M292" s="2" t="inlineStr">
        <is>
          <t>12个 × 300/个 = 3,600</t>
        </is>
      </c>
    </row>
    <row r="293" ht="18" customHeight="1" s="4">
      <c r="A293" s="2" t="inlineStr">
        <is>
          <t>苏勃</t>
        </is>
      </c>
      <c r="B293" s="2" t="n">
        <v>102</v>
      </c>
      <c r="C293" s="2" t="inlineStr">
        <is>
          <t>PV</t>
        </is>
      </c>
      <c r="D293" s="2" t="inlineStr">
        <is>
          <t>Group A Sequence Tests</t>
        </is>
      </c>
      <c r="E293" s="2" t="inlineStr">
        <is>
          <t>K17</t>
        </is>
      </c>
      <c r="F293" s="2" t="inlineStr">
        <is>
          <t>K17 Audible Noise</t>
        </is>
      </c>
      <c r="G293" s="2" t="inlineStr">
        <is>
          <t>1-12</t>
        </is>
      </c>
      <c r="H293" s="2" t="inlineStr">
        <is>
          <t>12 个样品</t>
        </is>
      </c>
      <c r="I293" s="3" t="n">
        <v>36000</v>
      </c>
      <c r="J293" s="3" t="n">
        <v>36000</v>
      </c>
      <c r="K293" s="3" t="n">
        <v>0</v>
      </c>
      <c r="L293" s="2" t="inlineStr">
        <is>
          <t>OK</t>
        </is>
      </c>
      <c r="M293" s="2" t="inlineStr">
        <is>
          <t>12个 × 3,000/个 = 36,000</t>
        </is>
      </c>
    </row>
    <row r="294" ht="18" customHeight="1" s="4">
      <c r="A294" s="2" t="inlineStr">
        <is>
          <t>苏勃</t>
        </is>
      </c>
      <c r="B294" s="2" t="n">
        <v>103</v>
      </c>
      <c r="C294" s="2" t="inlineStr">
        <is>
          <t>PV</t>
        </is>
      </c>
      <c r="D294" s="2" t="inlineStr">
        <is>
          <t>Group A Sequence Tests</t>
        </is>
      </c>
      <c r="E294" s="2" t="inlineStr">
        <is>
          <t>K9</t>
        </is>
      </c>
      <c r="F294" s="2" t="inlineStr">
        <is>
          <t>K9 Temperature/Humidity Cycle</t>
        </is>
      </c>
      <c r="G294" s="2" t="inlineStr">
        <is>
          <t>1-12</t>
        </is>
      </c>
      <c r="H294" s="2" t="inlineStr">
        <is>
          <t>264 h</t>
        </is>
      </c>
      <c r="I294" s="3" t="n">
        <v>10560</v>
      </c>
      <c r="J294" s="3" t="n">
        <v>10560</v>
      </c>
      <c r="K294" s="3" t="n">
        <v>0</v>
      </c>
      <c r="L294" s="2" t="inlineStr">
        <is>
          <t>OK</t>
        </is>
      </c>
      <c r="M294" s="2" t="inlineStr">
        <is>
          <t>264h × 40/h = 10,560（大环境箱单价）</t>
        </is>
      </c>
    </row>
    <row r="295" ht="18" customHeight="1" s="4">
      <c r="A295" s="2" t="inlineStr">
        <is>
          <t>苏勃</t>
        </is>
      </c>
      <c r="B295" s="2" t="n">
        <v>104</v>
      </c>
      <c r="C295" s="2" t="inlineStr">
        <is>
          <t>PV</t>
        </is>
      </c>
      <c r="D295" s="2" t="inlineStr">
        <is>
          <t>Group A Sequence Tests</t>
        </is>
      </c>
      <c r="E295" s="2" t="inlineStr">
        <is>
          <t>K10</t>
        </is>
      </c>
      <c r="F295" s="2" t="inlineStr">
        <is>
          <t>K10 Water/Fluid Ingress Test</t>
        </is>
      </c>
      <c r="G295" s="2" t="inlineStr">
        <is>
          <t>1-12</t>
        </is>
      </c>
      <c r="H295" s="2" t="inlineStr">
        <is>
          <t>12 个样品</t>
        </is>
      </c>
      <c r="I295" s="3" t="n">
        <v>6000</v>
      </c>
      <c r="J295" s="3" t="n">
        <v>6000</v>
      </c>
      <c r="K295" s="3" t="n">
        <v>0</v>
      </c>
      <c r="L295" s="2" t="inlineStr">
        <is>
          <t>OK</t>
        </is>
      </c>
      <c r="M295" s="2" t="inlineStr">
        <is>
          <t>12个 × 500/个 = 6,000</t>
        </is>
      </c>
    </row>
    <row r="296" ht="18" customHeight="1" s="4">
      <c r="A296" s="2" t="inlineStr">
        <is>
          <t>苏勃</t>
        </is>
      </c>
      <c r="B296" s="2" t="n">
        <v>105</v>
      </c>
      <c r="C296" s="2" t="inlineStr">
        <is>
          <t>PV</t>
        </is>
      </c>
      <c r="D296" s="2" t="inlineStr">
        <is>
          <t>Group A Sequence Tests</t>
        </is>
      </c>
      <c r="E296" s="2" t="inlineStr">
        <is>
          <t>K13</t>
        </is>
      </c>
      <c r="F296" s="2" t="inlineStr">
        <is>
          <t>K13 Dust Ingress</t>
        </is>
      </c>
      <c r="G296" s="2" t="inlineStr">
        <is>
          <t>1-12</t>
        </is>
      </c>
      <c r="H296" s="2" t="inlineStr">
        <is>
          <t>4 批</t>
        </is>
      </c>
      <c r="I296" s="3" t="n">
        <v>7200</v>
      </c>
      <c r="J296" s="3" t="n">
        <v>7200</v>
      </c>
      <c r="K296" s="3" t="n">
        <v>0</v>
      </c>
      <c r="L296" s="2" t="inlineStr">
        <is>
          <t>OK</t>
        </is>
      </c>
      <c r="M296" s="2" t="inlineStr">
        <is>
          <t>4批 × 1,800/批 = 7,200</t>
        </is>
      </c>
    </row>
    <row r="297" ht="36" customHeight="1" s="4">
      <c r="A297" s="2" t="inlineStr">
        <is>
          <t>苏勃</t>
        </is>
      </c>
      <c r="B297" s="2" t="n">
        <v>106</v>
      </c>
      <c r="C297" s="2" t="inlineStr">
        <is>
          <t>PV</t>
        </is>
      </c>
      <c r="D297" s="2" t="inlineStr">
        <is>
          <t>Group A Sequence Tests</t>
        </is>
      </c>
      <c r="E297" s="2" t="inlineStr">
        <is>
          <t>L1&amp;L4</t>
        </is>
      </c>
      <c r="F297" s="2" t="inlineStr">
        <is>
          <t>L1&amp;L4 Performance Evaluation &amp; Functional Evaluation</t>
        </is>
      </c>
      <c r="G297" s="2" t="inlineStr">
        <is>
          <t>1-14</t>
        </is>
      </c>
      <c r="H297" s="2" t="inlineStr">
        <is>
          <t>14 个样品</t>
        </is>
      </c>
      <c r="I297" s="3" t="n">
        <v>5600</v>
      </c>
      <c r="J297" s="3" t="n">
        <v>5600</v>
      </c>
      <c r="K297" s="3" t="n">
        <v>0</v>
      </c>
      <c r="L297" s="2" t="inlineStr">
        <is>
          <t>OK</t>
        </is>
      </c>
      <c r="M297" s="2" t="inlineStr">
        <is>
          <t>14个 × 400/个 = 5,600</t>
        </is>
      </c>
    </row>
    <row r="298" ht="36" customHeight="1" s="4">
      <c r="A298" s="2" t="inlineStr">
        <is>
          <t>苏勃</t>
        </is>
      </c>
      <c r="B298" s="2" t="n">
        <v>109</v>
      </c>
      <c r="C298" s="2" t="inlineStr">
        <is>
          <t>PV</t>
        </is>
      </c>
      <c r="D298" s="2" t="inlineStr">
        <is>
          <t>Group B Sequence Tests</t>
        </is>
      </c>
      <c r="E298" s="2" t="inlineStr">
        <is>
          <t>L1&amp;L4</t>
        </is>
      </c>
      <c r="F298" s="2" t="inlineStr">
        <is>
          <t>L1&amp;L4 Performance Evaluation &amp; Functional Evaluation</t>
        </is>
      </c>
      <c r="G298" s="2" t="inlineStr">
        <is>
          <t>15-26</t>
        </is>
      </c>
      <c r="H298" s="2" t="inlineStr">
        <is>
          <t>12 个样品</t>
        </is>
      </c>
      <c r="I298" s="3" t="n">
        <v>4800</v>
      </c>
      <c r="J298" s="3" t="n">
        <v>4800</v>
      </c>
      <c r="K298" s="3" t="n">
        <v>0</v>
      </c>
      <c r="L298" s="2" t="inlineStr">
        <is>
          <t>OK</t>
        </is>
      </c>
      <c r="M298" s="2" t="inlineStr">
        <is>
          <t>12个 × 400/个 = 4,800</t>
        </is>
      </c>
    </row>
    <row r="299" ht="18" customHeight="1" s="4">
      <c r="A299" s="2" t="inlineStr">
        <is>
          <t>苏勃</t>
        </is>
      </c>
      <c r="B299" s="2" t="n">
        <v>110</v>
      </c>
      <c r="C299" s="2" t="inlineStr">
        <is>
          <t>PV</t>
        </is>
      </c>
      <c r="D299" s="2" t="inlineStr">
        <is>
          <t>Group B Sequence Tests</t>
        </is>
      </c>
      <c r="E299" s="2" t="inlineStr">
        <is>
          <t>K22</t>
        </is>
      </c>
      <c r="F299" s="2" t="inlineStr">
        <is>
          <t>K22 Chemical Resistance</t>
        </is>
      </c>
      <c r="G299" s="2" t="inlineStr">
        <is>
          <t>15-26</t>
        </is>
      </c>
      <c r="H299" s="2" t="inlineStr">
        <is>
          <t>72 h</t>
        </is>
      </c>
      <c r="I299" s="3" t="n">
        <v>6660</v>
      </c>
      <c r="J299" s="3" t="n">
        <v>6660</v>
      </c>
      <c r="K299" s="3" t="n">
        <v>0</v>
      </c>
      <c r="L299" s="2" t="inlineStr">
        <is>
          <t>OK</t>
        </is>
      </c>
      <c r="M299" s="2" t="inlineStr">
        <is>
          <t>特殊组合计费，按规则表总价 = 6,660</t>
        </is>
      </c>
    </row>
    <row r="300" ht="36" customHeight="1" s="4">
      <c r="A300" s="2" t="inlineStr">
        <is>
          <t>苏勃</t>
        </is>
      </c>
      <c r="B300" s="2" t="n">
        <v>111</v>
      </c>
      <c r="C300" s="2" t="inlineStr">
        <is>
          <t>PV</t>
        </is>
      </c>
      <c r="D300" s="2" t="inlineStr">
        <is>
          <t>Group B Sequence Tests</t>
        </is>
      </c>
      <c r="E300" s="2" t="inlineStr">
        <is>
          <t>K18</t>
        </is>
      </c>
      <c r="F300" s="2" t="inlineStr">
        <is>
          <t>K18 Connector and lead/lock strength</t>
        </is>
      </c>
      <c r="G300" s="2" t="inlineStr">
        <is>
          <t>15-26</t>
        </is>
      </c>
      <c r="H300" s="2" t="inlineStr">
        <is>
          <t>12 个样品</t>
        </is>
      </c>
      <c r="I300" s="3" t="n">
        <v>9500</v>
      </c>
      <c r="J300" s="3" t="n">
        <v>9500</v>
      </c>
      <c r="K300" s="3" t="n">
        <v>0</v>
      </c>
      <c r="L300" s="2" t="inlineStr">
        <is>
          <t>OK</t>
        </is>
      </c>
      <c r="M300" s="2" t="inlineStr">
        <is>
          <t>特殊组合计费，按规则表总价 = 9,500</t>
        </is>
      </c>
    </row>
    <row r="301" ht="36" customHeight="1" s="4">
      <c r="A301" s="2" t="inlineStr">
        <is>
          <t>苏勃</t>
        </is>
      </c>
      <c r="B301" s="2" t="n">
        <v>112</v>
      </c>
      <c r="C301" s="2" t="inlineStr">
        <is>
          <t>PV</t>
        </is>
      </c>
      <c r="D301" s="2" t="inlineStr">
        <is>
          <t>Group B Sequence Tests</t>
        </is>
      </c>
      <c r="E301" s="2" t="inlineStr">
        <is>
          <t>L1&amp;L4</t>
        </is>
      </c>
      <c r="F301" s="2" t="inlineStr">
        <is>
          <t>L1&amp;L4 Performance Evaluation &amp; Functional Evaluation</t>
        </is>
      </c>
      <c r="G301" s="2" t="inlineStr">
        <is>
          <t>15-26</t>
        </is>
      </c>
      <c r="H301" s="2" t="inlineStr">
        <is>
          <t>12 个样品</t>
        </is>
      </c>
      <c r="I301" s="3" t="n">
        <v>4800</v>
      </c>
      <c r="J301" s="3" t="n">
        <v>4800</v>
      </c>
      <c r="K301" s="3" t="n">
        <v>0</v>
      </c>
      <c r="L301" s="2" t="inlineStr">
        <is>
          <t>OK</t>
        </is>
      </c>
      <c r="M301" s="2" t="inlineStr">
        <is>
          <t>12个 × 400/个 = 4,800</t>
        </is>
      </c>
    </row>
    <row r="302" ht="36" customHeight="1" s="4">
      <c r="A302" s="2" t="inlineStr">
        <is>
          <t>苏勃</t>
        </is>
      </c>
      <c r="B302" s="2" t="n">
        <v>115</v>
      </c>
      <c r="C302" s="2" t="inlineStr">
        <is>
          <t>PV</t>
        </is>
      </c>
      <c r="D302" s="2" t="inlineStr">
        <is>
          <t>Group C Sequence Tests</t>
        </is>
      </c>
      <c r="E302" s="2" t="inlineStr">
        <is>
          <t>L1&amp;L4</t>
        </is>
      </c>
      <c r="F302" s="2" t="inlineStr">
        <is>
          <t>L1&amp;L4 Performance Evaluation &amp; Functional Evaluation</t>
        </is>
      </c>
      <c r="G302" s="2" t="inlineStr">
        <is>
          <t>27-32</t>
        </is>
      </c>
      <c r="H302" s="2" t="inlineStr">
        <is>
          <t>6 个样品</t>
        </is>
      </c>
      <c r="I302" s="3" t="n">
        <v>2400</v>
      </c>
      <c r="J302" s="3" t="n">
        <v>2400</v>
      </c>
      <c r="K302" s="3" t="n">
        <v>0</v>
      </c>
      <c r="L302" s="2" t="inlineStr">
        <is>
          <t>OK</t>
        </is>
      </c>
      <c r="M302" s="2" t="inlineStr">
        <is>
          <t>6个 × 400/个 = 2,400</t>
        </is>
      </c>
    </row>
    <row r="303" ht="18" customHeight="1" s="4">
      <c r="A303" s="2" t="inlineStr">
        <is>
          <t>苏勃</t>
        </is>
      </c>
      <c r="B303" s="2" t="n">
        <v>116</v>
      </c>
      <c r="C303" s="2" t="inlineStr">
        <is>
          <t>PV</t>
        </is>
      </c>
      <c r="D303" s="2" t="inlineStr">
        <is>
          <t>Group C Sequence Tests</t>
        </is>
      </c>
      <c r="E303" s="2" t="inlineStr">
        <is>
          <t>K7</t>
        </is>
      </c>
      <c r="F303" s="2" t="inlineStr">
        <is>
          <t>K7 Thermal Shock in Air</t>
        </is>
      </c>
      <c r="G303" s="2" t="inlineStr">
        <is>
          <t>27-32</t>
        </is>
      </c>
      <c r="H303" s="2" t="inlineStr">
        <is>
          <t>105 h</t>
        </is>
      </c>
      <c r="I303" s="3" t="n">
        <v>10500</v>
      </c>
      <c r="J303" s="3" t="n">
        <v>10500</v>
      </c>
      <c r="K303" s="3" t="n">
        <v>0</v>
      </c>
      <c r="L303" s="2" t="inlineStr">
        <is>
          <t>OK</t>
        </is>
      </c>
      <c r="M303" s="2" t="inlineStr">
        <is>
          <t>105h × 100/h = 10,500</t>
        </is>
      </c>
    </row>
    <row r="304" ht="36" customHeight="1" s="4">
      <c r="A304" s="2" t="inlineStr">
        <is>
          <t>苏勃</t>
        </is>
      </c>
      <c r="B304" s="2" t="n">
        <v>117</v>
      </c>
      <c r="C304" s="2" t="inlineStr">
        <is>
          <t>PV</t>
        </is>
      </c>
      <c r="D304" s="2" t="inlineStr">
        <is>
          <t>Group C Sequence Tests</t>
        </is>
      </c>
      <c r="E304" s="2" t="inlineStr">
        <is>
          <t>Particle</t>
        </is>
      </c>
      <c r="F304" s="2" t="inlineStr">
        <is>
          <t>Particle Exposure</t>
        </is>
      </c>
      <c r="G304" s="2" t="inlineStr">
        <is>
          <t>27-32</t>
        </is>
      </c>
      <c r="H304" s="2" t="n"/>
      <c r="I304" s="3" t="n">
        <v>13000</v>
      </c>
      <c r="J304" s="3" t="n">
        <v>13000</v>
      </c>
      <c r="K304" s="3" t="n">
        <v>0</v>
      </c>
      <c r="L304" s="2" t="inlineStr">
        <is>
          <t>OK</t>
        </is>
      </c>
      <c r="M304" s="2" t="inlineStr">
        <is>
          <t>A组已计入粉尘费/清洁费，当前仅计批次费：2批 × 6,500/批 = 13,000</t>
        </is>
      </c>
    </row>
    <row r="305" ht="18" customHeight="1" s="4">
      <c r="A305" s="2" t="inlineStr">
        <is>
          <t>苏勃</t>
        </is>
      </c>
      <c r="B305" s="2" t="n">
        <v>118</v>
      </c>
      <c r="C305" s="2" t="inlineStr">
        <is>
          <t>PV</t>
        </is>
      </c>
      <c r="D305" s="2" t="inlineStr">
        <is>
          <t>Group C Sequence Tests</t>
        </is>
      </c>
      <c r="E305" s="2" t="inlineStr">
        <is>
          <t>K15</t>
        </is>
      </c>
      <c r="F305" s="2" t="inlineStr">
        <is>
          <t>K15 Vibartion</t>
        </is>
      </c>
      <c r="G305" s="2" t="inlineStr">
        <is>
          <t>27-32</t>
        </is>
      </c>
      <c r="H305" s="2" t="inlineStr">
        <is>
          <t>24 h</t>
        </is>
      </c>
      <c r="I305" s="3" t="n">
        <v>14400</v>
      </c>
      <c r="J305" s="3" t="n">
        <v>14400</v>
      </c>
      <c r="K305" s="3" t="n">
        <v>0</v>
      </c>
      <c r="L305" s="2" t="inlineStr">
        <is>
          <t>OK</t>
        </is>
      </c>
      <c r="M305" s="2" t="inlineStr">
        <is>
          <t>24h × 600/h = 14,400</t>
        </is>
      </c>
    </row>
    <row r="306" ht="18" customHeight="1" s="4">
      <c r="A306" s="2" t="inlineStr">
        <is>
          <t>苏勃</t>
        </is>
      </c>
      <c r="B306" s="2" t="n">
        <v>119</v>
      </c>
      <c r="C306" s="2" t="inlineStr">
        <is>
          <t>PV</t>
        </is>
      </c>
      <c r="D306" s="2" t="inlineStr">
        <is>
          <t>Group C Sequence Tests</t>
        </is>
      </c>
      <c r="E306" s="2" t="inlineStr">
        <is>
          <t>K13</t>
        </is>
      </c>
      <c r="F306" s="2" t="inlineStr">
        <is>
          <t>K13 Dust Ingress</t>
        </is>
      </c>
      <c r="G306" s="2" t="inlineStr">
        <is>
          <t>27-32</t>
        </is>
      </c>
      <c r="H306" s="2" t="inlineStr">
        <is>
          <t>2 批</t>
        </is>
      </c>
      <c r="I306" s="3" t="n">
        <v>3600</v>
      </c>
      <c r="J306" s="3" t="n">
        <v>3600</v>
      </c>
      <c r="K306" s="3" t="n">
        <v>0</v>
      </c>
      <c r="L306" s="2" t="inlineStr">
        <is>
          <t>OK</t>
        </is>
      </c>
      <c r="M306" s="2" t="inlineStr">
        <is>
          <t>2批 × 1,800/批 = 3,600</t>
        </is>
      </c>
    </row>
    <row r="307" ht="18" customHeight="1" s="4">
      <c r="A307" s="2" t="inlineStr">
        <is>
          <t>苏勃</t>
        </is>
      </c>
      <c r="B307" s="2" t="n">
        <v>120</v>
      </c>
      <c r="C307" s="2" t="inlineStr">
        <is>
          <t>PV</t>
        </is>
      </c>
      <c r="D307" s="2" t="inlineStr">
        <is>
          <t>Group C Sequence Tests</t>
        </is>
      </c>
      <c r="E307" s="2" t="inlineStr">
        <is>
          <t>K26</t>
        </is>
      </c>
      <c r="F307" s="2" t="inlineStr">
        <is>
          <t>K26 Mechanical Wear-Out</t>
        </is>
      </c>
      <c r="G307" s="2" t="inlineStr">
        <is>
          <t>27-32</t>
        </is>
      </c>
      <c r="H307" s="2" t="inlineStr">
        <is>
          <t>500 h</t>
        </is>
      </c>
      <c r="I307" s="3" t="n">
        <v>11660</v>
      </c>
      <c r="J307" s="3" t="n">
        <v>11660</v>
      </c>
      <c r="K307" s="3" t="n">
        <v>0</v>
      </c>
      <c r="L307" s="2" t="inlineStr">
        <is>
          <t>OK</t>
        </is>
      </c>
      <c r="M307" s="2" t="inlineStr">
        <is>
          <t>特殊组合计费，按规则表总价 = 11,660</t>
        </is>
      </c>
    </row>
    <row r="308" ht="36" customHeight="1" s="4">
      <c r="A308" s="2" t="inlineStr">
        <is>
          <t>苏勃</t>
        </is>
      </c>
      <c r="B308" s="2" t="n">
        <v>121</v>
      </c>
      <c r="C308" s="2" t="inlineStr">
        <is>
          <t>PV</t>
        </is>
      </c>
      <c r="D308" s="2" t="inlineStr">
        <is>
          <t>Group C Sequence Tests</t>
        </is>
      </c>
      <c r="E308" s="2" t="inlineStr">
        <is>
          <t>L1&amp;L4</t>
        </is>
      </c>
      <c r="F308" s="2" t="inlineStr">
        <is>
          <t>L1&amp;L4 Performance Evaluation &amp; Functional Evaluation</t>
        </is>
      </c>
      <c r="G308" s="2" t="inlineStr">
        <is>
          <t>27-32</t>
        </is>
      </c>
      <c r="H308" s="2" t="inlineStr">
        <is>
          <t>6 个样品</t>
        </is>
      </c>
      <c r="I308" s="3" t="n">
        <v>2400</v>
      </c>
      <c r="J308" s="3" t="n">
        <v>2400</v>
      </c>
      <c r="K308" s="3" t="n">
        <v>0</v>
      </c>
      <c r="L308" s="2" t="inlineStr">
        <is>
          <t>OK</t>
        </is>
      </c>
      <c r="M308" s="2" t="inlineStr">
        <is>
          <t>6个 × 400/个 = 2,400</t>
        </is>
      </c>
    </row>
    <row r="309" ht="36" customHeight="1" s="4">
      <c r="A309" s="2" t="inlineStr">
        <is>
          <t>苏勃</t>
        </is>
      </c>
      <c r="B309" s="2" t="n">
        <v>124</v>
      </c>
      <c r="C309" s="2" t="inlineStr">
        <is>
          <t>PV</t>
        </is>
      </c>
      <c r="D309" s="2" t="inlineStr">
        <is>
          <t>Group D Parallel Tests / D-1 Corrosive Gases</t>
        </is>
      </c>
      <c r="E309" s="2" t="inlineStr">
        <is>
          <t>L1&amp;L4</t>
        </is>
      </c>
      <c r="F309" s="2" t="inlineStr">
        <is>
          <t>L1&amp;L4 Performance Evaluation &amp; Functional Evaluation</t>
        </is>
      </c>
      <c r="G309" s="2" t="inlineStr">
        <is>
          <t>33-38</t>
        </is>
      </c>
      <c r="H309" s="2" t="inlineStr">
        <is>
          <t>6 个样品</t>
        </is>
      </c>
      <c r="I309" s="3" t="n">
        <v>2400</v>
      </c>
      <c r="J309" s="3" t="n">
        <v>2400</v>
      </c>
      <c r="K309" s="3" t="n">
        <v>0</v>
      </c>
      <c r="L309" s="2" t="inlineStr">
        <is>
          <t>OK</t>
        </is>
      </c>
      <c r="M309" s="2" t="inlineStr">
        <is>
          <t>6个 × 400/个 = 2,400</t>
        </is>
      </c>
    </row>
    <row r="310" ht="36" customHeight="1" s="4">
      <c r="A310" s="2" t="inlineStr">
        <is>
          <t>苏勃</t>
        </is>
      </c>
      <c r="B310" s="2" t="n">
        <v>125</v>
      </c>
      <c r="C310" s="2" t="inlineStr">
        <is>
          <t>PV</t>
        </is>
      </c>
      <c r="D310" s="2" t="inlineStr">
        <is>
          <t>Group D Parallel Tests / D-1 Corrosive Gases</t>
        </is>
      </c>
      <c r="E310" s="2" t="inlineStr">
        <is>
          <t>K21</t>
        </is>
      </c>
      <c r="F310" s="2" t="inlineStr">
        <is>
          <t>K21 Corrosive Gases</t>
        </is>
      </c>
      <c r="G310" s="2" t="inlineStr">
        <is>
          <t>33-38</t>
        </is>
      </c>
      <c r="H310" s="2" t="inlineStr">
        <is>
          <t>336 h</t>
        </is>
      </c>
      <c r="I310" s="3" t="n">
        <v>50400</v>
      </c>
      <c r="J310" s="3" t="n">
        <v>50400</v>
      </c>
      <c r="K310" s="3" t="n">
        <v>0</v>
      </c>
      <c r="L310" s="2" t="inlineStr">
        <is>
          <t>OK</t>
        </is>
      </c>
      <c r="M310" s="2" t="inlineStr">
        <is>
          <t>336h × 150/h = 50,400</t>
        </is>
      </c>
    </row>
    <row r="311" ht="36" customHeight="1" s="4">
      <c r="A311" s="2" t="inlineStr">
        <is>
          <t>苏勃</t>
        </is>
      </c>
      <c r="B311" s="2" t="n">
        <v>126</v>
      </c>
      <c r="C311" s="2" t="inlineStr">
        <is>
          <t>PV</t>
        </is>
      </c>
      <c r="D311" s="2" t="inlineStr">
        <is>
          <t>Group D Parallel Tests / D-1 Corrosive Gases</t>
        </is>
      </c>
      <c r="E311" s="2" t="inlineStr">
        <is>
          <t>L1&amp;L4</t>
        </is>
      </c>
      <c r="F311" s="2" t="inlineStr">
        <is>
          <t>L1&amp;L4 Performance Evaluation &amp; Functional Evaluation</t>
        </is>
      </c>
      <c r="G311" s="2" t="inlineStr">
        <is>
          <t>33-38</t>
        </is>
      </c>
      <c r="H311" s="2" t="inlineStr">
        <is>
          <t>6 个样品</t>
        </is>
      </c>
      <c r="I311" s="3" t="n">
        <v>2400</v>
      </c>
      <c r="J311" s="3" t="n">
        <v>2400</v>
      </c>
      <c r="K311" s="3" t="n">
        <v>0</v>
      </c>
      <c r="L311" s="2" t="inlineStr">
        <is>
          <t>OK</t>
        </is>
      </c>
      <c r="M311" s="2" t="inlineStr">
        <is>
          <t>6个 × 400/个 = 2,400</t>
        </is>
      </c>
    </row>
    <row r="312" ht="36" customHeight="1" s="4">
      <c r="A312" s="2" t="inlineStr">
        <is>
          <t>苏勃</t>
        </is>
      </c>
      <c r="B312" s="2" t="n">
        <v>129</v>
      </c>
      <c r="C312" s="2" t="inlineStr">
        <is>
          <t>PV</t>
        </is>
      </c>
      <c r="D312" s="2" t="inlineStr">
        <is>
          <t>Group D Parallel Tests / D-2 Solar Radiation</t>
        </is>
      </c>
      <c r="E312" s="2" t="inlineStr">
        <is>
          <t>L1&amp;L4</t>
        </is>
      </c>
      <c r="F312" s="2" t="inlineStr">
        <is>
          <t>L1&amp;L4 Performance Evaluation &amp; Functional Evaluation</t>
        </is>
      </c>
      <c r="G312" s="2" t="inlineStr">
        <is>
          <t>39-44</t>
        </is>
      </c>
      <c r="H312" s="2" t="inlineStr">
        <is>
          <t>6 个样品</t>
        </is>
      </c>
      <c r="I312" s="3" t="n">
        <v>2400</v>
      </c>
      <c r="J312" s="3" t="n">
        <v>2400</v>
      </c>
      <c r="K312" s="3" t="n">
        <v>0</v>
      </c>
      <c r="L312" s="2" t="inlineStr">
        <is>
          <t>OK</t>
        </is>
      </c>
      <c r="M312" s="2" t="inlineStr">
        <is>
          <t>6个 × 400/个 = 2,400</t>
        </is>
      </c>
    </row>
    <row r="313" ht="36" customHeight="1" s="4">
      <c r="A313" s="2" t="inlineStr">
        <is>
          <t>苏勃</t>
        </is>
      </c>
      <c r="B313" s="2" t="n">
        <v>130</v>
      </c>
      <c r="C313" s="2" t="inlineStr">
        <is>
          <t>PV</t>
        </is>
      </c>
      <c r="D313" s="2" t="inlineStr">
        <is>
          <t>Group D Parallel Tests / D-2 Solar Radiation</t>
        </is>
      </c>
      <c r="E313" s="2" t="inlineStr">
        <is>
          <t>K20</t>
        </is>
      </c>
      <c r="F313" s="2" t="inlineStr">
        <is>
          <t>K20 Solar Radiation</t>
        </is>
      </c>
      <c r="G313" s="2" t="inlineStr">
        <is>
          <t>39-44</t>
        </is>
      </c>
      <c r="H313" s="2" t="inlineStr">
        <is>
          <t>720 h</t>
        </is>
      </c>
      <c r="I313" s="3" t="n">
        <v>57600</v>
      </c>
      <c r="J313" s="3" t="n">
        <v>57600</v>
      </c>
      <c r="K313" s="3" t="n">
        <v>0</v>
      </c>
      <c r="L313" s="2" t="inlineStr">
        <is>
          <t>OK</t>
        </is>
      </c>
      <c r="M313" s="2" t="inlineStr">
        <is>
          <t>720h × 80/h = 57,600</t>
        </is>
      </c>
    </row>
    <row r="314" ht="36" customHeight="1" s="4">
      <c r="A314" s="2" t="inlineStr">
        <is>
          <t>苏勃</t>
        </is>
      </c>
      <c r="B314" s="2" t="n">
        <v>131</v>
      </c>
      <c r="C314" s="2" t="inlineStr">
        <is>
          <t>PV</t>
        </is>
      </c>
      <c r="D314" s="2" t="inlineStr">
        <is>
          <t>Group D Parallel Tests / D-2 Solar Radiation</t>
        </is>
      </c>
      <c r="E314" s="2" t="inlineStr">
        <is>
          <t>L1&amp;L4</t>
        </is>
      </c>
      <c r="F314" s="2" t="inlineStr">
        <is>
          <t>L1&amp;L4 Performance Evaluation &amp; Functional Evaluation</t>
        </is>
      </c>
      <c r="G314" s="2" t="inlineStr">
        <is>
          <t>39-44</t>
        </is>
      </c>
      <c r="H314" s="2" t="inlineStr">
        <is>
          <t>6 个样品</t>
        </is>
      </c>
      <c r="I314" s="3" t="n">
        <v>2400</v>
      </c>
      <c r="J314" s="3" t="n">
        <v>2400</v>
      </c>
      <c r="K314" s="3" t="n">
        <v>0</v>
      </c>
      <c r="L314" s="2" t="inlineStr">
        <is>
          <t>OK</t>
        </is>
      </c>
      <c r="M314" s="2" t="inlineStr">
        <is>
          <t>6个 × 400/个 = 2,400</t>
        </is>
      </c>
    </row>
    <row r="315" ht="36" customHeight="1" s="4">
      <c r="A315" s="2" t="inlineStr">
        <is>
          <t>苏勃</t>
        </is>
      </c>
      <c r="B315" s="2" t="n">
        <v>134</v>
      </c>
      <c r="C315" s="2" t="inlineStr">
        <is>
          <t>PV</t>
        </is>
      </c>
      <c r="D315" s="2" t="inlineStr">
        <is>
          <t>Group D Parallel Tests / D-3 PCBA</t>
        </is>
      </c>
      <c r="E315" s="2" t="inlineStr">
        <is>
          <t>L1&amp;L4</t>
        </is>
      </c>
      <c r="F315" s="2" t="inlineStr">
        <is>
          <t>L1&amp;L4 Performance Evaluation &amp; Functional Evaluation</t>
        </is>
      </c>
      <c r="G315" s="2" t="inlineStr">
        <is>
          <t>45-52</t>
        </is>
      </c>
      <c r="H315" s="2" t="inlineStr">
        <is>
          <t>6 个样品</t>
        </is>
      </c>
      <c r="I315" s="3" t="n">
        <v>2400</v>
      </c>
      <c r="J315" s="3" t="n">
        <v>2400</v>
      </c>
      <c r="K315" s="3" t="n">
        <v>0</v>
      </c>
      <c r="L315" s="2" t="inlineStr">
        <is>
          <t>OK</t>
        </is>
      </c>
      <c r="M315" s="2" t="inlineStr">
        <is>
          <t>6个 × 400/个 = 2,400</t>
        </is>
      </c>
    </row>
    <row r="316" ht="18" customHeight="1" s="4">
      <c r="A316" s="2" t="inlineStr">
        <is>
          <t>苏勃</t>
        </is>
      </c>
      <c r="B316" s="2" t="n">
        <v>135</v>
      </c>
      <c r="C316" s="2" t="inlineStr">
        <is>
          <t>PV</t>
        </is>
      </c>
      <c r="D316" s="2" t="inlineStr">
        <is>
          <t>Group D Parallel Tests / D-3 PCBA</t>
        </is>
      </c>
      <c r="E316" s="2" t="inlineStr">
        <is>
          <t>K23</t>
        </is>
      </c>
      <c r="F316" s="2" t="inlineStr">
        <is>
          <t>K23 Thermal Shock Endurance</t>
        </is>
      </c>
      <c r="G316" s="2" t="inlineStr">
        <is>
          <t>45-52</t>
        </is>
      </c>
      <c r="H316" s="2" t="inlineStr">
        <is>
          <t>1017 h</t>
        </is>
      </c>
      <c r="I316" s="3" t="n">
        <v>55935</v>
      </c>
      <c r="J316" s="3" t="n">
        <v>55935</v>
      </c>
      <c r="K316" s="3" t="n">
        <v>0</v>
      </c>
      <c r="L316" s="2" t="inlineStr">
        <is>
          <t>OK</t>
        </is>
      </c>
      <c r="M316" s="2" t="inlineStr">
        <is>
          <t>1,017h × 55/h = 55,935</t>
        </is>
      </c>
    </row>
    <row r="317" ht="36" customHeight="1" s="4">
      <c r="A317" s="2" t="inlineStr">
        <is>
          <t>苏勃</t>
        </is>
      </c>
      <c r="B317" s="2" t="n">
        <v>136</v>
      </c>
      <c r="C317" s="2" t="inlineStr">
        <is>
          <t>PV</t>
        </is>
      </c>
      <c r="D317" s="2" t="inlineStr">
        <is>
          <t>Group D Parallel Tests / D-3 PCBA</t>
        </is>
      </c>
      <c r="E317" s="2" t="inlineStr">
        <is>
          <t>L1&amp;L4</t>
        </is>
      </c>
      <c r="F317" s="2" t="inlineStr">
        <is>
          <t>L1&amp;L4 Performance Evaluation &amp; Functional Evaluation</t>
        </is>
      </c>
      <c r="G317" s="2" t="inlineStr">
        <is>
          <t>45-52</t>
        </is>
      </c>
      <c r="H317" s="2" t="inlineStr">
        <is>
          <t>6 个样品</t>
        </is>
      </c>
      <c r="I317" s="3" t="n">
        <v>2400</v>
      </c>
      <c r="J317" s="3" t="n">
        <v>2400</v>
      </c>
      <c r="K317" s="3" t="n">
        <v>0</v>
      </c>
      <c r="L317" s="2" t="inlineStr">
        <is>
          <t>OK</t>
        </is>
      </c>
      <c r="M317" s="2" t="inlineStr">
        <is>
          <t>6个 × 400/个 = 2,400</t>
        </is>
      </c>
    </row>
    <row r="318" ht="53" customHeight="1" s="4">
      <c r="A318" s="2" t="inlineStr">
        <is>
          <t>苏勃</t>
        </is>
      </c>
      <c r="B318" s="2" t="n">
        <v>137</v>
      </c>
      <c r="C318" s="2" t="inlineStr">
        <is>
          <t>PV</t>
        </is>
      </c>
      <c r="D318" s="2" t="inlineStr">
        <is>
          <t>Group D Parallel Tests / D-3 PCBA</t>
        </is>
      </c>
      <c r="E318" s="2" t="inlineStr">
        <is>
          <t>L6-SEM&amp;SECTION</t>
        </is>
      </c>
      <c r="F318" s="2" t="inlineStr">
        <is>
          <t>L6-SEM&amp;SECTION</t>
        </is>
      </c>
      <c r="G318" s="2" t="inlineStr">
        <is>
          <t>45-52</t>
        </is>
      </c>
      <c r="H318" s="2" t="inlineStr">
        <is>
          <t>33 个样品</t>
        </is>
      </c>
      <c r="I318" s="3" t="n">
        <v>23100</v>
      </c>
      <c r="J318" s="3" t="n">
        <v>23100</v>
      </c>
      <c r="K318" s="3" t="n">
        <v>0</v>
      </c>
      <c r="L318" s="2" t="inlineStr">
        <is>
          <t>OK</t>
        </is>
      </c>
      <c r="M318" s="2" t="inlineStr">
        <is>
          <t>33个 × 700/个 = 23,100</t>
        </is>
      </c>
    </row>
    <row r="319" ht="36" customHeight="1" s="4">
      <c r="A319" s="2" t="inlineStr">
        <is>
          <t>苏勃</t>
        </is>
      </c>
      <c r="B319" s="2" t="n">
        <v>140</v>
      </c>
      <c r="C319" s="2" t="inlineStr">
        <is>
          <t>PV</t>
        </is>
      </c>
      <c r="D319" s="2" t="inlineStr">
        <is>
          <t>Group D Parallel Tests / D-4 Dewing Test</t>
        </is>
      </c>
      <c r="E319" s="2" t="inlineStr">
        <is>
          <t>L1&amp;L4</t>
        </is>
      </c>
      <c r="F319" s="2" t="inlineStr">
        <is>
          <t>L1&amp;L4 Performance Evaluation &amp; Functional Evaluation</t>
        </is>
      </c>
      <c r="G319" s="2" t="inlineStr">
        <is>
          <t>53-58</t>
        </is>
      </c>
      <c r="H319" s="2" t="inlineStr">
        <is>
          <t>6 个样品</t>
        </is>
      </c>
      <c r="I319" s="3" t="n">
        <v>2400</v>
      </c>
      <c r="J319" s="3" t="n">
        <v>2400</v>
      </c>
      <c r="K319" s="3" t="n">
        <v>0</v>
      </c>
      <c r="L319" s="2" t="inlineStr">
        <is>
          <t>OK</t>
        </is>
      </c>
      <c r="M319" s="2" t="inlineStr">
        <is>
          <t>6个 × 400/个 = 2,400</t>
        </is>
      </c>
    </row>
    <row r="320" ht="36" customHeight="1" s="4">
      <c r="A320" s="2" t="inlineStr">
        <is>
          <t>苏勃</t>
        </is>
      </c>
      <c r="B320" s="2" t="n">
        <v>141</v>
      </c>
      <c r="C320" s="2" t="inlineStr">
        <is>
          <t>PV</t>
        </is>
      </c>
      <c r="D320" s="2" t="inlineStr">
        <is>
          <t>Group D Parallel Tests / D-4 Dewing Test</t>
        </is>
      </c>
      <c r="E320" s="2" t="inlineStr">
        <is>
          <t>K8</t>
        </is>
      </c>
      <c r="F320" s="2" t="inlineStr">
        <is>
          <t>K8 Dewing Test</t>
        </is>
      </c>
      <c r="G320" s="2" t="inlineStr">
        <is>
          <t>53-58</t>
        </is>
      </c>
      <c r="H320" s="2" t="inlineStr">
        <is>
          <t>1 批</t>
        </is>
      </c>
      <c r="I320" s="3" t="n">
        <v>5000</v>
      </c>
      <c r="J320" s="3" t="n">
        <v>5000</v>
      </c>
      <c r="K320" s="3" t="n">
        <v>0</v>
      </c>
      <c r="L320" s="2" t="inlineStr">
        <is>
          <t>OK</t>
        </is>
      </c>
      <c r="M320" s="2" t="inlineStr">
        <is>
          <t>1批 × 5,000/批 = 5,000</t>
        </is>
      </c>
    </row>
    <row r="321" ht="36" customHeight="1" s="4">
      <c r="A321" s="2" t="inlineStr">
        <is>
          <t>苏勃</t>
        </is>
      </c>
      <c r="B321" s="2" t="n">
        <v>142</v>
      </c>
      <c r="C321" s="2" t="inlineStr">
        <is>
          <t>PV</t>
        </is>
      </c>
      <c r="D321" s="2" t="inlineStr">
        <is>
          <t>Group D Parallel Tests / D-4 Dewing Test</t>
        </is>
      </c>
      <c r="E321" s="2" t="inlineStr">
        <is>
          <t>L1&amp;L4</t>
        </is>
      </c>
      <c r="F321" s="2" t="inlineStr">
        <is>
          <t>L1&amp;L4 Performance Evaluation &amp; Functional Evaluation</t>
        </is>
      </c>
      <c r="G321" s="2" t="inlineStr">
        <is>
          <t>53-58</t>
        </is>
      </c>
      <c r="H321" s="2" t="inlineStr">
        <is>
          <t>6 个样品</t>
        </is>
      </c>
      <c r="I321" s="3" t="n">
        <v>2400</v>
      </c>
      <c r="J321" s="3" t="n">
        <v>2400</v>
      </c>
      <c r="K321" s="3" t="n">
        <v>0</v>
      </c>
      <c r="L321" s="2" t="inlineStr">
        <is>
          <t>OK</t>
        </is>
      </c>
      <c r="M321" s="2" t="inlineStr">
        <is>
          <t>6个 × 400/个 = 2,400</t>
        </is>
      </c>
    </row>
    <row r="322" ht="36" customHeight="1" s="4">
      <c r="A322" s="2" t="inlineStr">
        <is>
          <t>苏勃</t>
        </is>
      </c>
      <c r="B322" s="2" t="n">
        <v>145</v>
      </c>
      <c r="C322" s="2" t="inlineStr">
        <is>
          <t>PV</t>
        </is>
      </c>
      <c r="D322" s="2" t="inlineStr">
        <is>
          <t>Group D Parallel Tests / D-5 Life Test-1</t>
        </is>
      </c>
      <c r="E322" s="2" t="inlineStr">
        <is>
          <t>L1&amp;L4</t>
        </is>
      </c>
      <c r="F322" s="2" t="inlineStr">
        <is>
          <t>L1&amp;L4 Performance Evaluation &amp; Functional Evaluation</t>
        </is>
      </c>
      <c r="G322" s="2" t="inlineStr">
        <is>
          <t>59-64</t>
        </is>
      </c>
      <c r="H322" s="2" t="inlineStr">
        <is>
          <t>6 个样品</t>
        </is>
      </c>
      <c r="I322" s="3" t="n">
        <v>2400</v>
      </c>
      <c r="J322" s="3" t="n">
        <v>2400</v>
      </c>
      <c r="K322" s="3" t="n">
        <v>0</v>
      </c>
      <c r="L322" s="2" t="inlineStr">
        <is>
          <t>OK</t>
        </is>
      </c>
      <c r="M322" s="2" t="inlineStr">
        <is>
          <t>6个 × 400/个 = 2,400</t>
        </is>
      </c>
    </row>
    <row r="323" ht="36" customHeight="1" s="4">
      <c r="A323" s="2" t="inlineStr">
        <is>
          <t>苏勃</t>
        </is>
      </c>
      <c r="B323" s="2" t="n">
        <v>146</v>
      </c>
      <c r="C323" s="2" t="inlineStr">
        <is>
          <t>PV</t>
        </is>
      </c>
      <c r="D323" s="2" t="inlineStr">
        <is>
          <t>Group D Parallel Tests / D-5 Life Test-1</t>
        </is>
      </c>
      <c r="E323" s="2" t="inlineStr">
        <is>
          <t>K24</t>
        </is>
      </c>
      <c r="F323" s="2" t="inlineStr">
        <is>
          <t>K24 High Temperature Endurance</t>
        </is>
      </c>
      <c r="G323" s="2" t="inlineStr">
        <is>
          <t>59-64</t>
        </is>
      </c>
      <c r="H323" s="2" t="inlineStr">
        <is>
          <t>1000 h</t>
        </is>
      </c>
      <c r="I323" s="3" t="n">
        <v>30000</v>
      </c>
      <c r="J323" s="3" t="n">
        <v>30000</v>
      </c>
      <c r="K323" s="3" t="n">
        <v>0</v>
      </c>
      <c r="L323" s="2" t="inlineStr">
        <is>
          <t>OK</t>
        </is>
      </c>
      <c r="M323" s="2" t="inlineStr">
        <is>
          <t>1,000h × 30/h = 30,000</t>
        </is>
      </c>
    </row>
    <row r="324" ht="36" customHeight="1" s="4">
      <c r="A324" s="2" t="inlineStr">
        <is>
          <t>苏勃</t>
        </is>
      </c>
      <c r="B324" s="2" t="n">
        <v>147</v>
      </c>
      <c r="C324" s="2" t="inlineStr">
        <is>
          <t>PV</t>
        </is>
      </c>
      <c r="D324" s="2" t="inlineStr">
        <is>
          <t>Group D Parallel Tests / D-5 Life Test-1</t>
        </is>
      </c>
      <c r="E324" s="2" t="inlineStr">
        <is>
          <t>L1&amp;L4</t>
        </is>
      </c>
      <c r="F324" s="2" t="inlineStr">
        <is>
          <t>L1&amp;L4 Performance Evaluation &amp; Functional Evaluation</t>
        </is>
      </c>
      <c r="G324" s="2" t="inlineStr">
        <is>
          <t>59-64</t>
        </is>
      </c>
      <c r="H324" s="2" t="inlineStr">
        <is>
          <t>6 个样品</t>
        </is>
      </c>
      <c r="I324" s="3" t="n">
        <v>2400</v>
      </c>
      <c r="J324" s="3" t="n">
        <v>2400</v>
      </c>
      <c r="K324" s="3" t="n">
        <v>0</v>
      </c>
      <c r="L324" s="2" t="inlineStr">
        <is>
          <t>OK</t>
        </is>
      </c>
      <c r="M324" s="2" t="inlineStr">
        <is>
          <t>6个 × 400/个 = 2,400</t>
        </is>
      </c>
    </row>
    <row r="325" ht="36" customHeight="1" s="4">
      <c r="A325" s="2" t="inlineStr">
        <is>
          <t>苏勃</t>
        </is>
      </c>
      <c r="B325" s="2" t="n">
        <v>150</v>
      </c>
      <c r="C325" s="2" t="inlineStr">
        <is>
          <t>PV</t>
        </is>
      </c>
      <c r="D325" s="2" t="inlineStr">
        <is>
          <t>Group D Parallel Tests / D-6 Life Test-2-1</t>
        </is>
      </c>
      <c r="E325" s="2" t="inlineStr">
        <is>
          <t>L1&amp;L4</t>
        </is>
      </c>
      <c r="F325" s="2" t="inlineStr">
        <is>
          <t>L1&amp;L4 Performance Evaluation &amp; Functional Evaluation</t>
        </is>
      </c>
      <c r="G325" s="2" t="inlineStr">
        <is>
          <t>65-70</t>
        </is>
      </c>
      <c r="H325" s="2" t="inlineStr">
        <is>
          <t>6 个样品</t>
        </is>
      </c>
      <c r="I325" s="3" t="n">
        <v>2400</v>
      </c>
      <c r="J325" s="3" t="n">
        <v>2400</v>
      </c>
      <c r="K325" s="3" t="n">
        <v>0</v>
      </c>
      <c r="L325" s="2" t="inlineStr">
        <is>
          <t>OK</t>
        </is>
      </c>
      <c r="M325" s="2" t="inlineStr">
        <is>
          <t>6个 × 400/个 = 2,400</t>
        </is>
      </c>
    </row>
    <row r="326" ht="36" customHeight="1" s="4">
      <c r="A326" s="2" t="inlineStr">
        <is>
          <t>苏勃</t>
        </is>
      </c>
      <c r="B326" s="2" t="n">
        <v>151</v>
      </c>
      <c r="C326" s="2" t="inlineStr">
        <is>
          <t>PV</t>
        </is>
      </c>
      <c r="D326" s="2" t="inlineStr">
        <is>
          <t>Group D Parallel Tests / D-6 Life Test-2-1</t>
        </is>
      </c>
      <c r="E326" s="2" t="inlineStr">
        <is>
          <t>K27</t>
        </is>
      </c>
      <c r="F326" s="2" t="inlineStr">
        <is>
          <t>K27 85/85 High Temperature -High Humidity Endurance</t>
        </is>
      </c>
      <c r="G326" s="2" t="inlineStr">
        <is>
          <t>65-70</t>
        </is>
      </c>
      <c r="H326" s="2" t="inlineStr">
        <is>
          <t>1000 h</t>
        </is>
      </c>
      <c r="I326" s="3" t="n">
        <v>30000</v>
      </c>
      <c r="J326" s="3" t="n">
        <v>30000</v>
      </c>
      <c r="K326" s="3" t="n">
        <v>0</v>
      </c>
      <c r="L326" s="2" t="inlineStr">
        <is>
          <t>OK</t>
        </is>
      </c>
      <c r="M326" s="2" t="inlineStr">
        <is>
          <t>1,000h × 30/h = 30,000</t>
        </is>
      </c>
    </row>
    <row r="327" ht="36" customHeight="1" s="4">
      <c r="A327" s="2" t="inlineStr">
        <is>
          <t>苏勃</t>
        </is>
      </c>
      <c r="B327" s="2" t="n">
        <v>152</v>
      </c>
      <c r="C327" s="2" t="inlineStr">
        <is>
          <t>PV</t>
        </is>
      </c>
      <c r="D327" s="2" t="inlineStr">
        <is>
          <t>Group D Parallel Tests / D-6 Life Test-2-1</t>
        </is>
      </c>
      <c r="E327" s="2" t="inlineStr">
        <is>
          <t>L1&amp;L4</t>
        </is>
      </c>
      <c r="F327" s="2" t="inlineStr">
        <is>
          <t>L1&amp;L4 Performance Evaluation &amp; Functional Evaluation</t>
        </is>
      </c>
      <c r="G327" s="2" t="inlineStr">
        <is>
          <t>65-70</t>
        </is>
      </c>
      <c r="H327" s="2" t="inlineStr">
        <is>
          <t>6 个样品</t>
        </is>
      </c>
      <c r="I327" s="3" t="n">
        <v>2400</v>
      </c>
      <c r="J327" s="3" t="n">
        <v>2400</v>
      </c>
      <c r="K327" s="3" t="n">
        <v>0</v>
      </c>
      <c r="L327" s="2" t="inlineStr">
        <is>
          <t>OK</t>
        </is>
      </c>
      <c r="M327" s="2" t="inlineStr">
        <is>
          <t>6个 × 400/个 = 2,400</t>
        </is>
      </c>
    </row>
    <row r="328" ht="36" customHeight="1" s="4">
      <c r="A328" s="2" t="inlineStr">
        <is>
          <t>苏勃</t>
        </is>
      </c>
      <c r="B328" s="2" t="n">
        <v>155</v>
      </c>
      <c r="C328" s="2" t="inlineStr">
        <is>
          <t>PV</t>
        </is>
      </c>
      <c r="D328" s="2" t="inlineStr">
        <is>
          <t>Group D Parallel Tests / D-7 Life Test-2-2</t>
        </is>
      </c>
      <c r="E328" s="2" t="inlineStr">
        <is>
          <t>L1&amp;L4</t>
        </is>
      </c>
      <c r="F328" s="2" t="inlineStr">
        <is>
          <t>L1&amp;L4 Performance Evaluation &amp; Functional Evaluation</t>
        </is>
      </c>
      <c r="G328" s="2" t="inlineStr">
        <is>
          <t>71-76</t>
        </is>
      </c>
      <c r="H328" s="2" t="inlineStr">
        <is>
          <t>6 个样品</t>
        </is>
      </c>
      <c r="I328" s="3" t="n">
        <v>2400</v>
      </c>
      <c r="J328" s="3" t="n">
        <v>2400</v>
      </c>
      <c r="K328" s="3" t="n">
        <v>0</v>
      </c>
      <c r="L328" s="2" t="inlineStr">
        <is>
          <t>OK</t>
        </is>
      </c>
      <c r="M328" s="2" t="inlineStr">
        <is>
          <t>6个 × 400/个 = 2,400</t>
        </is>
      </c>
    </row>
    <row r="329" ht="36" customHeight="1" s="4">
      <c r="A329" s="2" t="inlineStr">
        <is>
          <t>苏勃</t>
        </is>
      </c>
      <c r="B329" s="2" t="n">
        <v>156</v>
      </c>
      <c r="C329" s="2" t="inlineStr">
        <is>
          <t>PV</t>
        </is>
      </c>
      <c r="D329" s="2" t="inlineStr">
        <is>
          <t>Group D Parallel Tests / D-7 Life Test-2-2</t>
        </is>
      </c>
      <c r="E329" s="2" t="inlineStr">
        <is>
          <t>K27</t>
        </is>
      </c>
      <c r="F329" s="2" t="inlineStr">
        <is>
          <t>K27 60/95 High Temperature -High Humidity Endurance</t>
        </is>
      </c>
      <c r="G329" s="2" t="inlineStr">
        <is>
          <t>71-76</t>
        </is>
      </c>
      <c r="H329" s="2" t="inlineStr">
        <is>
          <t>1100 h</t>
        </is>
      </c>
      <c r="I329" s="3" t="n">
        <v>33000</v>
      </c>
      <c r="J329" s="3" t="n">
        <v>33000</v>
      </c>
      <c r="K329" s="3" t="n">
        <v>0</v>
      </c>
      <c r="L329" s="2" t="inlineStr">
        <is>
          <t>OK</t>
        </is>
      </c>
      <c r="M329" s="2" t="inlineStr">
        <is>
          <t>1,100h × 30/h = 33,000</t>
        </is>
      </c>
    </row>
    <row r="330" ht="36" customHeight="1" s="4">
      <c r="A330" s="2" t="inlineStr">
        <is>
          <t>苏勃</t>
        </is>
      </c>
      <c r="B330" s="2" t="n">
        <v>157</v>
      </c>
      <c r="C330" s="2" t="inlineStr">
        <is>
          <t>PV</t>
        </is>
      </c>
      <c r="D330" s="2" t="inlineStr">
        <is>
          <t>Group D Parallel Tests / D-7 Life Test-2-2</t>
        </is>
      </c>
      <c r="E330" s="2" t="inlineStr">
        <is>
          <t>L1&amp;L4</t>
        </is>
      </c>
      <c r="F330" s="2" t="inlineStr">
        <is>
          <t>L1&amp;L4 Performance Evaluation &amp; Functional Evaluation</t>
        </is>
      </c>
      <c r="G330" s="2" t="inlineStr">
        <is>
          <t>71-76</t>
        </is>
      </c>
      <c r="H330" s="2" t="inlineStr">
        <is>
          <t>6 个样品</t>
        </is>
      </c>
      <c r="I330" s="3" t="n">
        <v>2400</v>
      </c>
      <c r="J330" s="3" t="n">
        <v>2400</v>
      </c>
      <c r="K330" s="3" t="n">
        <v>0</v>
      </c>
      <c r="L330" s="2" t="inlineStr">
        <is>
          <t>OK</t>
        </is>
      </c>
      <c r="M330" s="2" t="inlineStr">
        <is>
          <t>6个 × 400/个 = 2,400</t>
        </is>
      </c>
    </row>
    <row r="331" ht="36" customHeight="1" s="4">
      <c r="A331" s="2" t="inlineStr">
        <is>
          <t>苏勃</t>
        </is>
      </c>
      <c r="B331" s="2" t="n">
        <v>160</v>
      </c>
      <c r="C331" s="2" t="inlineStr">
        <is>
          <t>PV</t>
        </is>
      </c>
      <c r="D331" s="2" t="inlineStr">
        <is>
          <t>Group D Parallel Tests / D-8</t>
        </is>
      </c>
      <c r="E331" s="2" t="inlineStr">
        <is>
          <t>L1&amp;L4</t>
        </is>
      </c>
      <c r="F331" s="2" t="inlineStr">
        <is>
          <t>L1&amp;L4 Performance Evaluation &amp; Functional Evaluation</t>
        </is>
      </c>
      <c r="G331" s="2" t="inlineStr">
        <is>
          <t>77-91</t>
        </is>
      </c>
      <c r="H331" s="2" t="inlineStr">
        <is>
          <t>15 个样品</t>
        </is>
      </c>
      <c r="I331" s="3" t="n">
        <v>6000</v>
      </c>
      <c r="J331" s="3" t="n">
        <v>6000</v>
      </c>
      <c r="K331" s="3" t="n">
        <v>0</v>
      </c>
      <c r="L331" s="2" t="inlineStr">
        <is>
          <t>OK</t>
        </is>
      </c>
      <c r="M331" s="2" t="inlineStr">
        <is>
          <t>15个 × 400/个 = 6,000</t>
        </is>
      </c>
    </row>
    <row r="332" ht="18" customHeight="1" s="4">
      <c r="A332" s="2" t="inlineStr">
        <is>
          <t>苏勃</t>
        </is>
      </c>
      <c r="B332" s="2" t="n">
        <v>161</v>
      </c>
      <c r="C332" s="2" t="inlineStr">
        <is>
          <t>PV</t>
        </is>
      </c>
      <c r="D332" s="2" t="inlineStr">
        <is>
          <t>Group D Parallel Tests / D-8</t>
        </is>
      </c>
      <c r="E332" s="2" t="inlineStr">
        <is>
          <t>K28</t>
        </is>
      </c>
      <c r="F332" s="2" t="inlineStr">
        <is>
          <t>K28 HALT Cold</t>
        </is>
      </c>
      <c r="G332" s="2" t="inlineStr">
        <is>
          <t>77-91</t>
        </is>
      </c>
      <c r="H332" s="2" t="inlineStr">
        <is>
          <t>8 h</t>
        </is>
      </c>
      <c r="I332" s="3" t="n">
        <v>12000</v>
      </c>
      <c r="J332" s="3" t="n">
        <v>12000</v>
      </c>
      <c r="K332" s="3" t="n">
        <v>0</v>
      </c>
      <c r="L332" s="2" t="inlineStr">
        <is>
          <t>OK</t>
        </is>
      </c>
      <c r="M332" s="2" t="inlineStr">
        <is>
          <t>8h × 1,500/h = 12,000</t>
        </is>
      </c>
    </row>
    <row r="333" ht="18" customHeight="1" s="4">
      <c r="A333" s="2" t="inlineStr">
        <is>
          <t>苏勃</t>
        </is>
      </c>
      <c r="B333" s="2" t="n">
        <v>162</v>
      </c>
      <c r="C333" s="2" t="inlineStr">
        <is>
          <t>PV</t>
        </is>
      </c>
      <c r="D333" s="2" t="inlineStr">
        <is>
          <t>Group D Parallel Tests / D-8</t>
        </is>
      </c>
      <c r="E333" s="2" t="inlineStr">
        <is>
          <t>K28</t>
        </is>
      </c>
      <c r="F333" s="2" t="inlineStr">
        <is>
          <t>K28 HALT Hot</t>
        </is>
      </c>
      <c r="G333" s="2" t="inlineStr">
        <is>
          <t>77-91</t>
        </is>
      </c>
      <c r="H333" s="2" t="inlineStr">
        <is>
          <t>8 h</t>
        </is>
      </c>
      <c r="I333" s="3" t="n">
        <v>12000</v>
      </c>
      <c r="J333" s="3" t="n">
        <v>12000</v>
      </c>
      <c r="K333" s="3" t="n">
        <v>0</v>
      </c>
      <c r="L333" s="2" t="inlineStr">
        <is>
          <t>OK</t>
        </is>
      </c>
      <c r="M333" s="2" t="inlineStr">
        <is>
          <t>8h × 1,500/h = 12,000</t>
        </is>
      </c>
    </row>
    <row r="334" ht="18" customHeight="1" s="4">
      <c r="A334" s="2" t="inlineStr">
        <is>
          <t>苏勃</t>
        </is>
      </c>
      <c r="B334" s="2" t="n">
        <v>163</v>
      </c>
      <c r="C334" s="2" t="inlineStr">
        <is>
          <t>PV</t>
        </is>
      </c>
      <c r="D334" s="2" t="inlineStr">
        <is>
          <t>Group D Parallel Tests / D-8</t>
        </is>
      </c>
      <c r="E334" s="2" t="inlineStr">
        <is>
          <t>K28</t>
        </is>
      </c>
      <c r="F334" s="2" t="inlineStr">
        <is>
          <t>K28 HALT Thermal Shock</t>
        </is>
      </c>
      <c r="G334" s="2" t="inlineStr">
        <is>
          <t>77-91</t>
        </is>
      </c>
      <c r="H334" s="2" t="inlineStr">
        <is>
          <t>8 h</t>
        </is>
      </c>
      <c r="I334" s="3" t="n">
        <v>12000</v>
      </c>
      <c r="J334" s="3" t="n">
        <v>12000</v>
      </c>
      <c r="K334" s="3" t="n">
        <v>0</v>
      </c>
      <c r="L334" s="2" t="inlineStr">
        <is>
          <t>OK</t>
        </is>
      </c>
      <c r="M334" s="2" t="inlineStr">
        <is>
          <t>8h × 1,500/h = 12,000</t>
        </is>
      </c>
    </row>
    <row r="335" ht="18" customHeight="1" s="4">
      <c r="A335" s="2" t="inlineStr">
        <is>
          <t>苏勃</t>
        </is>
      </c>
      <c r="B335" s="2" t="n">
        <v>164</v>
      </c>
      <c r="C335" s="2" t="inlineStr">
        <is>
          <t>PV</t>
        </is>
      </c>
      <c r="D335" s="2" t="inlineStr">
        <is>
          <t>Group D Parallel Tests / D-8</t>
        </is>
      </c>
      <c r="E335" s="2" t="inlineStr">
        <is>
          <t>K28</t>
        </is>
      </c>
      <c r="F335" s="2" t="inlineStr">
        <is>
          <t>K28 HALT Vibration</t>
        </is>
      </c>
      <c r="G335" s="2" t="inlineStr">
        <is>
          <t>77-91</t>
        </is>
      </c>
      <c r="H335" s="2" t="inlineStr">
        <is>
          <t>8 h</t>
        </is>
      </c>
      <c r="I335" s="3" t="n">
        <v>12000</v>
      </c>
      <c r="J335" s="3" t="n">
        <v>12000</v>
      </c>
      <c r="K335" s="3" t="n">
        <v>0</v>
      </c>
      <c r="L335" s="2" t="inlineStr">
        <is>
          <t>OK</t>
        </is>
      </c>
      <c r="M335" s="2" t="inlineStr">
        <is>
          <t>8h × 1,500/h = 12,000</t>
        </is>
      </c>
    </row>
    <row r="336" ht="18" customHeight="1" s="4">
      <c r="A336" s="2" t="inlineStr">
        <is>
          <t>苏勃</t>
        </is>
      </c>
      <c r="B336" s="2" t="n">
        <v>165</v>
      </c>
      <c r="C336" s="2" t="inlineStr">
        <is>
          <t>PV</t>
        </is>
      </c>
      <c r="D336" s="2" t="inlineStr">
        <is>
          <t>Group D Parallel Tests / D-8</t>
        </is>
      </c>
      <c r="E336" s="2" t="inlineStr">
        <is>
          <t>K28</t>
        </is>
      </c>
      <c r="F336" s="2" t="inlineStr">
        <is>
          <t>K28 HALT TST &amp; Vibration</t>
        </is>
      </c>
      <c r="G336" s="2" t="inlineStr">
        <is>
          <t>77-91</t>
        </is>
      </c>
      <c r="H336" s="2" t="inlineStr">
        <is>
          <t>8 h</t>
        </is>
      </c>
      <c r="I336" s="3" t="n">
        <v>12000</v>
      </c>
      <c r="J336" s="3" t="n">
        <v>12000</v>
      </c>
      <c r="K336" s="3" t="n">
        <v>0</v>
      </c>
      <c r="L336" s="2" t="inlineStr">
        <is>
          <t>OK</t>
        </is>
      </c>
      <c r="M336" s="2" t="inlineStr">
        <is>
          <t>8h × 1,500/h = 12,000</t>
        </is>
      </c>
    </row>
    <row r="337" ht="36" customHeight="1" s="4">
      <c r="A337" s="2" t="inlineStr">
        <is>
          <t>苏勃</t>
        </is>
      </c>
      <c r="B337" s="2" t="n">
        <v>166</v>
      </c>
      <c r="C337" s="2" t="inlineStr">
        <is>
          <t>PV</t>
        </is>
      </c>
      <c r="D337" s="2" t="inlineStr">
        <is>
          <t>Group D Parallel Tests / D-8</t>
        </is>
      </c>
      <c r="E337" s="2" t="inlineStr">
        <is>
          <t>L1&amp;L4</t>
        </is>
      </c>
      <c r="F337" s="2" t="inlineStr">
        <is>
          <t>L1&amp;L4 Performance Evaluation &amp; Functional Evaluation</t>
        </is>
      </c>
      <c r="G337" s="2" t="inlineStr">
        <is>
          <t>77-91</t>
        </is>
      </c>
      <c r="H337" s="2" t="inlineStr">
        <is>
          <t>9 个样品</t>
        </is>
      </c>
      <c r="I337" s="3" t="n">
        <v>3600</v>
      </c>
      <c r="J337" s="3" t="n">
        <v>3600</v>
      </c>
      <c r="K337" s="3" t="n">
        <v>0</v>
      </c>
      <c r="L337" s="2" t="inlineStr">
        <is>
          <t>OK</t>
        </is>
      </c>
      <c r="M337" s="2" t="inlineStr">
        <is>
          <t>9个 × 400/个 = 3,600</t>
        </is>
      </c>
    </row>
    <row r="338" ht="36" customHeight="1" s="4">
      <c r="A338" s="2" t="inlineStr">
        <is>
          <t>苏勃</t>
        </is>
      </c>
      <c r="B338" s="2" t="n">
        <v>169</v>
      </c>
      <c r="C338" s="2" t="inlineStr">
        <is>
          <t>PV</t>
        </is>
      </c>
      <c r="D338" s="2" t="inlineStr">
        <is>
          <t>Group D Parallel Tests / D-9</t>
        </is>
      </c>
      <c r="E338" s="2" t="inlineStr">
        <is>
          <t>L1&amp;L4</t>
        </is>
      </c>
      <c r="F338" s="2" t="inlineStr">
        <is>
          <t>L1&amp;L4 Performance Evaluation &amp; Functional Evaluation</t>
        </is>
      </c>
      <c r="G338" s="2" t="inlineStr">
        <is>
          <t>92-97</t>
        </is>
      </c>
      <c r="H338" s="2" t="inlineStr">
        <is>
          <t>6 个样品</t>
        </is>
      </c>
      <c r="I338" s="3" t="n">
        <v>2400</v>
      </c>
      <c r="J338" s="3" t="n">
        <v>2400</v>
      </c>
      <c r="K338" s="3" t="n">
        <v>0</v>
      </c>
      <c r="L338" s="2" t="inlineStr">
        <is>
          <t>OK</t>
        </is>
      </c>
      <c r="M338" s="2" t="inlineStr">
        <is>
          <t>6个 × 400/个 = 2,400</t>
        </is>
      </c>
    </row>
    <row r="339" ht="18" customHeight="1" s="4">
      <c r="A339" s="2" t="inlineStr">
        <is>
          <t>苏勃</t>
        </is>
      </c>
      <c r="B339" s="2" t="n">
        <v>170</v>
      </c>
      <c r="C339" s="2" t="inlineStr">
        <is>
          <t>PV</t>
        </is>
      </c>
      <c r="D339" s="2" t="inlineStr">
        <is>
          <t>Group D Parallel Tests / D-9</t>
        </is>
      </c>
      <c r="E339" s="2" t="inlineStr">
        <is>
          <t>K52.351</t>
        </is>
      </c>
      <c r="F339" s="2" t="inlineStr">
        <is>
          <t>K52.351 Condensing humidity</t>
        </is>
      </c>
      <c r="G339" s="2" t="inlineStr">
        <is>
          <t>92-97</t>
        </is>
      </c>
      <c r="H339" s="2" t="inlineStr">
        <is>
          <t>120 h</t>
        </is>
      </c>
      <c r="I339" s="3" t="n">
        <v>6600</v>
      </c>
      <c r="J339" s="3" t="n">
        <v>6600</v>
      </c>
      <c r="K339" s="3" t="n">
        <v>0</v>
      </c>
      <c r="L339" s="2" t="inlineStr">
        <is>
          <t>OK</t>
        </is>
      </c>
      <c r="M339" s="2" t="inlineStr">
        <is>
          <t>120h × 55/h = 6,600</t>
        </is>
      </c>
    </row>
    <row r="340" ht="36" customHeight="1" s="4">
      <c r="A340" s="2" t="inlineStr">
        <is>
          <t>苏勃</t>
        </is>
      </c>
      <c r="B340" s="2" t="n">
        <v>171</v>
      </c>
      <c r="C340" s="2" t="inlineStr">
        <is>
          <t>PV</t>
        </is>
      </c>
      <c r="D340" s="2" t="inlineStr">
        <is>
          <t>Group D Parallel Tests / D-9</t>
        </is>
      </c>
      <c r="E340" s="2" t="inlineStr">
        <is>
          <t>L1&amp;L4</t>
        </is>
      </c>
      <c r="F340" s="2" t="inlineStr">
        <is>
          <t>L1&amp;L4 Performance Evaluation &amp; Functional Evaluation</t>
        </is>
      </c>
      <c r="G340" s="2" t="inlineStr">
        <is>
          <t>92-97</t>
        </is>
      </c>
      <c r="H340" s="2" t="inlineStr">
        <is>
          <t>6 个样品</t>
        </is>
      </c>
      <c r="I340" s="3" t="n">
        <v>2400</v>
      </c>
      <c r="J340" s="3" t="n">
        <v>2400</v>
      </c>
      <c r="K340" s="3" t="n">
        <v>0</v>
      </c>
      <c r="L340" s="2" t="inlineStr">
        <is>
          <t>OK</t>
        </is>
      </c>
      <c r="M340" s="2" t="inlineStr">
        <is>
          <t>6个 × 400/个 = 2,400</t>
        </is>
      </c>
    </row>
  </sheetData>
  <conditionalFormatting sqref="K2:K340">
    <cfRule type="cellIs" priority="1" operator="notEqual" dxfId="32">
      <formula>0</formula>
    </cfRule>
  </conditionalFormatting>
  <conditionalFormatting sqref="L2:L340">
    <cfRule type="expression" priority="2" dxfId="33">
      <formula>$L2="已修正"</formula>
    </cfRule>
    <cfRule type="expression" priority="3" dxfId="30">
      <formula>$L2="OK"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2026-06-14T11:13:00Z</dcterms:created>
  <dcterms:modified xmlns:dcterms="http://purl.org/dc/terms/" xmlns:xsi="http://www.w3.org/2001/XMLSchema-instance" xsi:type="dcterms:W3CDTF">2026-06-15T03:24:02Z</dcterms:modified>
  <cp:lastModifiedBy>Clytia♥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285B777D9D66E16BF67C2B6AFEC81038_42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