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560" firstSheet="1" activeTab="7"/>
  </bookViews>
  <sheets>
    <sheet name="样品及辅助设备需求" sheetId="8" r:id="rId1"/>
    <sheet name="费用预估" sheetId="1" r:id="rId2"/>
    <sheet name="SGS" sheetId="2" r:id="rId3"/>
    <sheet name="华测" sheetId="3" r:id="rId4"/>
    <sheet name="苏勃" sheetId="4" r:id="rId5"/>
    <sheet name="费用对比" sheetId="5" r:id="rId6"/>
    <sheet name="特殊项目费用" sheetId="6" r:id="rId7"/>
    <sheet name="费用规则校验" sheetId="7" r:id="rId8" state="hidden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  <definedNames>
    <definedName name="_PT_META_OEM" hidden="1">'费用预估'!$B$2</definedName>
    <definedName name="_PT_META_PLATFORM" hidden="1">'费用预估'!$D$2</definedName>
    <definedName name="_PT_META_PROJECT_CODE" hidden="1">'费用预估'!$B$3</definedName>
    <definedName name="_PT_META_STEERING" hidden="1">'费用预估'!$D$3</definedName>
    <definedName name="_PT_META_PROJECT_TYPE" hidden="1">'费用预估'!$B$4</definedName>
    <definedName name="_PT_META_EXPORT_SCOPE" hidden="1">'费用预估'!$D$4</definedName>
    <definedName name="_PT_META_FULL_REUSE" hidden="1">'费用预估'!$B$5</definedName>
    <definedName name="_PT_META_ENV_TEMPLATE" hidden="1">'费用预估'!$D$5</definedName>
    <definedName name="_PT_SAMPLE_DYNAMIC_START" hidden="1">'样品及辅助设备需求'!$A$6</definedName>
    <definedName name="_PT_SAMPLE_DYNAMIC_END" hidden="1">'样品及辅助设备需求'!$AS$145</definedName>
    <definedName name="_PT_SAMPLE_PROTO_SUMMARY" hidden="1">'样品及辅助设备需求'!$A$6:$AS$6</definedName>
    <definedName name="_PT_SAMPLE_PROTO_DETAIL_GROUP" hidden="1">'样品及辅助设备需求'!$A$24:$V$24</definedName>
    <definedName name="_PT_SAMPLE_PROTO_DETAIL_HEADER" hidden="1">'样品及辅助设备需求'!$A$25:$V$25</definedName>
    <definedName name="_PT_SAMPLE_PROTO_DETAIL_DATA" hidden="1">'样品及辅助设备需求'!$A$26:$V$26</definedName>
    <definedName name="_PT_SAMPLE_PROTO_DETAIL_TOTAL" hidden="1">'样品及辅助设备需求'!$A$48:$V$48</definedName>
    <definedName name="_PT_FORECAST_DYNAMIC_START" hidden="1">'费用预估'!$A$10</definedName>
    <definedName name="_PT_FORECAST_DYNAMIC_END" hidden="1">'费用预估'!$W$266</definedName>
    <definedName name="_PT_FORECAST_PROTO_PHASE" hidden="1">'费用预估'!$A$10:$W$10</definedName>
    <definedName name="_PT_FORECAST_PROTO_GROUP" hidden="1">'费用预估'!$A$11:$W$11</definedName>
    <definedName name="_PT_FORECAST_PROTO_HEADER" hidden="1">'费用预估'!$A$12:$W$12</definedName>
    <definedName name="_PT_FORECAST_PROTO_DATA" hidden="1">'费用预估'!$A$13:$W$13</definedName>
    <definedName name="_PT_FORECAST_PROTO_LAST_DATA" hidden="1">'费用预估'!$A$30:$W$30</definedName>
    <definedName name="_PT_FORECAST_PROTO_TOTAL" hidden="1">'费用预估'!$A$34:$W$34</definedName>
    <definedName name="_PT_FORECAST_PROTO_ADDITIONAL" hidden="1">'费用预估'!$A$135:$W$135</definedName>
    <definedName name="_PT_SGS_DYNAMIC_START" hidden="1">'SGS'!$A$6</definedName>
    <definedName name="_PT_SGS_DYNAMIC_END" hidden="1">'SGS'!$R$175</definedName>
    <definedName name="_PT_SGS_PROTO_PHASE" hidden="1">'SGS'!$A$6:$R$6</definedName>
    <definedName name="_PT_SGS_PROTO_GROUP" hidden="1">'SGS'!$A$7:$R$7</definedName>
    <definedName name="_PT_SGS_PROTO_HEADER" hidden="1">'SGS'!$A$8:$R$8</definedName>
    <definedName name="_PT_SGS_PROTO_DATA" hidden="1">'SGS'!$A$9:$R$9</definedName>
    <definedName name="_PT_SGS_PROTO_TOTAL" hidden="1">'SGS'!$A$27:$R$27</definedName>
    <definedName name="_PT_CTI_DYNAMIC_START" hidden="1">'华测'!$A$6</definedName>
    <definedName name="_PT_CTI_DYNAMIC_END" hidden="1">'华测'!$R$174</definedName>
    <definedName name="_PT_CTI_PROTO_PHASE" hidden="1">'华测'!$A$6:$R$6</definedName>
    <definedName name="_PT_CTI_PROTO_GROUP" hidden="1">'华测'!$A$7:$R$7</definedName>
    <definedName name="_PT_CTI_PROTO_HEADER" hidden="1">'华测'!$A$8:$R$8</definedName>
    <definedName name="_PT_CTI_PROTO_DATA" hidden="1">'华测'!$A$9:$R$9</definedName>
    <definedName name="_PT_CTI_PROTO_TOTAL" hidden="1">'华测'!$A$27:$R$27</definedName>
    <definedName name="_PT_SUBO_DYNAMIC_START" hidden="1">'苏勃'!$A$6</definedName>
    <definedName name="_PT_SUBO_DYNAMIC_END" hidden="1">'苏勃'!$R$174</definedName>
    <definedName name="_PT_SUBO_PROTO_PHASE" hidden="1">'苏勃'!$A$6:$R$6</definedName>
    <definedName name="_PT_SUBO_PROTO_GROUP" hidden="1">'苏勃'!$A$7:$R$7</definedName>
    <definedName name="_PT_SUBO_PROTO_HEADER" hidden="1">'苏勃'!$A$8:$R$8</definedName>
    <definedName name="_PT_SUBO_PROTO_DATA" hidden="1">'苏勃'!$A$9:$R$9</definedName>
    <definedName name="_PT_SUBO_PROTO_TOTAL" hidden="1">'苏勃'!$A$27:$R$27</definedName>
    <definedName name="_PT_COMPARE_DYNAMIC_START" hidden="1">'费用对比'!$A$9</definedName>
    <definedName name="_PT_COMPARE_DYNAMIC_END" hidden="1">'费用对比'!$R$37</definedName>
    <definedName name="_PT_COMPARE_PROTO_PHASE" hidden="1">'费用对比'!$A$9:$R$9</definedName>
    <definedName name="_PT_COMPARE_PROTO_HEADER" hidden="1">'费用对比'!$A$11:$R$11</definedName>
    <definedName name="_PT_COMPARE_PROTO_DATA" hidden="1">'费用对比'!$A$12:$R$12</definedName>
    <definedName name="_PT_COMPARE_HELPER_RANGE" hidden="1">'费用对比'!$S$1:$X$15</definedName>
    <definedName name="_PT_SPECIAL_DYNAMIC_START" hidden="1">'特殊项目费用'!$A$9</definedName>
    <definedName name="_PT_SPECIAL_DYNAMIC_END" hidden="1">'特殊项目费用'!$M$37</definedName>
    <definedName name="_PT_SPECIAL_PROTO_PHASE" hidden="1">'特殊项目费用'!$A$9:$M$9</definedName>
    <definedName name="_PT_SPECIAL_PROTO_DATA" hidden="1">'特殊项目费用'!$A$12:$M$12</definedName>
    <definedName name="_PT_SPECIAL_PROTO_TOTAL" hidden="1">'特殊项目费用'!$A$38:$M$38</definedName>
    <definedName name="_PT_VALIDATION_DYNAMIC_START" hidden="1">'费用规则校验'!$A$1</definedName>
    <definedName name="_PT_VALIDATION_DYNAMIC_END" hidden="1">'费用规则校验'!$M$340</definedName>
    <definedName name="_PT_VALIDATION_PROTO_HEADER" hidden="1">'费用规则校验'!$A$1:$M$1</definedName>
    <definedName name="_PT_VALIDATION_PROTO_DATA" hidden="1">'费用规则校验'!$A$2:$M$2</definedName>
  </definedNames>
</workbook>
</file>

<file path=xl/sharedStrings.xml><?xml version="1.0" encoding="utf-8"?>
<sst xmlns="http://schemas.openxmlformats.org/spreadsheetml/2006/main" count="10043" uniqueCount="515">
  <si>
    <t>EMA DV样品及辅助设备需求汇总</t>
  </si>
  <si>
    <t>EMA PV样品及辅助设备需求汇总</t>
  </si>
  <si>
    <t>组内测试按顺序执行：样品及耗材按组内峰值准备；工装跨时段复用并按Phase峰值申请；DV与PV独立计算。</t>
  </si>
  <si>
    <t>组别</t>
  </si>
  <si>
    <t>样品需求</t>
  </si>
  <si>
    <t>工装需求</t>
  </si>
  <si>
    <t>投图板周边</t>
  </si>
  <si>
    <t>HUD周边</t>
  </si>
  <si>
    <t>Sensor周边</t>
  </si>
  <si>
    <t>备注/特殊要求</t>
  </si>
  <si>
    <t>HUD</t>
  </si>
  <si>
    <t>PCBA</t>
  </si>
  <si>
    <t>振动/冲击工装</t>
  </si>
  <si>
    <t>防尘防水工装</t>
  </si>
  <si>
    <t>视频源板</t>
  </si>
  <si>
    <t>视频源板电源线</t>
  </si>
  <si>
    <t>视频源板与PC串口线</t>
  </si>
  <si>
    <t>HUD电源线 2m</t>
  </si>
  <si>
    <t>HUD电源线 3m</t>
  </si>
  <si>
    <t>FPD LINK线 2m</t>
  </si>
  <si>
    <t>FPD LINK线 3m</t>
  </si>
  <si>
    <t>HUB</t>
  </si>
  <si>
    <t>USB延长线</t>
  </si>
  <si>
    <t>Sensor</t>
  </si>
  <si>
    <t>Sensor小板</t>
  </si>
  <si>
    <t>Sensor线</t>
  </si>
  <si>
    <t>Group A</t>
  </si>
  <si>
    <t>Group B</t>
  </si>
  <si>
    <t>K18 线束必须为全新的</t>
  </si>
  <si>
    <t>额外提供 3 个带 cover lens 的 top housing；K18 线束必须为全新的</t>
  </si>
  <si>
    <t>Group C</t>
  </si>
  <si>
    <t>Group D-1</t>
  </si>
  <si>
    <t>Group D-2</t>
  </si>
  <si>
    <t>Group D-3</t>
  </si>
  <si>
    <t>额外提供与 PCBA 样品数相同的 PGU 模组/电机组件，并保留测试前 X-RAY 要求</t>
  </si>
  <si>
    <t>Group D-4</t>
  </si>
  <si>
    <t>额外提供与 PCBA 样品数相同的 PGU 模组/电机组件/开孔 bottom housing</t>
  </si>
  <si>
    <t>Group D-5</t>
  </si>
  <si>
    <t>Group D-6</t>
  </si>
  <si>
    <t>Group D-7</t>
  </si>
  <si>
    <t>Group E-1</t>
  </si>
  <si>
    <t>样品可以为故障状态</t>
  </si>
  <si>
    <t>Group D-8</t>
  </si>
  <si>
    <t>Group E-2</t>
  </si>
  <si>
    <t>样品无需满足光学性能</t>
  </si>
  <si>
    <t>备样</t>
  </si>
  <si>
    <t>DV/PV 各固定增加 3 台 HUD 备样；备样不增加辅助设备或耗材</t>
  </si>
  <si>
    <t>全部组别合计</t>
  </si>
  <si>
    <t>HUD/PCBA/耗材按 Group 合计；振动/冲击工装、防尘防水工装、3m 线束按 Phase 最大值准备</t>
  </si>
  <si>
    <t>需求细则</t>
  </si>
  <si>
    <t>Group A Sequence Tests</t>
  </si>
  <si>
    <t>sensor周边</t>
  </si>
  <si>
    <t>特殊要求</t>
  </si>
  <si>
    <t>组别顺序</t>
  </si>
  <si>
    <t>组内顺序</t>
  </si>
  <si>
    <t>测试编号</t>
  </si>
  <si>
    <t>测试项目</t>
  </si>
  <si>
    <t>振动工装</t>
  </si>
  <si>
    <t>视频源板与PC--串口线</t>
  </si>
  <si>
    <t>HUD电源线
2m</t>
  </si>
  <si>
    <t>HUD电源线
3m</t>
  </si>
  <si>
    <t>FPD LINK线
2m</t>
  </si>
  <si>
    <t>FPD LINK线
3m</t>
  </si>
  <si>
    <t>sensor</t>
  </si>
  <si>
    <t>sensor
小板</t>
  </si>
  <si>
    <t>sensor线</t>
  </si>
  <si>
    <t>Optical</t>
  </si>
  <si>
    <t>Optical Test</t>
  </si>
  <si>
    <t>L1&amp;L4</t>
  </si>
  <si>
    <t>L1&amp;L4 Performance Evaluation &amp; Functional Evaluation</t>
  </si>
  <si>
    <t>K1</t>
  </si>
  <si>
    <t>K1 Low Temperature Exposure</t>
  </si>
  <si>
    <t>K2</t>
  </si>
  <si>
    <t>K2 High Temperature Exposure</t>
  </si>
  <si>
    <t>K3</t>
  </si>
  <si>
    <t>K3 Low Temperature Operation</t>
  </si>
  <si>
    <t>K4</t>
  </si>
  <si>
    <t>K4 High Temperature Operation</t>
  </si>
  <si>
    <t>K5</t>
  </si>
  <si>
    <t>K5 Temperature Step Test</t>
  </si>
  <si>
    <t>K6</t>
  </si>
  <si>
    <t>K6 Power Thermal Cycle</t>
  </si>
  <si>
    <t>K7</t>
  </si>
  <si>
    <t>K7 Thermal Shock in Air</t>
  </si>
  <si>
    <t>K15</t>
  </si>
  <si>
    <t>K15 Vibration</t>
  </si>
  <si>
    <t>K16.1</t>
  </si>
  <si>
    <t>K16.1 Mechanical Shock Package Drop</t>
  </si>
  <si>
    <t>K16.4</t>
  </si>
  <si>
    <t>K16.4 Mechanical Shock Low</t>
  </si>
  <si>
    <t>K17</t>
  </si>
  <si>
    <t>K17 Audible Noise</t>
  </si>
  <si>
    <t>K9</t>
  </si>
  <si>
    <t>K9 Temperature/Humidity Cycle</t>
  </si>
  <si>
    <t>K10</t>
  </si>
  <si>
    <t>K10 Water/Fluid Ingress Test</t>
  </si>
  <si>
    <t>K13</t>
  </si>
  <si>
    <t>K13 Dust Ingress</t>
  </si>
  <si>
    <t>L6-photo&amp;xray</t>
  </si>
  <si>
    <t>Max</t>
  </si>
  <si>
    <t>Group B Sequence Tests</t>
  </si>
  <si>
    <t>K22</t>
  </si>
  <si>
    <t>K22 Chemical Resistance</t>
  </si>
  <si>
    <t>MLA平台项目K22需要额外的3个带cover lens的top housing</t>
  </si>
  <si>
    <t>K18</t>
  </si>
  <si>
    <t>K18 Connector and lead/lock strength</t>
  </si>
  <si>
    <t>线束必须为全新的</t>
  </si>
  <si>
    <t>Group C Sequence Tests</t>
  </si>
  <si>
    <t>K15 Vibartion</t>
  </si>
  <si>
    <t>K26</t>
  </si>
  <si>
    <t>K26 Mechanical Wear-Out</t>
  </si>
  <si>
    <t>Group D Parallel Tests / D-1 Corrosive Gases</t>
  </si>
  <si>
    <t>K21</t>
  </si>
  <si>
    <t>K21 Corrosive Gases</t>
  </si>
  <si>
    <t>Group D Parallel Tests / D-2 Solar Radiation</t>
  </si>
  <si>
    <t>K20</t>
  </si>
  <si>
    <t>K20 Solar Radiation</t>
  </si>
  <si>
    <t>Group D Parallel Tests / D-3 Thermal Shock Endurance --PCBA</t>
  </si>
  <si>
    <t>K23</t>
  </si>
  <si>
    <t>K23 Thermal Shock Endurance</t>
  </si>
  <si>
    <t>需要额外提供8套PGU模组/电机组件用于测试功能；PCBA测试前需要进行X-RAY，确保没有隐性问题</t>
  </si>
  <si>
    <t>L6-SEM&amp;SECTION</t>
  </si>
  <si>
    <t>Group D Parallel Tests / D-4 Dewing Test-- PCBA</t>
  </si>
  <si>
    <t>K8</t>
  </si>
  <si>
    <t>K8 Dewing Test</t>
  </si>
  <si>
    <t>需要额外提供6套PGU模组/电机组件/开孔bottom housing用于测试功能</t>
  </si>
  <si>
    <t>Group D Parallel Tests / D-5 Life Test-1</t>
  </si>
  <si>
    <t>K24</t>
  </si>
  <si>
    <t>K24 High Temperature Endurance</t>
  </si>
  <si>
    <t>Group D Parallel Tests / D-6 Life Test-2-1</t>
  </si>
  <si>
    <t>K27</t>
  </si>
  <si>
    <t>K27 85/85 High Temperature -High Humidity Endurance</t>
  </si>
  <si>
    <t>Group D Parallel Tests / D-7 Life Test-2-2</t>
  </si>
  <si>
    <t>K27 60/95 High Temperature -High Humidity Endurance</t>
  </si>
  <si>
    <t>Group E-1：PV / Group F Other Tests / Restricted Substance</t>
  </si>
  <si>
    <t>Group D Parallel Tests / D-8  HALT</t>
  </si>
  <si>
    <t>E-1</t>
  </si>
  <si>
    <t>E-1 Restricted Substance Management</t>
  </si>
  <si>
    <t>Group E-2：PV / Group F Other Tests / Noise test</t>
  </si>
  <si>
    <t>K28</t>
  </si>
  <si>
    <t>K28 HALT Cold</t>
  </si>
  <si>
    <t>E-2</t>
  </si>
  <si>
    <t>E-2 Operating Noise &amp; Transient Noise</t>
  </si>
  <si>
    <t>K28 HALT Hot</t>
  </si>
  <si>
    <t>K28 HALT Thermal Shock</t>
  </si>
  <si>
    <t>K28 HALT Vibration</t>
  </si>
  <si>
    <t>K28 HALT TST &amp; Vibration</t>
  </si>
  <si>
    <t>项目概要</t>
  </si>
  <si>
    <t>OEM</t>
  </si>
  <si>
    <t>JLR</t>
  </si>
  <si>
    <t>平台</t>
  </si>
  <si>
    <t>EMA</t>
  </si>
  <si>
    <t>项目类型</t>
  </si>
  <si>
    <t>新增项目</t>
  </si>
  <si>
    <t>项目名称/编号</t>
  </si>
  <si>
    <t>L460-L</t>
  </si>
  <si>
    <t>导出范围</t>
  </si>
  <si>
    <t>DV + PV</t>
  </si>
  <si>
    <t>是否完全复用</t>
  </si>
  <si>
    <t>是</t>
  </si>
  <si>
    <t>环境模板</t>
  </si>
  <si>
    <t>完全复用</t>
  </si>
  <si>
    <t>驾驶方向</t>
  </si>
  <si>
    <t>LHD</t>
  </si>
  <si>
    <t>DV 组别顺序</t>
  </si>
  <si>
    <t>Group A -&gt; Group B -&gt; Group C -&gt; Group D-1 -&gt; Group D-2 -&gt; Group D-3 -&gt; Group D-4 -&gt; Group D-5 -&gt; Group D-6 -&gt; Group D-7 -&gt; Group E-1 -&gt; Group E-2</t>
  </si>
  <si>
    <t>费用汇总</t>
  </si>
  <si>
    <t>Group A：DV / Group A Sequence Tests</t>
  </si>
  <si>
    <t>DV</t>
  </si>
  <si>
    <t>DV内部费用</t>
  </si>
  <si>
    <t>DV委外费用</t>
  </si>
  <si>
    <t>PV</t>
  </si>
  <si>
    <t>PV内部费用</t>
  </si>
  <si>
    <t>PV委外费用</t>
  </si>
  <si>
    <t>Phase</t>
  </si>
  <si>
    <t>样品范围</t>
  </si>
  <si>
    <t>计费基数</t>
  </si>
  <si>
    <t>测试时间</t>
  </si>
  <si>
    <t>计费方式</t>
  </si>
  <si>
    <t>费用归属</t>
  </si>
  <si>
    <t>内部费用</t>
  </si>
  <si>
    <t>委外费用</t>
  </si>
  <si>
    <t>费用合计</t>
  </si>
  <si>
    <t>费用计算公式</t>
  </si>
  <si>
    <t>备注</t>
  </si>
  <si>
    <t>1-14</t>
  </si>
  <si>
    <t>14 个样品</t>
  </si>
  <si>
    <t>168 h</t>
  </si>
  <si>
    <t>按样品数量</t>
  </si>
  <si>
    <t>1台×51点位(¥134) + 13台×19点位(¥50) = 134 + 650 = 784</t>
  </si>
  <si>
    <t>Optical Test: 1 台按 51 点位，其余按 19 点位计费</t>
  </si>
  <si>
    <t>72 h</t>
  </si>
  <si>
    <t>14个 × 400/个 = 5,600</t>
  </si>
  <si>
    <t>1-12</t>
  </si>
  <si>
    <t>24 h</t>
  </si>
  <si>
    <t>按小时</t>
  </si>
  <si>
    <t>24h × 30/h = 720</t>
  </si>
  <si>
    <t>96 h</t>
  </si>
  <si>
    <t>96h × 30/h = 2,880</t>
  </si>
  <si>
    <t>1 批</t>
  </si>
  <si>
    <t>48 h</t>
  </si>
  <si>
    <t>按批次</t>
  </si>
  <si>
    <t>1批 × 5,000/批 = 5,000</t>
  </si>
  <si>
    <t>K6 Powered Thermal Cycle</t>
  </si>
  <si>
    <t>240 h</t>
  </si>
  <si>
    <t>240h × 30/h = 7,200</t>
  </si>
  <si>
    <t>305 h</t>
  </si>
  <si>
    <t>305h × 100/h = 30,500</t>
  </si>
  <si>
    <t>12 个样品</t>
  </si>
  <si>
    <t>12个 × 400/个 = 4,800</t>
  </si>
  <si>
    <t>N/A</t>
  </si>
  <si>
    <t>48h × 500/h = 24,000</t>
  </si>
  <si>
    <t>K16.1 Mechanical Shock-Package Drop</t>
  </si>
  <si>
    <t>14个 × 300/个 = 4,200</t>
  </si>
  <si>
    <t>K16.4 Mechanical Shock-Low</t>
  </si>
  <si>
    <t>12个 × 300/个 = 3,600</t>
  </si>
  <si>
    <t>Computer fee</t>
  </si>
  <si>
    <t>12个 × 3,333/个 = 39,996</t>
  </si>
  <si>
    <t>K17 Audible Noise 按 EMA 条件单价 × 样机数计算</t>
  </si>
  <si>
    <t>Report fee</t>
  </si>
  <si>
    <t>K9 Humidity Temperature Cycle</t>
  </si>
  <si>
    <t>264 h</t>
  </si>
  <si>
    <t>264h × 30/h = 7,920</t>
  </si>
  <si>
    <t>测试费用合计</t>
  </si>
  <si>
    <t>K10 Water/Fluid Ingress Tests</t>
  </si>
  <si>
    <t>12个 × 500/个 = 6,000</t>
  </si>
  <si>
    <t>4 批</t>
  </si>
  <si>
    <t>120 h</t>
  </si>
  <si>
    <t>4批 × 1,500/批 = 6,000</t>
  </si>
  <si>
    <t>1台×51点位(¥134) + 11台×19点位(¥50) = 134 + 550 = 684</t>
  </si>
  <si>
    <t>L6-photo&amp;xray 固定单价 400/个样品；不按实验室报价中值计算</t>
  </si>
  <si>
    <t>Group A Total Cost</t>
  </si>
  <si>
    <t>Group B：DV / Group B Sequence Tests</t>
  </si>
  <si>
    <t>15-26</t>
  </si>
  <si>
    <t>11 个样品</t>
  </si>
  <si>
    <t>11个 × 650/个 = 7,150</t>
  </si>
  <si>
    <t>K22 Chemical Resistance 按 EMA 条件 2 的 11 种试剂；试剂数量 × 各实验室试剂单价计算</t>
  </si>
  <si>
    <t>12个 × 500/个 = 19,000</t>
  </si>
  <si>
    <t>K18.1-K18.4 四项 × 12 台样机 × 单价 + K18.1 微应力费用</t>
  </si>
  <si>
    <t>Group B Total Cost</t>
  </si>
  <si>
    <t>Group C：DV / Group C Sequence Tests</t>
  </si>
  <si>
    <t>27-32</t>
  </si>
  <si>
    <t>6 个样品</t>
  </si>
  <si>
    <t>1台×51点位(¥134) + 5台×19点位(¥50) = 134 + 250 = 384</t>
  </si>
  <si>
    <t>6个 × 400/个 = 2,400</t>
  </si>
  <si>
    <t>24h × 500/h = 12,000</t>
  </si>
  <si>
    <t>2 批</t>
  </si>
  <si>
    <t>2批 × 1,500/批 = 3,000</t>
  </si>
  <si>
    <t>500 h</t>
  </si>
  <si>
    <t>K26 Mechanical Wear-Out 按 334h 常温 + 83h 低温 + 83h 高温分别计费后取实验室总价中值</t>
  </si>
  <si>
    <t>Group C Total Cost</t>
  </si>
  <si>
    <t>Group D-1：DV / Group D Parallel Tests / D-1 Corrosive Gases</t>
  </si>
  <si>
    <t>33-38</t>
  </si>
  <si>
    <t>1000 h</t>
  </si>
  <si>
    <t>1000h × 120/h = 120,000</t>
  </si>
  <si>
    <t>K21 Corrosive Gases 按 EMA 条件小时单价计算，SGS 单价为 100/h</t>
  </si>
  <si>
    <t>Group D-1 Total Cost</t>
  </si>
  <si>
    <t>Group D-2：DV / Group D Parallel Tests / D-2 Solar Radiation</t>
  </si>
  <si>
    <t>39-44</t>
  </si>
  <si>
    <t>24h × 145/h = 3,480</t>
  </si>
  <si>
    <t>Group D-2 Total Cost</t>
  </si>
  <si>
    <t>Group D-3：DV / Group D Parallel Tests / D-3 PCBA</t>
  </si>
  <si>
    <t>45-52</t>
  </si>
  <si>
    <t>8 个样品</t>
  </si>
  <si>
    <t>8个 × 400/个 = 3,200</t>
  </si>
  <si>
    <t>1017 h</t>
  </si>
  <si>
    <t>1017h × 50/h = 50,850</t>
  </si>
  <si>
    <t>33 个点位</t>
  </si>
  <si>
    <t>480 h</t>
  </si>
  <si>
    <t>按点位</t>
  </si>
  <si>
    <t>33点位 × 650/点位 = 21,450</t>
  </si>
  <si>
    <t>L6-SEM&amp;SECTION 委外组合报价：SEM &amp; Sectioning 按 33 个测试点位取实验室总价中值</t>
  </si>
  <si>
    <t>Group D-3 Total Cost</t>
  </si>
  <si>
    <t>Group D-4：DV / Group D Parallel Tests / D-4 Dewing Test</t>
  </si>
  <si>
    <t>53-58</t>
  </si>
  <si>
    <t>Group D-4 Total Cost</t>
  </si>
  <si>
    <t>Group D-5：DV / Group D Parallel Tests / D-5 Life Test-1</t>
  </si>
  <si>
    <t>59-64</t>
  </si>
  <si>
    <t>1000h × 23/h = 23,000</t>
  </si>
  <si>
    <t>Group D-5 Total Cost</t>
  </si>
  <si>
    <t>Group D-6：DV / Group D Parallel Tests / D-6 Life Test-2-1</t>
  </si>
  <si>
    <t>65-70</t>
  </si>
  <si>
    <t>Group D-6 Total Cost</t>
  </si>
  <si>
    <t>Group D-7：DV / Group D Parallel Tests / D-7 Life Test-2-2</t>
  </si>
  <si>
    <t>71-76</t>
  </si>
  <si>
    <t>1100 h</t>
  </si>
  <si>
    <t>1100h × 23/h = 25,300</t>
  </si>
  <si>
    <t>Group D-7 Total Cost</t>
  </si>
  <si>
    <t>Group E-1：DV / Group F Other Tests / Restricted Substance</t>
  </si>
  <si>
    <t>1 个样品</t>
  </si>
  <si>
    <t>960 h</t>
  </si>
  <si>
    <t>固定总价</t>
  </si>
  <si>
    <t>固定总价 20000 (含评估费 1500)</t>
  </si>
  <si>
    <t>禁限用物质总价 20000，其中 1500 为评估费</t>
  </si>
  <si>
    <t>Group E-1 Total Cost</t>
  </si>
  <si>
    <t>Group E-2：DV / Group F Other Tests / Noise test</t>
  </si>
  <si>
    <t>84-108</t>
  </si>
  <si>
    <t>25 个样品</t>
  </si>
  <si>
    <t>25台样机 × 1700/台 = 42,500</t>
  </si>
  <si>
    <t>操作噪声暂按 SGS 合作价 1700/台样机计算</t>
  </si>
  <si>
    <t>Group E-2 Total Cost</t>
  </si>
  <si>
    <t>PV 组别顺序</t>
  </si>
  <si>
    <t>Group A -&gt; Group B -&gt; Group C -&gt; Group D-1 -&gt; Group D-2 -&gt; Group D-3 -&gt; Group D-4 -&gt; Group D-5 -&gt; Group D-6 -&gt; Group D-7 -&gt; Group D-8 -&gt; Group E-1 -&gt; Group E-2</t>
  </si>
  <si>
    <t>Group A：PV / Group A Sequence Tests</t>
  </si>
  <si>
    <t>Group B：PV / Group B Sequence Tests</t>
  </si>
  <si>
    <t>Group C：PV / Group C Sequence Tests</t>
  </si>
  <si>
    <t>Group D-1：PV / Group D Parallel Tests / D-1 Corrosive Gases</t>
  </si>
  <si>
    <t>Group D-2：PV / Group D Parallel Tests / D-2 Solar Radiation</t>
  </si>
  <si>
    <t>Group D-3：PV / Group D Parallel Tests / D-3 PCBA</t>
  </si>
  <si>
    <t>Group D-4：PV / Group D Parallel Tests / D-4 Dewing Test</t>
  </si>
  <si>
    <t>Group D-5：PV / Group D Parallel Tests / D-5 Life Test-1</t>
  </si>
  <si>
    <t>Group D-6：PV / Group D Parallel Tests / D-6 Life Test-2-1</t>
  </si>
  <si>
    <t>Group D-7：PV / Group D Parallel Tests / D-7 Life Test-2-2</t>
  </si>
  <si>
    <t>Group D-8：PV / Group D Parallel Tests / D-8</t>
  </si>
  <si>
    <t>77-91</t>
  </si>
  <si>
    <t>15 个样品</t>
  </si>
  <si>
    <t>15台×19点位(¥50) = 750</t>
  </si>
  <si>
    <t>Optical Test: 全部按 19 点位计费</t>
  </si>
  <si>
    <t>8 h</t>
  </si>
  <si>
    <t>8h × 800/h = 6,400</t>
  </si>
  <si>
    <t>15个 × 400/个 = 6,000</t>
  </si>
  <si>
    <t>Group D-8 Total Cost</t>
  </si>
  <si>
    <t>99-123</t>
  </si>
  <si>
    <t>SGS 实验室费用明细</t>
  </si>
  <si>
    <t>Group A -&gt; Group B -&gt; Group C -&gt; Group D-1 -&gt; Group D-2 -&gt; Group D-3 -&gt; Group D-4 -&gt; Group D-5 -&gt; Group D-6 -&gt; Group D-7 -&gt; Group E-2</t>
  </si>
  <si>
    <t>Group</t>
  </si>
  <si>
    <t>单价</t>
  </si>
  <si>
    <t>费用</t>
  </si>
  <si>
    <t>400/个</t>
  </si>
  <si>
    <t>30/h</t>
  </si>
  <si>
    <t>3360/批</t>
  </si>
  <si>
    <t>1批 × 3360/批 = 3,360</t>
  </si>
  <si>
    <t>100/h</t>
  </si>
  <si>
    <t>500/h</t>
  </si>
  <si>
    <t>300/个</t>
  </si>
  <si>
    <t>333/个</t>
  </si>
  <si>
    <t>12个 × 333/个 = 3,996</t>
  </si>
  <si>
    <t>4000/个</t>
  </si>
  <si>
    <t>12个 × 4000/个 = 48,000</t>
  </si>
  <si>
    <t>500/个</t>
  </si>
  <si>
    <t>1500/批</t>
  </si>
  <si>
    <t>4批 × 1500/批 = 6,000</t>
  </si>
  <si>
    <t>650/个</t>
  </si>
  <si>
    <t>1583.33/个</t>
  </si>
  <si>
    <t>12个 × 1583.33/个 = 19,000</t>
  </si>
  <si>
    <t>2批 × 1500/批 = 3,000</t>
  </si>
  <si>
    <t>14.32/h</t>
  </si>
  <si>
    <t>500h × 14.32/h = 7,158</t>
  </si>
  <si>
    <t>1000h × 100/h = 100,000</t>
  </si>
  <si>
    <t>145/h</t>
  </si>
  <si>
    <t>Group D Parallel Tests / D-3 PCBA</t>
  </si>
  <si>
    <t>40/h</t>
  </si>
  <si>
    <t>1017h × 40/h = 40,680</t>
  </si>
  <si>
    <t>650/点位</t>
  </si>
  <si>
    <t>Group D Parallel Tests / D-4 Dewing Test</t>
  </si>
  <si>
    <t>4100/批</t>
  </si>
  <si>
    <t>1批 × 4100/批 = 4,100</t>
  </si>
  <si>
    <t>23/h</t>
  </si>
  <si>
    <t>Group F Other Tests / Noise test</t>
  </si>
  <si>
    <t>1700/台</t>
  </si>
  <si>
    <t>Group A -&gt; Group B -&gt; Group C -&gt; Group D-1 -&gt; Group D-2 -&gt; Group D-3 -&gt; Group D-4 -&gt; Group D-5 -&gt; Group D-6 -&gt; Group D-7 -&gt; Group D-8 -&gt; Group E-2</t>
  </si>
  <si>
    <t>Group D Parallel Tests / D-8</t>
  </si>
  <si>
    <t>800/h</t>
  </si>
  <si>
    <t>华测 实验室费用明细</t>
  </si>
  <si>
    <t>700/个</t>
  </si>
  <si>
    <t>14个 × 700/个 = 9,800</t>
  </si>
  <si>
    <t>25/h</t>
  </si>
  <si>
    <t>24h × 25/h = 600</t>
  </si>
  <si>
    <t>96h × 25/h = 2,400</t>
  </si>
  <si>
    <t>5000/批</t>
  </si>
  <si>
    <t>1批 × 5000/批 = 5,000</t>
  </si>
  <si>
    <t>240h × 25/h = 6,000</t>
  </si>
  <si>
    <t>70/h</t>
  </si>
  <si>
    <t>305h × 70/h = 21,350</t>
  </si>
  <si>
    <t>12个 × 700/个 = 8,400</t>
  </si>
  <si>
    <t>400/h</t>
  </si>
  <si>
    <t>48h × 400/h = 19,200</t>
  </si>
  <si>
    <t>120/个</t>
  </si>
  <si>
    <t>14个 × 120/个 = 1,680</t>
  </si>
  <si>
    <t>167/个</t>
  </si>
  <si>
    <t>12个 × 167/个 = 2,004</t>
  </si>
  <si>
    <t>3333/个</t>
  </si>
  <si>
    <t>12个 × 3333/个 = 39,996</t>
  </si>
  <si>
    <t>264h × 25/h = 6,600</t>
  </si>
  <si>
    <t>11个 × 700/个 = 7,700</t>
  </si>
  <si>
    <t>2291.67/个</t>
  </si>
  <si>
    <t>12个 × 2291.67/个 = 27,500</t>
  </si>
  <si>
    <t>6个 × 700/个 = 4,200</t>
  </si>
  <si>
    <t>24h × 400/h = 9,600</t>
  </si>
  <si>
    <t>12.98/h</t>
  </si>
  <si>
    <t>500h × 12.98/h = 6,488</t>
  </si>
  <si>
    <t>120/h</t>
  </si>
  <si>
    <t>8个 × 700/个 = 5,600</t>
  </si>
  <si>
    <t>50/h</t>
  </si>
  <si>
    <t>500/点位</t>
  </si>
  <si>
    <t>33点位 × 500/点位 = 16,500</t>
  </si>
  <si>
    <t>15/h</t>
  </si>
  <si>
    <t>1000h × 15/h = 15,000</t>
  </si>
  <si>
    <t>20/h</t>
  </si>
  <si>
    <t>1000h × 20/h = 20,000</t>
  </si>
  <si>
    <t>1100h × 20/h = 22,000</t>
  </si>
  <si>
    <t>组合总价（见费用规则）</t>
  </si>
  <si>
    <t>600/h</t>
  </si>
  <si>
    <t>8h × 600/h = 4,800</t>
  </si>
  <si>
    <t>苏勃 实验室费用明细</t>
  </si>
  <si>
    <t>24h × 40/h = 960</t>
  </si>
  <si>
    <t>96h × 40/h = 3,840</t>
  </si>
  <si>
    <t>240h × 40/h = 9,600</t>
  </si>
  <si>
    <t>48h × 600/h = 28,800</t>
  </si>
  <si>
    <t>1000/个</t>
  </si>
  <si>
    <t>12个 × 1000/个 = 12,000</t>
  </si>
  <si>
    <t>264h × 40/h = 10,560</t>
  </si>
  <si>
    <t>1800/批</t>
  </si>
  <si>
    <t>4批 × 1800/批 = 7,200</t>
  </si>
  <si>
    <t>11个 × 300/个 = 3,300</t>
  </si>
  <si>
    <t>791.67/个</t>
  </si>
  <si>
    <t>12个 × 791.67/个 = 9,500</t>
  </si>
  <si>
    <t>24h × 600/h = 14,400</t>
  </si>
  <si>
    <t>2批 × 1800/批 = 3,600</t>
  </si>
  <si>
    <t>23.32/h</t>
  </si>
  <si>
    <t>500h × 23.32/h = 11,660</t>
  </si>
  <si>
    <t>150/h</t>
  </si>
  <si>
    <t>1000h × 150/h = 150,000</t>
  </si>
  <si>
    <t>80/h</t>
  </si>
  <si>
    <t>24h × 80/h = 1,920</t>
  </si>
  <si>
    <t>55/h</t>
  </si>
  <si>
    <t>1017h × 55/h = 55,935</t>
  </si>
  <si>
    <t>700/点位</t>
  </si>
  <si>
    <t>33点位 × 700/点位 = 23,100</t>
  </si>
  <si>
    <t>1000h × 30/h = 30,000</t>
  </si>
  <si>
    <t>1100h × 30/h = 33,000</t>
  </si>
  <si>
    <t>1500/h</t>
  </si>
  <si>
    <t>8h × 1500/h = 12,000</t>
  </si>
  <si>
    <t>实验室报价 vs 预估</t>
  </si>
  <si>
    <t>整包报价 vs 预估费用 | 按预估费用居中排序</t>
  </si>
  <si>
    <t>测试项目一致性检查</t>
  </si>
  <si>
    <t>图表阶段</t>
  </si>
  <si>
    <t>图表柱项</t>
  </si>
  <si>
    <t>苏勃</t>
  </si>
  <si>
    <t>范围</t>
  </si>
  <si>
    <t>预估费用</t>
  </si>
  <si>
    <t>SGS</t>
  </si>
  <si>
    <t>华测</t>
  </si>
  <si>
    <t>检查项</t>
  </si>
  <si>
    <t>结果</t>
  </si>
  <si>
    <t>说明</t>
  </si>
  <si>
    <t>苏勃
DV</t>
  </si>
  <si>
    <t>三家实验室项目清单</t>
  </si>
  <si>
    <t>一致</t>
  </si>
  <si>
    <t>SGS / 华测 / 苏勃在同一 Phase + Group 下的测试编号一致</t>
  </si>
  <si>
    <t>预估费用
DV</t>
  </si>
  <si>
    <t>预估费用口径</t>
  </si>
  <si>
    <t>已剔除</t>
  </si>
  <si>
    <t>预估费用已扣除内部费用，并剔除特殊测试项目费用</t>
  </si>
  <si>
    <t>SGS
DV</t>
  </si>
  <si>
    <t>DV+PV</t>
  </si>
  <si>
    <t>图表口径</t>
  </si>
  <si>
    <t>按预估居中排序</t>
  </si>
  <si>
    <t>每组中预估费用固定在中间；低于预估的报价放左侧，高于预估的报价按金额从低到高放右侧</t>
  </si>
  <si>
    <t>华测
DV</t>
  </si>
  <si>
    <t>预估费用
PV</t>
  </si>
  <si>
    <t>苏勃
PV</t>
  </si>
  <si>
    <t>Phase: DV</t>
  </si>
  <si>
    <t>SGS
PV</t>
  </si>
  <si>
    <t>最低实验室</t>
  </si>
  <si>
    <t>最高实验室</t>
  </si>
  <si>
    <t>差额</t>
  </si>
  <si>
    <t>SGS-预估</t>
  </si>
  <si>
    <t>华测-预估</t>
  </si>
  <si>
    <t>苏勃-预估</t>
  </si>
  <si>
    <t>最低报价-预估</t>
  </si>
  <si>
    <t>华测
PV</t>
  </si>
  <si>
    <t>苏勃
DV+PV</t>
  </si>
  <si>
    <t>预估费用
DV+PV</t>
  </si>
  <si>
    <t>SGS
DV+PV</t>
  </si>
  <si>
    <t>华测
DV+PV</t>
  </si>
  <si>
    <t>Phase: PV</t>
  </si>
  <si>
    <t>Group E-1 -&gt; Group E-2</t>
  </si>
  <si>
    <t>当前规则费用</t>
  </si>
  <si>
    <t>实验室/参考口径</t>
  </si>
  <si>
    <t>Group F Other Tests / Restricted Substance</t>
  </si>
  <si>
    <t>固定规则</t>
  </si>
  <si>
    <t>SGS 参考价</t>
  </si>
  <si>
    <t>特殊项目费用汇总</t>
  </si>
  <si>
    <t>按实验室/参考口径汇总；费用来自本页“当前规则费用”列，电脑及报告费用不计入特殊项目费用。</t>
  </si>
  <si>
    <t>DV 需要测试的项目</t>
  </si>
  <si>
    <t>DV 费用</t>
  </si>
  <si>
    <t>PV 需要测试的项目</t>
  </si>
  <si>
    <t>PV 费用</t>
  </si>
  <si>
    <t>合计费用</t>
  </si>
  <si>
    <t>瑞旭</t>
  </si>
  <si>
    <t>Group F Other Tests / Noise test - E-2 Operating Noise &amp; Transient Noise</t>
  </si>
  <si>
    <t>DV合计</t>
  </si>
  <si>
    <t>PV合计</t>
  </si>
  <si>
    <t>实验室</t>
  </si>
  <si>
    <t>Excel行号</t>
  </si>
  <si>
    <t>当前费用</t>
  </si>
  <si>
    <t>规则费用</t>
  </si>
  <si>
    <t>差异</t>
  </si>
  <si>
    <t>校验结果</t>
  </si>
  <si>
    <t>规则/公式说明</t>
  </si>
  <si>
    <t>内部</t>
  </si>
  <si>
    <t>预估规则</t>
  </si>
  <si>
    <t>83</t>
  </si>
  <si>
    <t>98</t>
  </si>
  <si>
    <t>附加费用</t>
  </si>
  <si>
    <t>费用汇总附加费用</t>
  </si>
  <si>
    <t>Computer Fee</t>
  </si>
  <si>
    <t>48 月/台系数</t>
  </si>
  <si>
    <t>SGS 250/月/台 × 48 = 12,000</t>
  </si>
  <si>
    <t>Report Fee</t>
  </si>
  <si>
    <t>12 份报告</t>
  </si>
  <si>
    <t>苏勃 150/份 × 12 份 = 1,800</t>
  </si>
  <si>
    <t>13 份报告</t>
  </si>
  <si>
    <t>苏勃 150/份 × 13 份 = 1,950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</si>
</sst>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58">
    <font>
      <sz val="12"/>
      <name val="宋体"/>
      <charset val="134"/>
    </font>
    <font>
      <b/>
      <sz val="10"/>
      <color rgb="FFFFFFFF"/>
      <name val="黑体"/>
      <charset val="134"/>
    </font>
    <font>
      <sz val="10"/>
      <name val="黑体"/>
      <charset val="134"/>
    </font>
    <font>
      <b/>
      <sz val="10"/>
      <color rgb="FF1E3A8A"/>
      <name val="黑体"/>
      <charset val="134"/>
    </font>
    <font>
      <sz val="10"/>
      <color rgb="FF111827"/>
      <name val="黑体"/>
      <charset val="134"/>
    </font>
    <font>
      <b/>
      <sz val="10"/>
      <color rgb="FF3730A3"/>
      <name val="黑体"/>
      <charset val="134"/>
    </font>
    <font>
      <b/>
      <sz val="14"/>
      <color rgb="FFFFFFFF"/>
      <name val="Aptos"/>
      <charset val="134"/>
    </font>
    <font>
      <sz val="10"/>
      <color rgb="FF1F2937"/>
      <name val="Aptos"/>
      <charset val="134"/>
    </font>
    <font>
      <b/>
      <sz val="10"/>
      <color rgb="FFFFFFFF"/>
      <name val="Aptos"/>
      <charset val="134"/>
    </font>
    <font>
      <b/>
      <sz val="12"/>
      <color rgb="FFFFFFFF"/>
      <name val="宋体"/>
      <charset val="134"/>
    </font>
    <font>
      <b/>
      <sz val="10"/>
      <color rgb="FF12355B"/>
      <name val="Aptos"/>
      <charset val="134"/>
    </font>
    <font>
      <b/>
      <sz val="10"/>
      <color rgb="FF3730A3"/>
      <name val="Aptos"/>
      <charset val="134"/>
    </font>
    <font>
      <sz val="12"/>
      <color rgb="FF1F1F1F"/>
      <name val="宋体"/>
      <charset val="134"/>
    </font>
    <font>
      <i/>
      <sz val="10"/>
      <color rgb="FF9A3412"/>
      <name val="Aptos"/>
      <charset val="134"/>
    </font>
    <font>
      <b/>
      <sz val="12"/>
      <color rgb="FFFFFFFF"/>
      <name val="Aptos"/>
      <charset val="134"/>
    </font>
    <font>
      <b/>
      <sz val="10"/>
      <color rgb="FF375623"/>
      <name val="Aptos"/>
      <charset val="134"/>
    </font>
    <font>
      <sz val="10"/>
      <color rgb="FF9C0006"/>
      <name val="Aptos"/>
      <charset val="134"/>
    </font>
    <font>
      <b/>
      <sz val="10"/>
      <color rgb="FF1F2937"/>
      <name val="Aptos"/>
      <charset val="134"/>
    </font>
    <font>
      <b/>
      <sz val="12"/>
      <color rgb="FF38761D"/>
      <name val="宋体"/>
      <charset val="134"/>
    </font>
    <font>
      <b/>
      <sz val="16"/>
      <color rgb="FFFFFFFF"/>
      <name val="Arial"/>
      <charset val="134"/>
    </font>
    <font>
      <b/>
      <sz val="12"/>
      <color rgb="FFFFFFFF"/>
      <name val="黑体"/>
      <charset val="134"/>
    </font>
    <font>
      <b/>
      <sz val="10"/>
      <color rgb="FF1E3A8A"/>
      <name val="Arial"/>
      <charset val="134"/>
    </font>
    <font>
      <b/>
      <sz val="10"/>
      <color rgb="FF111827"/>
      <name val="Arial"/>
      <charset val="134"/>
    </font>
    <font>
      <sz val="10"/>
      <color rgb="FF111827"/>
      <name val="Arial"/>
      <charset val="134"/>
    </font>
    <font>
      <b/>
      <sz val="10"/>
      <name val="黑体"/>
      <charset val="134"/>
    </font>
    <font>
      <b/>
      <sz val="10"/>
      <color rgb="FF3730A3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color rgb="FFFFFFFF"/>
      <name val="宋体-简"/>
      <charset val="134"/>
    </font>
    <font>
      <sz val="12"/>
      <name val="黑体"/>
      <charset val="134"/>
    </font>
    <font>
      <b/>
      <sz val="12"/>
      <name val="黑体"/>
      <charset val="134"/>
    </font>
    <font>
      <b/>
      <sz val="10"/>
      <color rgb="FFFF0000"/>
      <name val="黑体"/>
      <charset val="134"/>
    </font>
    <font>
      <b/>
      <sz val="15"/>
      <color rgb="FFFFFFFF"/>
      <name val="黑体"/>
      <charset val="134"/>
    </font>
    <font>
      <sz val="10"/>
      <color rgb="FF375623"/>
      <name val="黑体"/>
      <charset val="134"/>
    </font>
    <font>
      <b/>
      <sz val="10"/>
      <color rgb="FF17365D"/>
      <name val="黑体"/>
      <charset val="134"/>
    </font>
    <font>
      <sz val="10"/>
      <color rgb="FF17365D"/>
      <name val="黑体"/>
      <charset val="134"/>
    </font>
    <font>
      <b/>
      <sz val="12"/>
      <color theme="0"/>
      <name val="黑体"/>
      <charset val="134"/>
    </font>
    <font>
      <b/>
      <sz val="10"/>
      <color theme="0"/>
      <name val="黑体"/>
      <charset val="134"/>
    </font>
    <font>
      <sz val="10"/>
      <color rgb="FFFF0000"/>
      <name val="黑体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7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2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5F2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DADDE1"/>
        <bgColor indexed="64"/>
      </patternFill>
    </fill>
    <fill>
      <patternFill patternType="solid">
        <fgColor rgb="FFFCE5D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9" fillId="0" borderId="0">
      <alignment vertical="center"/>
    </xf>
    <xf numFmtId="44" fontId="39" fillId="0" borderId="0">
      <alignment vertical="center"/>
    </xf>
    <xf numFmtId="9" fontId="39" fillId="0" borderId="0">
      <alignment vertical="center"/>
    </xf>
    <xf numFmtId="41" fontId="39" fillId="0" borderId="0">
      <alignment vertical="center"/>
    </xf>
    <xf numFmtId="42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9" fillId="44" borderId="39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0" fontId="45" fillId="0" borderId="40">
      <alignment vertical="center"/>
    </xf>
    <xf numFmtId="0" fontId="46" fillId="0" borderId="40">
      <alignment vertical="center"/>
    </xf>
    <xf numFmtId="0" fontId="47" fillId="0" borderId="41">
      <alignment vertical="center"/>
    </xf>
    <xf numFmtId="0" fontId="47" fillId="0" borderId="0">
      <alignment vertical="center"/>
    </xf>
    <xf numFmtId="0" fontId="48" fillId="45" borderId="42">
      <alignment vertical="center"/>
    </xf>
    <xf numFmtId="0" fontId="49" fillId="46" borderId="43">
      <alignment vertical="center"/>
    </xf>
    <xf numFmtId="0" fontId="50" fillId="46" borderId="42">
      <alignment vertical="center"/>
    </xf>
    <xf numFmtId="0" fontId="51" fillId="47" borderId="44">
      <alignment vertical="center"/>
    </xf>
    <xf numFmtId="0" fontId="52" fillId="0" borderId="45">
      <alignment vertical="center"/>
    </xf>
    <xf numFmtId="0" fontId="53" fillId="0" borderId="46">
      <alignment vertical="center"/>
    </xf>
    <xf numFmtId="0" fontId="54" fillId="48" borderId="0">
      <alignment vertical="center"/>
    </xf>
    <xf numFmtId="0" fontId="55" fillId="49" borderId="0">
      <alignment vertical="center"/>
    </xf>
    <xf numFmtId="0" fontId="56" fillId="50" borderId="0">
      <alignment vertical="center"/>
    </xf>
    <xf numFmtId="0" fontId="57" fillId="51" borderId="0">
      <alignment vertical="center"/>
    </xf>
    <xf numFmtId="0" fontId="39" fillId="52" borderId="0">
      <alignment vertical="center"/>
    </xf>
    <xf numFmtId="0" fontId="39" fillId="53" borderId="0">
      <alignment vertical="center"/>
    </xf>
    <xf numFmtId="0" fontId="57" fillId="54" borderId="0">
      <alignment vertical="center"/>
    </xf>
    <xf numFmtId="0" fontId="57" fillId="55" borderId="0">
      <alignment vertical="center"/>
    </xf>
    <xf numFmtId="0" fontId="39" fillId="56" borderId="0">
      <alignment vertical="center"/>
    </xf>
    <xf numFmtId="0" fontId="39" fillId="57" borderId="0">
      <alignment vertical="center"/>
    </xf>
    <xf numFmtId="0" fontId="57" fillId="58" borderId="0">
      <alignment vertical="center"/>
    </xf>
    <xf numFmtId="0" fontId="57" fillId="59" borderId="0">
      <alignment vertical="center"/>
    </xf>
    <xf numFmtId="0" fontId="39" fillId="60" borderId="0">
      <alignment vertical="center"/>
    </xf>
    <xf numFmtId="0" fontId="39" fillId="61" borderId="0">
      <alignment vertical="center"/>
    </xf>
    <xf numFmtId="0" fontId="57" fillId="62" borderId="0">
      <alignment vertical="center"/>
    </xf>
    <xf numFmtId="0" fontId="57" fillId="27" borderId="0">
      <alignment vertical="center"/>
    </xf>
    <xf numFmtId="0" fontId="39" fillId="63" borderId="0">
      <alignment vertical="center"/>
    </xf>
    <xf numFmtId="0" fontId="39" fillId="64" borderId="0">
      <alignment vertical="center"/>
    </xf>
    <xf numFmtId="0" fontId="57" fillId="65" borderId="0">
      <alignment vertical="center"/>
    </xf>
    <xf numFmtId="0" fontId="57" fillId="66" borderId="0">
      <alignment vertical="center"/>
    </xf>
    <xf numFmtId="0" fontId="39" fillId="67" borderId="0">
      <alignment vertical="center"/>
    </xf>
    <xf numFmtId="0" fontId="39" fillId="68" borderId="0">
      <alignment vertical="center"/>
    </xf>
    <xf numFmtId="0" fontId="57" fillId="69" borderId="0">
      <alignment vertical="center"/>
    </xf>
    <xf numFmtId="0" fontId="57" fillId="70" borderId="0">
      <alignment vertical="center"/>
    </xf>
    <xf numFmtId="0" fontId="39" fillId="71" borderId="0">
      <alignment vertical="center"/>
    </xf>
    <xf numFmtId="0" fontId="39" fillId="72" borderId="0">
      <alignment vertical="center"/>
    </xf>
    <xf numFmtId="0" fontId="57" fillId="73" borderId="0">
      <alignment vertical="center"/>
    </xf>
  </cellStyleXfs>
  <cellXfs count="329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1" fillId="8" borderId="1" xfId="0" applyFont="1" applyFill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8" fillId="10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3" fontId="7" fillId="5" borderId="0" xfId="0" applyNumberFormat="1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left" vertical="center" wrapText="1"/>
    </xf>
    <xf numFmtId="0" fontId="12" fillId="14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4" fillId="15" borderId="0" xfId="0" applyFont="1" applyFill="1" applyAlignment="1">
      <alignment horizontal="left" vertical="center" wrapText="1"/>
    </xf>
    <xf numFmtId="0" fontId="7" fillId="12" borderId="0" xfId="0" applyFont="1" applyFill="1" applyAlignment="1">
      <alignment horizontal="left" vertical="center" wrapText="1"/>
    </xf>
    <xf numFmtId="3" fontId="15" fillId="16" borderId="0" xfId="0" applyNumberFormat="1" applyFont="1" applyFill="1" applyAlignment="1">
      <alignment horizontal="center" vertical="center" wrapText="1"/>
    </xf>
    <xf numFmtId="3" fontId="16" fillId="17" borderId="0" xfId="0" applyNumberFormat="1" applyFont="1" applyFill="1" applyAlignment="1">
      <alignment horizontal="center" vertical="center" wrapText="1"/>
    </xf>
    <xf numFmtId="3" fontId="17" fillId="18" borderId="0" xfId="0" applyNumberFormat="1" applyFont="1" applyFill="1" applyAlignment="1">
      <alignment horizontal="center" vertical="center" wrapText="1"/>
    </xf>
    <xf numFmtId="3" fontId="17" fillId="19" borderId="0" xfId="0" applyNumberFormat="1" applyFont="1" applyFill="1" applyAlignment="1">
      <alignment horizontal="center" vertical="center" wrapText="1"/>
    </xf>
    <xf numFmtId="3" fontId="7" fillId="12" borderId="0" xfId="0" applyNumberFormat="1" applyFont="1" applyFill="1" applyAlignment="1">
      <alignment horizontal="center" vertical="center" wrapText="1"/>
    </xf>
    <xf numFmtId="0" fontId="7" fillId="20" borderId="0" xfId="0" applyFont="1" applyFill="1" applyAlignment="1">
      <alignment horizontal="center" vertical="center" wrapText="1"/>
    </xf>
    <xf numFmtId="0" fontId="7" fillId="20" borderId="0" xfId="0" applyFont="1" applyFill="1" applyAlignment="1">
      <alignment horizontal="left" vertical="center" wrapText="1"/>
    </xf>
    <xf numFmtId="3" fontId="7" fillId="20" borderId="0" xfId="0" applyNumberFormat="1" applyFont="1" applyFill="1" applyAlignment="1">
      <alignment horizontal="center" vertical="center" wrapText="1"/>
    </xf>
    <xf numFmtId="3" fontId="15" fillId="20" borderId="0" xfId="0" applyNumberFormat="1" applyFont="1" applyFill="1" applyAlignment="1">
      <alignment horizontal="center" vertical="center" wrapText="1"/>
    </xf>
    <xf numFmtId="3" fontId="16" fillId="20" borderId="0" xfId="0" applyNumberFormat="1" applyFont="1" applyFill="1" applyAlignment="1">
      <alignment horizontal="center" vertical="center" wrapText="1"/>
    </xf>
    <xf numFmtId="3" fontId="17" fillId="20" borderId="0" xfId="0" applyNumberFormat="1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Fill="1" applyAlignment="1"/>
    <xf numFmtId="0" fontId="14" fillId="15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3" fontId="23" fillId="5" borderId="0" xfId="0" applyNumberFormat="1" applyFont="1" applyFill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21" borderId="1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7" fontId="24" fillId="21" borderId="1" xfId="0" applyNumberFormat="1" applyFont="1" applyFill="1" applyBorder="1" applyAlignment="1">
      <alignment horizontal="center" vertical="center"/>
    </xf>
    <xf numFmtId="7" fontId="24" fillId="22" borderId="1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6" fillId="8" borderId="1" xfId="0" applyFont="1" applyFill="1" applyBorder="1" applyAlignment="1">
      <alignment horizontal="center" vertical="center" wrapText="1"/>
    </xf>
    <xf numFmtId="3" fontId="26" fillId="8" borderId="1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3" fontId="27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3" fillId="5" borderId="0" xfId="0" applyFont="1" applyFill="1" applyAlignment="1">
      <alignment horizontal="left" vertical="center" wrapText="1"/>
    </xf>
    <xf numFmtId="0" fontId="25" fillId="6" borderId="0" xfId="0" applyFont="1" applyFill="1" applyAlignment="1">
      <alignment horizontal="center" vertical="center" wrapText="1"/>
    </xf>
    <xf numFmtId="0" fontId="25" fillId="6" borderId="0" xfId="0" applyFont="1" applyFill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3" fontId="28" fillId="8" borderId="1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27" fillId="23" borderId="1" xfId="0" applyFont="1" applyFill="1" applyBorder="1" applyAlignment="1">
      <alignment horizontal="center" vertical="center" wrapText="1"/>
    </xf>
    <xf numFmtId="3" fontId="27" fillId="23" borderId="1" xfId="0" applyNumberFormat="1" applyFont="1" applyFill="1" applyBorder="1" applyAlignment="1">
      <alignment horizontal="center" vertical="center" wrapText="1"/>
    </xf>
    <xf numFmtId="0" fontId="27" fillId="23" borderId="1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center" vertical="center" wrapText="1"/>
    </xf>
    <xf numFmtId="3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20" fillId="0" borderId="0" xfId="0" applyFont="1" applyAlignment="1">
      <alignment vertical="center"/>
    </xf>
    <xf numFmtId="7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24" fillId="24" borderId="1" xfId="0" applyFont="1" applyFill="1" applyBorder="1" applyAlignment="1">
      <alignment horizontal="center" vertical="center"/>
    </xf>
    <xf numFmtId="0" fontId="29" fillId="0" borderId="3" xfId="0" applyFont="1" applyBorder="1" applyAlignment="1"/>
    <xf numFmtId="0" fontId="29" fillId="0" borderId="2" xfId="0" applyFont="1" applyBorder="1" applyAlignment="1"/>
    <xf numFmtId="0" fontId="24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7" fontId="2" fillId="0" borderId="0" xfId="0" applyNumberFormat="1" applyFont="1" applyAlignment="1">
      <alignment horizontal="left" vertical="center"/>
    </xf>
    <xf numFmtId="7" fontId="24" fillId="0" borderId="0" xfId="0" applyNumberFormat="1" applyFont="1" applyAlignment="1">
      <alignment horizontal="right" vertical="center"/>
    </xf>
    <xf numFmtId="0" fontId="24" fillId="25" borderId="4" xfId="0" applyFont="1" applyFill="1" applyBorder="1" applyAlignment="1">
      <alignment horizontal="center" vertical="center"/>
    </xf>
    <xf numFmtId="0" fontId="2" fillId="25" borderId="5" xfId="0" applyFont="1" applyFill="1" applyBorder="1" applyAlignment="1">
      <alignment horizontal="left" vertical="center"/>
    </xf>
    <xf numFmtId="0" fontId="29" fillId="0" borderId="6" xfId="0" applyFont="1" applyBorder="1" applyAlignment="1"/>
    <xf numFmtId="0" fontId="29" fillId="0" borderId="7" xfId="0" applyFont="1" applyBorder="1" applyAlignment="1"/>
    <xf numFmtId="0" fontId="24" fillId="25" borderId="8" xfId="0" applyFont="1" applyFill="1" applyBorder="1" applyAlignment="1">
      <alignment horizontal="left" vertical="center"/>
    </xf>
    <xf numFmtId="0" fontId="24" fillId="0" borderId="8" xfId="0" applyFont="1" applyBorder="1" applyAlignment="1">
      <alignment horizontal="center" vertical="center"/>
    </xf>
    <xf numFmtId="7" fontId="24" fillId="0" borderId="1" xfId="0" applyNumberFormat="1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7" fontId="2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26" borderId="8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vertical="center" wrapText="1"/>
    </xf>
    <xf numFmtId="7" fontId="2" fillId="26" borderId="1" xfId="0" applyNumberFormat="1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left" vertical="center" wrapText="1"/>
    </xf>
    <xf numFmtId="0" fontId="2" fillId="26" borderId="9" xfId="0" applyFont="1" applyFill="1" applyBorder="1" applyAlignment="1">
      <alignment horizontal="left" vertical="center" wrapText="1"/>
    </xf>
    <xf numFmtId="0" fontId="2" fillId="27" borderId="8" xfId="0" applyFont="1" applyFill="1" applyBorder="1" applyAlignment="1">
      <alignment horizontal="right" vertical="center"/>
    </xf>
    <xf numFmtId="0" fontId="2" fillId="0" borderId="9" xfId="0" applyFont="1" applyBorder="1" applyAlignment="1">
      <alignment horizontal="center" vertical="center" wrapText="1"/>
    </xf>
    <xf numFmtId="0" fontId="29" fillId="0" borderId="10" xfId="0" applyFont="1" applyBorder="1" applyAlignment="1"/>
    <xf numFmtId="0" fontId="2" fillId="28" borderId="0" xfId="0" applyFont="1" applyFill="1" applyAlignment="1">
      <alignment horizontal="center" vertical="center"/>
    </xf>
    <xf numFmtId="0" fontId="24" fillId="29" borderId="4" xfId="0" applyFont="1" applyFill="1" applyBorder="1" applyAlignment="1">
      <alignment horizontal="center" vertical="center"/>
    </xf>
    <xf numFmtId="0" fontId="2" fillId="29" borderId="5" xfId="0" applyFont="1" applyFill="1" applyBorder="1" applyAlignment="1">
      <alignment horizontal="left" vertical="center"/>
    </xf>
    <xf numFmtId="0" fontId="24" fillId="29" borderId="8" xfId="0" applyFont="1" applyFill="1" applyBorder="1" applyAlignment="1">
      <alignment horizontal="left" vertical="center"/>
    </xf>
    <xf numFmtId="0" fontId="2" fillId="29" borderId="8" xfId="0" applyFont="1" applyFill="1" applyBorder="1" applyAlignment="1">
      <alignment horizontal="right" vertical="center"/>
    </xf>
    <xf numFmtId="0" fontId="29" fillId="29" borderId="2" xfId="0" applyFont="1" applyFill="1" applyBorder="1" applyAlignment="1"/>
    <xf numFmtId="0" fontId="29" fillId="29" borderId="3" xfId="0" applyFont="1" applyFill="1" applyBorder="1" applyAlignment="1"/>
    <xf numFmtId="0" fontId="2" fillId="0" borderId="9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7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26" borderId="1" xfId="0" applyNumberFormat="1" applyFont="1" applyFill="1" applyBorder="1" applyAlignment="1">
      <alignment horizontal="center" vertical="center"/>
    </xf>
    <xf numFmtId="0" fontId="24" fillId="29" borderId="14" xfId="0" applyFont="1" applyFill="1" applyBorder="1" applyAlignment="1">
      <alignment horizontal="center" vertical="center"/>
    </xf>
    <xf numFmtId="0" fontId="24" fillId="29" borderId="15" xfId="0" applyFont="1" applyFill="1" applyBorder="1" applyAlignment="1">
      <alignment horizontal="center" vertical="center"/>
    </xf>
    <xf numFmtId="0" fontId="24" fillId="29" borderId="16" xfId="0" applyFont="1" applyFill="1" applyBorder="1" applyAlignment="1">
      <alignment horizontal="center" vertical="center"/>
    </xf>
    <xf numFmtId="0" fontId="24" fillId="29" borderId="1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29" borderId="17" xfId="0" applyFont="1" applyFill="1" applyBorder="1" applyAlignment="1">
      <alignment horizontal="center" vertical="center"/>
    </xf>
    <xf numFmtId="0" fontId="24" fillId="29" borderId="0" xfId="0" applyFont="1" applyFill="1" applyAlignment="1">
      <alignment horizontal="center" vertical="center"/>
    </xf>
    <xf numFmtId="0" fontId="24" fillId="29" borderId="18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4" fillId="29" borderId="19" xfId="0" applyFont="1" applyFill="1" applyBorder="1" applyAlignment="1">
      <alignment horizontal="center" vertical="center"/>
    </xf>
    <xf numFmtId="0" fontId="24" fillId="29" borderId="20" xfId="0" applyFont="1" applyFill="1" applyBorder="1" applyAlignment="1">
      <alignment horizontal="center" vertical="center"/>
    </xf>
    <xf numFmtId="0" fontId="24" fillId="29" borderId="2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3" borderId="0" xfId="0" applyNumberFormat="1" applyFont="1" applyFill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33" fillId="16" borderId="0" xfId="0" applyNumberFormat="1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0" fillId="31" borderId="0" xfId="0" applyNumberFormat="1" applyFont="1" applyFill="1" applyBorder="1" applyAlignment="1">
      <alignment horizontal="center" vertical="center"/>
    </xf>
    <xf numFmtId="0" fontId="20" fillId="31" borderId="0" xfId="0" applyNumberFormat="1" applyFont="1" applyFill="1" applyAlignment="1">
      <alignment horizontal="center" vertical="center" wrapText="1"/>
    </xf>
    <xf numFmtId="0" fontId="20" fillId="31" borderId="0" xfId="0" applyNumberFormat="1" applyFont="1" applyFill="1" applyAlignment="1">
      <alignment horizontal="center" vertical="center"/>
    </xf>
    <xf numFmtId="0" fontId="34" fillId="11" borderId="0" xfId="0" applyNumberFormat="1" applyFont="1" applyFill="1" applyBorder="1" applyAlignment="1">
      <alignment horizontal="center" vertical="center" wrapText="1"/>
    </xf>
    <xf numFmtId="0" fontId="34" fillId="24" borderId="0" xfId="0" applyNumberFormat="1" applyFont="1" applyFill="1" applyBorder="1" applyAlignment="1">
      <alignment horizontal="center" vertical="center" wrapText="1"/>
    </xf>
    <xf numFmtId="0" fontId="34" fillId="32" borderId="0" xfId="0" applyNumberFormat="1" applyFont="1" applyFill="1" applyBorder="1" applyAlignment="1">
      <alignment horizontal="center" vertical="center" wrapText="1"/>
    </xf>
    <xf numFmtId="0" fontId="34" fillId="11" borderId="1" xfId="0" applyNumberFormat="1" applyFont="1" applyFill="1" applyBorder="1" applyAlignment="1">
      <alignment horizontal="center" vertical="center" wrapText="1"/>
    </xf>
    <xf numFmtId="0" fontId="34" fillId="11" borderId="22" xfId="0" applyNumberFormat="1" applyFont="1" applyFill="1" applyBorder="1" applyAlignment="1">
      <alignment horizontal="center" vertical="center" wrapText="1"/>
    </xf>
    <xf numFmtId="0" fontId="35" fillId="11" borderId="0" xfId="0" applyNumberFormat="1" applyFont="1" applyFill="1" applyBorder="1" applyAlignment="1">
      <alignment horizontal="center" vertical="center" wrapText="1"/>
    </xf>
    <xf numFmtId="0" fontId="35" fillId="24" borderId="0" xfId="0" applyNumberFormat="1" applyFont="1" applyFill="1" applyBorder="1" applyAlignment="1">
      <alignment horizontal="center" vertical="center" wrapText="1"/>
    </xf>
    <xf numFmtId="0" fontId="35" fillId="32" borderId="0" xfId="0" applyNumberFormat="1" applyFont="1" applyFill="1" applyBorder="1" applyAlignment="1">
      <alignment horizontal="center" vertical="center" wrapText="1"/>
    </xf>
    <xf numFmtId="0" fontId="35" fillId="11" borderId="23" xfId="0" applyNumberFormat="1" applyFont="1" applyFill="1" applyBorder="1" applyAlignment="1">
      <alignment horizontal="center" vertical="center" wrapText="1"/>
    </xf>
    <xf numFmtId="0" fontId="2" fillId="0" borderId="23" xfId="0" applyNumberFormat="1" applyFont="1" applyFill="1" applyBorder="1" applyAlignment="1">
      <alignment horizontal="center" vertical="center" wrapText="1"/>
    </xf>
    <xf numFmtId="1" fontId="2" fillId="0" borderId="23" xfId="0" applyNumberFormat="1" applyFont="1" applyFill="1" applyBorder="1" applyAlignment="1">
      <alignment horizontal="center" vertical="center" wrapText="1"/>
    </xf>
    <xf numFmtId="1" fontId="2" fillId="32" borderId="23" xfId="0" applyNumberFormat="1" applyFont="1" applyFill="1" applyBorder="1" applyAlignment="1">
      <alignment horizontal="center" vertical="center" wrapText="1"/>
    </xf>
    <xf numFmtId="1" fontId="2" fillId="32" borderId="24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2" xfId="0" applyNumberFormat="1" applyFont="1" applyFill="1" applyBorder="1" applyAlignment="1">
      <alignment horizontal="center" vertical="center" wrapText="1"/>
    </xf>
    <xf numFmtId="0" fontId="2" fillId="0" borderId="25" xfId="0" applyNumberFormat="1" applyFont="1" applyFill="1" applyBorder="1" applyAlignment="1">
      <alignment horizontal="center" vertical="center" wrapText="1"/>
    </xf>
    <xf numFmtId="0" fontId="2" fillId="32" borderId="23" xfId="0" applyNumberFormat="1" applyFont="1" applyFill="1" applyBorder="1" applyAlignment="1">
      <alignment horizontal="center" vertical="center" wrapText="1"/>
    </xf>
    <xf numFmtId="0" fontId="2" fillId="0" borderId="26" xfId="0" applyNumberFormat="1" applyFont="1" applyFill="1" applyBorder="1" applyAlignment="1">
      <alignment horizontal="center" vertical="center" wrapText="1"/>
    </xf>
    <xf numFmtId="0" fontId="2" fillId="0" borderId="27" xfId="0" applyNumberFormat="1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30" fillId="0" borderId="23" xfId="0" applyNumberFormat="1" applyFont="1" applyFill="1" applyBorder="1" applyAlignment="1">
      <alignment horizontal="center" vertical="center" wrapText="1"/>
    </xf>
    <xf numFmtId="1" fontId="30" fillId="0" borderId="23" xfId="0" applyNumberFormat="1" applyFont="1" applyFill="1" applyBorder="1" applyAlignment="1">
      <alignment horizontal="center" vertical="center" wrapText="1"/>
    </xf>
    <xf numFmtId="1" fontId="30" fillId="0" borderId="24" xfId="0" applyNumberFormat="1" applyFont="1" applyFill="1" applyBorder="1" applyAlignment="1">
      <alignment horizontal="center" vertical="center" wrapText="1"/>
    </xf>
    <xf numFmtId="0" fontId="2" fillId="0" borderId="28" xfId="0" applyNumberFormat="1" applyFont="1" applyFill="1" applyBorder="1" applyAlignment="1">
      <alignment horizontal="center" vertical="center" wrapText="1"/>
    </xf>
    <xf numFmtId="0" fontId="2" fillId="0" borderId="24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1" fontId="2" fillId="0" borderId="0" xfId="0" applyNumberFormat="1" applyFont="1" applyFill="1" applyAlignment="1">
      <alignment horizontal="center" vertical="center" wrapText="1"/>
    </xf>
    <xf numFmtId="1" fontId="29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0" fillId="0" borderId="26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6" fillId="33" borderId="0" xfId="0" applyNumberFormat="1" applyFont="1" applyFill="1" applyAlignment="1">
      <alignment horizontal="center" vertical="center" wrapText="1"/>
    </xf>
    <xf numFmtId="0" fontId="36" fillId="33" borderId="0" xfId="0" applyNumberFormat="1" applyFont="1" applyFill="1" applyBorder="1" applyAlignment="1">
      <alignment horizontal="center" vertical="center" wrapText="1"/>
    </xf>
    <xf numFmtId="0" fontId="36" fillId="33" borderId="3" xfId="0" applyNumberFormat="1" applyFont="1" applyFill="1" applyBorder="1" applyAlignment="1">
      <alignment horizontal="center" vertical="center" wrapText="1"/>
    </xf>
    <xf numFmtId="0" fontId="36" fillId="33" borderId="1" xfId="0" applyNumberFormat="1" applyFont="1" applyFill="1" applyBorder="1" applyAlignment="1">
      <alignment horizontal="center" vertical="center" wrapText="1"/>
    </xf>
    <xf numFmtId="0" fontId="36" fillId="33" borderId="29" xfId="0" applyNumberFormat="1" applyFont="1" applyFill="1" applyBorder="1" applyAlignment="1">
      <alignment horizontal="center" vertical="center" wrapText="1"/>
    </xf>
    <xf numFmtId="0" fontId="37" fillId="34" borderId="30" xfId="0" applyFont="1" applyFill="1" applyBorder="1" applyAlignment="1">
      <alignment horizontal="left" vertical="center"/>
    </xf>
    <xf numFmtId="0" fontId="37" fillId="34" borderId="0" xfId="0" applyFont="1" applyFill="1" applyAlignment="1">
      <alignment horizontal="left" vertical="center"/>
    </xf>
    <xf numFmtId="0" fontId="24" fillId="35" borderId="31" xfId="0" applyFont="1" applyFill="1" applyBorder="1" applyAlignment="1">
      <alignment horizontal="center" vertical="center"/>
    </xf>
    <xf numFmtId="0" fontId="24" fillId="23" borderId="31" xfId="0" applyFont="1" applyFill="1" applyBorder="1" applyAlignment="1">
      <alignment horizontal="center" vertical="center"/>
    </xf>
    <xf numFmtId="0" fontId="24" fillId="23" borderId="31" xfId="0" applyFont="1" applyFill="1" applyBorder="1" applyAlignment="1">
      <alignment horizontal="center" vertical="center" wrapText="1"/>
    </xf>
    <xf numFmtId="0" fontId="24" fillId="24" borderId="31" xfId="0" applyFont="1" applyFill="1" applyBorder="1" applyAlignment="1">
      <alignment horizontal="center" vertical="center"/>
    </xf>
    <xf numFmtId="0" fontId="24" fillId="36" borderId="31" xfId="0" applyFont="1" applyFill="1" applyBorder="1" applyAlignment="1">
      <alignment horizontal="center" vertical="center"/>
    </xf>
    <xf numFmtId="0" fontId="24" fillId="37" borderId="31" xfId="0" applyFont="1" applyFill="1" applyBorder="1" applyAlignment="1">
      <alignment horizontal="center" vertical="center"/>
    </xf>
    <xf numFmtId="0" fontId="24" fillId="38" borderId="24" xfId="0" applyFont="1" applyFill="1" applyBorder="1" applyAlignment="1">
      <alignment horizontal="center" vertical="center" wrapText="1"/>
    </xf>
    <xf numFmtId="0" fontId="37" fillId="34" borderId="3" xfId="0" applyFont="1" applyFill="1" applyBorder="1" applyAlignment="1">
      <alignment horizontal="left" vertical="center"/>
    </xf>
    <xf numFmtId="0" fontId="37" fillId="34" borderId="1" xfId="0" applyFont="1" applyFill="1" applyBorder="1" applyAlignment="1">
      <alignment horizontal="left" vertical="center"/>
    </xf>
    <xf numFmtId="0" fontId="24" fillId="35" borderId="32" xfId="0" applyFont="1" applyFill="1" applyBorder="1" applyAlignment="1">
      <alignment horizontal="center" vertical="center"/>
    </xf>
    <xf numFmtId="0" fontId="24" fillId="37" borderId="33" xfId="0" applyFont="1" applyFill="1" applyBorder="1" applyAlignment="1">
      <alignment horizontal="center" vertical="center"/>
    </xf>
    <xf numFmtId="0" fontId="24" fillId="38" borderId="23" xfId="0" applyFont="1" applyFill="1" applyBorder="1" applyAlignment="1">
      <alignment horizontal="center" vertical="center" wrapText="1"/>
    </xf>
    <xf numFmtId="0" fontId="24" fillId="35" borderId="26" xfId="0" applyFont="1" applyFill="1" applyBorder="1" applyAlignment="1">
      <alignment horizontal="center" vertical="center"/>
    </xf>
    <xf numFmtId="0" fontId="24" fillId="35" borderId="23" xfId="0" applyFont="1" applyFill="1" applyBorder="1" applyAlignment="1">
      <alignment horizontal="center" vertical="center"/>
    </xf>
    <xf numFmtId="0" fontId="24" fillId="23" borderId="23" xfId="0" applyFont="1" applyFill="1" applyBorder="1" applyAlignment="1">
      <alignment horizontal="center" vertical="center"/>
    </xf>
    <xf numFmtId="0" fontId="24" fillId="23" borderId="23" xfId="0" applyFont="1" applyFill="1" applyBorder="1" applyAlignment="1">
      <alignment horizontal="center" vertical="center" wrapText="1"/>
    </xf>
    <xf numFmtId="0" fontId="24" fillId="24" borderId="23" xfId="0" applyFont="1" applyFill="1" applyBorder="1" applyAlignment="1">
      <alignment horizontal="center" vertical="center" wrapText="1"/>
    </xf>
    <xf numFmtId="0" fontId="24" fillId="36" borderId="23" xfId="0" applyFont="1" applyFill="1" applyBorder="1" applyAlignment="1">
      <alignment horizontal="center" vertical="center" wrapText="1"/>
    </xf>
    <xf numFmtId="0" fontId="24" fillId="37" borderId="23" xfId="0" applyFont="1" applyFill="1" applyBorder="1" applyAlignment="1">
      <alignment horizontal="center" vertical="center" wrapText="1"/>
    </xf>
    <xf numFmtId="0" fontId="24" fillId="37" borderId="24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35" borderId="26" xfId="0" applyFont="1" applyFill="1" applyBorder="1" applyAlignment="1">
      <alignment horizontal="center" vertical="center"/>
    </xf>
    <xf numFmtId="0" fontId="2" fillId="35" borderId="23" xfId="0" applyFont="1" applyFill="1" applyBorder="1" applyAlignment="1">
      <alignment horizontal="center" vertical="center"/>
    </xf>
    <xf numFmtId="0" fontId="2" fillId="23" borderId="23" xfId="0" applyFont="1" applyFill="1" applyBorder="1" applyAlignment="1">
      <alignment horizontal="center" vertical="center"/>
    </xf>
    <xf numFmtId="0" fontId="2" fillId="23" borderId="23" xfId="0" applyFont="1" applyFill="1" applyBorder="1" applyAlignment="1">
      <alignment horizontal="center" vertical="center" wrapText="1"/>
    </xf>
    <xf numFmtId="0" fontId="2" fillId="24" borderId="23" xfId="0" applyFont="1" applyFill="1" applyBorder="1" applyAlignment="1">
      <alignment horizontal="center" vertical="center"/>
    </xf>
    <xf numFmtId="0" fontId="2" fillId="36" borderId="23" xfId="0" applyFont="1" applyFill="1" applyBorder="1" applyAlignment="1">
      <alignment horizontal="center" vertical="center"/>
    </xf>
    <xf numFmtId="0" fontId="2" fillId="37" borderId="23" xfId="0" applyFont="1" applyFill="1" applyBorder="1" applyAlignment="1">
      <alignment horizontal="center" vertical="center"/>
    </xf>
    <xf numFmtId="0" fontId="2" fillId="39" borderId="35" xfId="0" applyNumberFormat="1" applyFont="1" applyFill="1" applyBorder="1" applyAlignment="1">
      <alignment horizontal="center" vertical="center"/>
    </xf>
    <xf numFmtId="0" fontId="2" fillId="39" borderId="36" xfId="0" applyNumberFormat="1" applyFont="1" applyFill="1" applyBorder="1" applyAlignment="1">
      <alignment horizontal="center" vertical="center"/>
    </xf>
    <xf numFmtId="0" fontId="2" fillId="40" borderId="23" xfId="0" applyNumberFormat="1" applyFont="1" applyFill="1" applyBorder="1" applyAlignment="1">
      <alignment horizontal="center" vertical="center"/>
    </xf>
    <xf numFmtId="0" fontId="2" fillId="41" borderId="23" xfId="0" applyNumberFormat="1" applyFont="1" applyFill="1" applyBorder="1" applyAlignment="1">
      <alignment horizontal="center" vertical="center"/>
    </xf>
    <xf numFmtId="0" fontId="2" fillId="19" borderId="23" xfId="0" applyNumberFormat="1" applyFont="1" applyFill="1" applyBorder="1" applyAlignment="1">
      <alignment horizontal="center" vertical="center"/>
    </xf>
    <xf numFmtId="0" fontId="2" fillId="16" borderId="23" xfId="0" applyNumberFormat="1" applyFont="1" applyFill="1" applyBorder="1" applyAlignment="1">
      <alignment horizontal="center" vertical="center"/>
    </xf>
    <xf numFmtId="0" fontId="2" fillId="16" borderId="24" xfId="0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right" vertical="center"/>
    </xf>
    <xf numFmtId="0" fontId="31" fillId="35" borderId="26" xfId="0" applyFont="1" applyFill="1" applyBorder="1" applyAlignment="1">
      <alignment horizontal="center" vertical="center"/>
    </xf>
    <xf numFmtId="0" fontId="31" fillId="35" borderId="23" xfId="0" applyFont="1" applyFill="1" applyBorder="1" applyAlignment="1">
      <alignment horizontal="center" vertical="center"/>
    </xf>
    <xf numFmtId="0" fontId="31" fillId="23" borderId="23" xfId="0" applyFont="1" applyFill="1" applyBorder="1" applyAlignment="1">
      <alignment horizontal="center" vertical="center"/>
    </xf>
    <xf numFmtId="0" fontId="31" fillId="24" borderId="23" xfId="0" applyFont="1" applyFill="1" applyBorder="1" applyAlignment="1">
      <alignment horizontal="center" vertical="center"/>
    </xf>
    <xf numFmtId="0" fontId="31" fillId="36" borderId="23" xfId="0" applyFont="1" applyFill="1" applyBorder="1" applyAlignment="1">
      <alignment horizontal="center" vertical="center"/>
    </xf>
    <xf numFmtId="0" fontId="31" fillId="37" borderId="23" xfId="0" applyFont="1" applyFill="1" applyBorder="1" applyAlignment="1">
      <alignment horizontal="center" vertical="center"/>
    </xf>
    <xf numFmtId="0" fontId="24" fillId="0" borderId="24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right" vertical="center"/>
    </xf>
    <xf numFmtId="0" fontId="31" fillId="0" borderId="1" xfId="0" applyFont="1" applyBorder="1" applyAlignment="1">
      <alignment horizontal="right" vertical="center" wrapText="1"/>
    </xf>
    <xf numFmtId="0" fontId="31" fillId="39" borderId="37" xfId="0" applyNumberFormat="1" applyFont="1" applyFill="1" applyBorder="1" applyAlignment="1">
      <alignment horizontal="center" vertical="center"/>
    </xf>
    <xf numFmtId="0" fontId="31" fillId="39" borderId="38" xfId="0" applyNumberFormat="1" applyFont="1" applyFill="1" applyBorder="1" applyAlignment="1">
      <alignment horizontal="center" vertical="center"/>
    </xf>
    <xf numFmtId="0" fontId="31" fillId="42" borderId="37" xfId="0" applyNumberFormat="1" applyFont="1" applyFill="1" applyBorder="1" applyAlignment="1">
      <alignment horizontal="center" vertical="center"/>
    </xf>
    <xf numFmtId="0" fontId="31" fillId="42" borderId="38" xfId="0" applyNumberFormat="1" applyFont="1" applyFill="1" applyBorder="1" applyAlignment="1">
      <alignment horizontal="center" vertical="center"/>
    </xf>
    <xf numFmtId="0" fontId="31" fillId="41" borderId="37" xfId="0" applyNumberFormat="1" applyFont="1" applyFill="1" applyBorder="1" applyAlignment="1">
      <alignment horizontal="center" vertical="center"/>
    </xf>
    <xf numFmtId="0" fontId="31" fillId="41" borderId="28" xfId="0" applyNumberFormat="1" applyFont="1" applyFill="1" applyBorder="1" applyAlignment="1">
      <alignment horizontal="center" vertical="center"/>
    </xf>
    <xf numFmtId="0" fontId="31" fillId="41" borderId="38" xfId="0" applyNumberFormat="1" applyFont="1" applyFill="1" applyBorder="1" applyAlignment="1">
      <alignment horizontal="center" vertical="center"/>
    </xf>
    <xf numFmtId="0" fontId="31" fillId="19" borderId="37" xfId="0" applyNumberFormat="1" applyFont="1" applyFill="1" applyBorder="1" applyAlignment="1">
      <alignment horizontal="center" vertical="center"/>
    </xf>
    <xf numFmtId="0" fontId="31" fillId="19" borderId="28" xfId="0" applyNumberFormat="1" applyFont="1" applyFill="1" applyBorder="1" applyAlignment="1">
      <alignment horizontal="center" vertical="center"/>
    </xf>
    <xf numFmtId="0" fontId="31" fillId="19" borderId="38" xfId="0" applyNumberFormat="1" applyFont="1" applyFill="1" applyBorder="1" applyAlignment="1">
      <alignment horizontal="center" vertical="center"/>
    </xf>
    <xf numFmtId="0" fontId="31" fillId="43" borderId="37" xfId="0" applyNumberFormat="1" applyFont="1" applyFill="1" applyBorder="1" applyAlignment="1">
      <alignment horizontal="center" vertical="center"/>
    </xf>
    <xf numFmtId="0" fontId="31" fillId="43" borderId="28" xfId="0" applyNumberFormat="1" applyFont="1" applyFill="1" applyBorder="1" applyAlignment="1">
      <alignment horizontal="center" vertical="center"/>
    </xf>
    <xf numFmtId="0" fontId="24" fillId="0" borderId="23" xfId="0" applyFont="1" applyBorder="1" applyAlignment="1">
      <alignment vertical="center" wrapText="1"/>
    </xf>
    <xf numFmtId="0" fontId="24" fillId="24" borderId="23" xfId="0" applyFont="1" applyFill="1" applyBorder="1" applyAlignment="1">
      <alignment horizontal="center" vertical="center"/>
    </xf>
    <xf numFmtId="0" fontId="24" fillId="36" borderId="23" xfId="0" applyFont="1" applyFill="1" applyBorder="1" applyAlignment="1">
      <alignment horizontal="center" vertical="center"/>
    </xf>
    <xf numFmtId="0" fontId="24" fillId="37" borderId="23" xfId="0" applyFont="1" applyFill="1" applyBorder="1" applyAlignment="1">
      <alignment horizontal="center" vertical="center"/>
    </xf>
    <xf numFmtId="0" fontId="37" fillId="34" borderId="0" xfId="0" applyFont="1" applyFill="1" applyBorder="1" applyAlignment="1">
      <alignment horizontal="left" vertical="center"/>
    </xf>
    <xf numFmtId="0" fontId="24" fillId="39" borderId="35" xfId="0" applyNumberFormat="1" applyFont="1" applyFill="1" applyBorder="1" applyAlignment="1">
      <alignment horizontal="center" vertical="center"/>
    </xf>
    <xf numFmtId="0" fontId="24" fillId="39" borderId="0" xfId="0" applyNumberFormat="1" applyFont="1" applyFill="1" applyBorder="1" applyAlignment="1">
      <alignment vertical="center"/>
    </xf>
    <xf numFmtId="0" fontId="24" fillId="42" borderId="35" xfId="0" applyNumberFormat="1" applyFont="1" applyFill="1" applyBorder="1" applyAlignment="1">
      <alignment horizontal="center" vertical="center"/>
    </xf>
    <xf numFmtId="0" fontId="24" fillId="40" borderId="0" xfId="0" applyNumberFormat="1" applyFont="1" applyFill="1" applyBorder="1" applyAlignment="1">
      <alignment vertical="center"/>
    </xf>
    <xf numFmtId="0" fontId="24" fillId="41" borderId="35" xfId="0" applyNumberFormat="1" applyFont="1" applyFill="1" applyBorder="1" applyAlignment="1">
      <alignment horizontal="center" vertical="center"/>
    </xf>
    <xf numFmtId="0" fontId="24" fillId="41" borderId="0" xfId="0" applyNumberFormat="1" applyFont="1" applyFill="1" applyBorder="1" applyAlignment="1">
      <alignment vertical="center"/>
    </xf>
    <xf numFmtId="0" fontId="24" fillId="19" borderId="35" xfId="0" applyNumberFormat="1" applyFont="1" applyFill="1" applyBorder="1" applyAlignment="1">
      <alignment horizontal="center" vertical="center"/>
    </xf>
    <xf numFmtId="0" fontId="24" fillId="19" borderId="0" xfId="0" applyNumberFormat="1" applyFont="1" applyFill="1" applyBorder="1" applyAlignment="1">
      <alignment vertical="center"/>
    </xf>
    <xf numFmtId="0" fontId="24" fillId="43" borderId="35" xfId="0" applyNumberFormat="1" applyFont="1" applyFill="1" applyBorder="1" applyAlignment="1">
      <alignment horizontal="center" vertical="center"/>
    </xf>
    <xf numFmtId="0" fontId="24" fillId="16" borderId="0" xfId="0" applyNumberFormat="1" applyFont="1" applyFill="1" applyBorder="1" applyAlignment="1">
      <alignment vertical="center"/>
    </xf>
    <xf numFmtId="0" fontId="24" fillId="39" borderId="37" xfId="0" applyNumberFormat="1" applyFont="1" applyFill="1" applyBorder="1" applyAlignment="1">
      <alignment horizontal="center" vertical="center"/>
    </xf>
    <xf numFmtId="0" fontId="24" fillId="39" borderId="38" xfId="0" applyNumberFormat="1" applyFont="1" applyFill="1" applyBorder="1" applyAlignment="1">
      <alignment horizontal="center" vertical="center"/>
    </xf>
    <xf numFmtId="0" fontId="24" fillId="42" borderId="35" xfId="0" applyNumberFormat="1" applyFont="1" applyFill="1" applyBorder="1" applyAlignment="1">
      <alignment horizontal="center" vertical="center" wrapText="1"/>
    </xf>
    <xf numFmtId="0" fontId="24" fillId="41" borderId="37" xfId="0" applyNumberFormat="1" applyFont="1" applyFill="1" applyBorder="1" applyAlignment="1">
      <alignment horizontal="center" vertical="center" wrapText="1"/>
    </xf>
    <xf numFmtId="0" fontId="24" fillId="41" borderId="28" xfId="0" applyNumberFormat="1" applyFont="1" applyFill="1" applyBorder="1" applyAlignment="1">
      <alignment horizontal="center" vertical="center" wrapText="1"/>
    </xf>
    <xf numFmtId="0" fontId="24" fillId="41" borderId="38" xfId="0" applyNumberFormat="1" applyFont="1" applyFill="1" applyBorder="1" applyAlignment="1">
      <alignment horizontal="center" vertical="center" wrapText="1"/>
    </xf>
    <xf numFmtId="0" fontId="24" fillId="19" borderId="37" xfId="0" applyNumberFormat="1" applyFont="1" applyFill="1" applyBorder="1" applyAlignment="1">
      <alignment horizontal="center" vertical="center" wrapText="1"/>
    </xf>
    <xf numFmtId="0" fontId="24" fillId="19" borderId="28" xfId="0" applyNumberFormat="1" applyFont="1" applyFill="1" applyBorder="1" applyAlignment="1">
      <alignment horizontal="center" vertical="center" wrapText="1"/>
    </xf>
    <xf numFmtId="0" fontId="24" fillId="19" borderId="38" xfId="0" applyNumberFormat="1" applyFont="1" applyFill="1" applyBorder="1" applyAlignment="1">
      <alignment horizontal="center" vertical="center" wrapText="1"/>
    </xf>
    <xf numFmtId="0" fontId="24" fillId="43" borderId="37" xfId="0" applyNumberFormat="1" applyFont="1" applyFill="1" applyBorder="1" applyAlignment="1">
      <alignment horizontal="center" vertical="center" wrapText="1"/>
    </xf>
    <xf numFmtId="0" fontId="24" fillId="43" borderId="28" xfId="0" applyNumberFormat="1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3" xfId="0" applyFont="1" applyBorder="1" applyAlignment="1">
      <alignment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8" fillId="0" borderId="0" xfId="0" applyFont="1" applyBorder="1" applyAlignment="1">
      <alignment horizontal="center" vertical="center" wrapText="1"/>
    </xf>
    <xf numFmtId="0" fontId="37" fillId="34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0" fontId="24" fillId="38" borderId="0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 xr9:uid="{267968C8-6FFD-4C36-ACC1-9EA1FD1885CA}">
      <tableStyleElement type="headerRow" dxfId="50"/>
      <tableStyleElement type="totalRow" dxfId="49"/>
      <tableStyleElement type="firstRowStripe" dxfId="48"/>
      <tableStyleElement type="firstColumnStripe" dxfId="47"/>
      <tableStyleElement type="firstSubtotalRow" dxfId="46"/>
      <tableStyleElement type="secondSubtotalRow" dxfId="45"/>
      <tableStyleElement type="firstRowSubheading" dxfId="44"/>
      <tableStyleElement type="secondRowSubheading" dxfId="43"/>
      <tableStyleElement type="pageFieldLabels" dxfId="42"/>
      <tableStyleElement type="pageFieldValues" dxfId="41"/>
    </tableStyle>
  </tableStyles>
  <colors>
    <mruColors>
      <color rgb="00FFE2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费用对比!$F$1</c:f>
          <c:strCache>
            <c:ptCount val="1"/>
            <c:pt idx="0">
              <c:v>实验室报价 vs 预估</c:v>
            </c:pt>
          </c:strCache>
        </c:strRef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费用对比!$U$1</c:f>
              <c:strCache>
                <c:ptCount val="1"/>
                <c:pt idx="0">
                  <c:v>苏勃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4C9FD8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47C2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F47C22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rgbClr val="4C9FD8"/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noFill/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rgbClr val="4C9FD8"/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rgbClr val="F47C22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Lbls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FFFFFF"/>
                      </a:solidFill>
                      <a:latin typeface="微软雅黑"/>
                      <a:ea typeface="微软雅黑"/>
                      <a:cs typeface="+mn-cs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rgbClr val="FFFFFF"/>
                      </a:solidFill>
                      <a:latin typeface="微软雅黑"/>
                      <a:ea typeface="微软雅黑"/>
                      <a:cs typeface="+mn-cs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numFmt formatCode="0.0&quot;万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rgbClr val="111827"/>
                    </a:solidFill>
                    <a:latin typeface="微软雅黑"/>
                    <a:ea typeface="微软雅黑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费用对比!$U$2:$U$15</c:f>
              <c:numCache>
                <c:formatCode>General</c:formatCode>
                <c:ptCount val="14"/>
                <c:pt idx="0">
                  <c:v>59.0895</c:v>
                </c:pt>
                <c:pt idx="1">
                  <c:v>59.7644</c:v>
                </c:pt>
                <c:pt idx="2">
                  <c:v>57.3334</c:v>
                </c:pt>
                <c:pt idx="3">
                  <c:v>56.6018</c:v>
                </c:pt>
                <c:pt idx="4">
                  <c:v>0</c:v>
                </c:pt>
                <c:pt idx="5">
                  <c:v>63.4444</c:v>
                </c:pt>
                <c:pt idx="6">
                  <c:v>65.5695</c:v>
                </c:pt>
                <c:pt idx="7">
                  <c:v>61.0134</c:v>
                </c:pt>
                <c:pt idx="8">
                  <c:v>59.8418</c:v>
                </c:pt>
                <c:pt idx="9">
                  <c:v>0</c:v>
                </c:pt>
                <c:pt idx="10">
                  <c:v>124.659</c:v>
                </c:pt>
                <c:pt idx="11">
                  <c:v>123.2088</c:v>
                </c:pt>
                <c:pt idx="12">
                  <c:v>118.3468</c:v>
                </c:pt>
                <c:pt idx="13">
                  <c:v>116.4436</c:v>
                </c:pt>
              </c:numCache>
            </c:numRef>
          </c:val>
        </c:ser>
        <c:ser>
          <c:idx val="1"/>
          <c:order val="1"/>
          <c:tx>
            <c:strRef>
              <c:f>"预估费用"</c:f>
              <c:strCache>
                <c:ptCount val="1"/>
                <c:pt idx="0">
                  <c:v>预估费用</c:v>
                </c:pt>
              </c:strCache>
            </c:strRef>
          </c:tx>
          <c:spPr>
            <a:solidFill>
              <a:srgbClr val="F47C2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费用对比!$V$2:$V$15</c:f>
              <c:numCache>
                <c:formatCode>General</c:formatCode>
                <c:ptCount val="14"/>
              </c:numCache>
            </c:numRef>
          </c:val>
        </c:ser>
        <c:ser>
          <c:idx val="2"/>
          <c:order val="2"/>
          <c:tx>
            <c:strRef>
              <c:f>"SGS"</c:f>
              <c:strCache>
                <c:ptCount val="1"/>
                <c:pt idx="0">
                  <c:v>SGS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费用对比!$V$2:$V$15</c:f>
              <c:numCache>
                <c:formatCode>General</c:formatCode>
                <c:ptCount val="14"/>
              </c:numCache>
            </c:numRef>
          </c:val>
        </c:ser>
        <c:ser>
          <c:idx val="3"/>
          <c:order val="3"/>
          <c:tx>
            <c:strRef>
              <c:f>"华测"</c:f>
              <c:strCache>
                <c:ptCount val="1"/>
                <c:pt idx="0">
                  <c:v>华测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费用对比!$T$2:$T$15</c:f>
              <c:strCache>
                <c:ptCount val="14"/>
                <c:pt idx="0">
                  <c:v>苏勃
DV</c:v>
                </c:pt>
                <c:pt idx="1">
                  <c:v>预估费用
DV</c:v>
                </c:pt>
                <c:pt idx="2">
                  <c:v>SGS
DV</c:v>
                </c:pt>
                <c:pt idx="3">
                  <c:v>华测
DV</c:v>
                </c:pt>
                <c:pt idx="5">
                  <c:v>预估费用
PV</c:v>
                </c:pt>
                <c:pt idx="6">
                  <c:v>苏勃
PV</c:v>
                </c:pt>
                <c:pt idx="7">
                  <c:v>SGS
PV</c:v>
                </c:pt>
                <c:pt idx="8">
                  <c:v>华测
PV</c:v>
                </c:pt>
                <c:pt idx="10">
                  <c:v>苏勃
DV+PV</c:v>
                </c:pt>
                <c:pt idx="11">
                  <c:v>预估费用
DV+PV</c:v>
                </c:pt>
                <c:pt idx="12">
                  <c:v>SGS
DV+PV</c:v>
                </c:pt>
                <c:pt idx="13">
                  <c:v>华测
DV+PV</c:v>
                </c:pt>
              </c:strCache>
            </c:strRef>
          </c:cat>
          <c:val>
            <c:numRef>
              <c:f>费用对比!$V$2:$V$15</c:f>
              <c:numCache>
                <c:formatCode>General</c:formatCode>
                <c:ptCount val="1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6350">
            <a:solidFill>
              <a:srgbClr val="8B95A5"/>
            </a:solidFill>
            <a:prstDash val="solid"/>
            <a:round/>
          </a:ln>
          <a:effectLst/>
        </c:spPr>
        <c:txPr>
          <a:bodyPr rot="0" spcFirstLastPara="0" vertOverflow="clip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111827"/>
                </a:solidFill>
                <a:latin typeface="微软雅黑"/>
                <a:ea typeface="微软雅黑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200"/>
          <c:min val="0"/>
        </c:scaling>
        <c:delete val="0"/>
        <c:axPos val="l"/>
        <c:majorGridlines>
          <c:spPr>
            <a:ln w="6350">
              <a:solidFill>
                <a:srgbClr val="D8DEE8"/>
              </a:solidFill>
              <a:prstDash val="solid"/>
              <a:round/>
            </a:ln>
            <a:effectLst/>
          </c:spPr>
        </c:majorGridlines>
        <c:numFmt formatCode="0&quot;万&quot;" sourceLinked="0"/>
        <c:majorTickMark val="out"/>
        <c:minorTickMark val="none"/>
        <c:tickLblPos val="nextTo"/>
        <c:spPr>
          <a:noFill/>
          <a:ln w="6350">
            <a:solidFill>
              <a:srgbClr val="8B95A5"/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111827"/>
                </a:solidFill>
                <a:latin typeface="微软雅黑"/>
                <a:ea typeface="微软雅黑"/>
                <a:cs typeface="+mn-cs"/>
              </a:defRPr>
            </a:pPr>
          </a:p>
        </c:txPr>
        <c:crossAx val="48650112"/>
        <c:crosses val="autoZero"/>
        <c:crossBetween val="between"/>
        <c:majorUnit val="50"/>
      </c:valAx>
      <c:spPr>
        <a:solidFill>
          <a:srgbClr val="FFFFFF"/>
        </a:solidFill>
        <a:ln>
          <a:noFill/>
        </a:ln>
        <a:effectLst/>
      </c:spPr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2021b0e7-ceb0-4c94-83e4-cad682d40e13}"/>
      </c:ext>
    </c:extLst>
  </c:chart>
  <c:spPr>
    <a:solidFill>
      <a:srgbClr val="FFFFFF"/>
    </a:solidFill>
    <a:ln w="9525">
      <a:solidFill>
        <a:srgbClr val="9EADBA"/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18</xdr:col>
      <xdr:colOff>0</xdr:colOff>
      <xdr:row>6</xdr:row>
      <xdr:rowOff>330200</xdr:rowOff>
    </xdr:to>
    <xdr:graphicFrame>
      <xdr:nvGraphicFramePr>
        <xdr:cNvPr id="2" name="整包报价 vs 预估费用"/>
        <xdr:cNvGraphicFramePr/>
      </xdr:nvGraphicFramePr>
      <xdr:xfrm>
        <a:off x="10241280" y="0"/>
        <a:ext cx="9530080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VQuoteCompare" displayName="DVQuoteCompare" ref="A10:O21">
  <tableColumns count="15">
    <tableColumn id="1" name="组别顺序" dataDxfId="0"/>
    <tableColumn id="2" name="组内顺序" dataDxfId="1"/>
    <tableColumn id="3" name="Phase" dataDxfId="2"/>
    <tableColumn id="4" name="Group" dataDxfId="3"/>
    <tableColumn id="5" name="SGS" dataDxfId="4"/>
    <tableColumn id="6" name="华测" dataDxfId="5"/>
    <tableColumn id="7" name="苏勃" dataDxfId="6"/>
    <tableColumn id="8" name="最低实验室" dataDxfId="7"/>
    <tableColumn id="9" name="最高实验室" dataDxfId="8"/>
    <tableColumn id="10" name="差额" dataDxfId="9"/>
    <tableColumn id="11" name="预估费用" dataDxfId="10"/>
    <tableColumn id="12" name="SGS-预估" dataDxfId="11"/>
    <tableColumn id="13" name="华测-预估" dataDxfId="12"/>
    <tableColumn id="14" name="苏勃-预估" dataDxfId="13"/>
    <tableColumn id="15" name="最低报价-预估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VQuoteCompare" displayName="PVQuoteCompare" ref="A25:O37">
  <tableColumns count="15">
    <tableColumn id="1" name="组别顺序" dataDxfId="15"/>
    <tableColumn id="2" name="组内顺序" dataDxfId="16"/>
    <tableColumn id="3" name="Phase" dataDxfId="17"/>
    <tableColumn id="4" name="Group" dataDxfId="18"/>
    <tableColumn id="5" name="SGS" dataDxfId="19"/>
    <tableColumn id="6" name="华测" dataDxfId="20"/>
    <tableColumn id="7" name="苏勃" dataDxfId="21"/>
    <tableColumn id="8" name="最低实验室" dataDxfId="22"/>
    <tableColumn id="9" name="最高实验室" dataDxfId="23"/>
    <tableColumn id="10" name="差额" dataDxfId="24"/>
    <tableColumn id="11" name="预估费用" dataDxfId="25"/>
    <tableColumn id="12" name="SGS-预估" dataDxfId="26"/>
    <tableColumn id="13" name="华测-预估" dataDxfId="27"/>
    <tableColumn id="14" name="苏勃-预估" dataDxfId="28"/>
    <tableColumn id="15" name="最低报价-预估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45"/>
  <sheetViews>
    <sheetView showGridLines="0" workbookViewId="0">
      <selection activeCell="AT13" sqref="AT13"/>
    </sheetView>
  </sheetViews>
  <sheetFormatPr defaultColWidth="9.64285714285714" defaultRowHeight="15.2"/>
  <cols>
    <col min="1" max="1" width="17" style="161" customWidth="1"/>
    <col min="2" max="2" width="11" style="161" customWidth="1"/>
    <col min="3" max="3" width="12" style="161" customWidth="1"/>
    <col min="4" max="5" width="11.4553571428571" style="2" customWidth="1"/>
    <col min="6" max="6" width="11.1607142857143" style="161" customWidth="1"/>
    <col min="7" max="7" width="10" style="161" customWidth="1"/>
    <col min="8" max="8" width="12.2053571428571" style="161" customWidth="1"/>
    <col min="9" max="9" width="13.0892857142857" style="2" customWidth="1"/>
    <col min="10" max="10" width="13" style="161" customWidth="1"/>
    <col min="11" max="11" width="11.9017857142857" style="161" customWidth="1"/>
    <col min="12" max="12" width="12.9464285714286" style="161" customWidth="1"/>
    <col min="13" max="13" width="12.7946428571429" style="161" customWidth="1"/>
    <col min="14" max="14" width="12.2053571428571" style="161" customWidth="1"/>
    <col min="15" max="15" width="12.7946428571429" style="161" customWidth="1"/>
    <col min="16" max="16" width="12.5" style="161" customWidth="1"/>
    <col min="17" max="17" width="10.7142857142857" style="161" customWidth="1"/>
    <col min="18" max="18" width="10.2589285714286" style="161" customWidth="1"/>
    <col min="19" max="19" width="10.4196428571429" style="161" customWidth="1"/>
    <col min="20" max="20" width="9.22321428571429" style="161" customWidth="1"/>
    <col min="21" max="21" width="12" style="161" customWidth="1"/>
    <col min="22" max="22" width="26.7857142857143" style="2" customWidth="1"/>
    <col min="23" max="23" width="3" style="161" customWidth="1"/>
    <col min="24" max="24" width="17" style="161" customWidth="1"/>
    <col min="25" max="25" width="11" style="161" customWidth="1"/>
    <col min="26" max="26" width="12" style="161" customWidth="1"/>
    <col min="27" max="27" width="10.7142857142857" style="2" customWidth="1"/>
    <col min="28" max="28" width="12.6517857142857" style="2" customWidth="1"/>
    <col min="29" max="29" width="10.2678571428571" style="161" customWidth="1"/>
    <col min="30" max="30" width="10" style="161" customWidth="1"/>
    <col min="31" max="31" width="12.1964285714286" style="161" customWidth="1"/>
    <col min="32" max="32" width="13.0892857142857" style="161" customWidth="1"/>
    <col min="33" max="33" width="13" style="161" customWidth="1"/>
    <col min="34" max="34" width="11.9017857142857" style="161" customWidth="1"/>
    <col min="35" max="35" width="12.9464285714286" style="161" customWidth="1"/>
    <col min="36" max="36" width="12.7946428571429" style="161" customWidth="1"/>
    <col min="37" max="37" width="12.2053571428571" style="161" customWidth="1"/>
    <col min="38" max="38" width="12.7946428571429" style="161" customWidth="1"/>
    <col min="39" max="39" width="12.5" style="161" customWidth="1"/>
    <col min="40" max="40" width="10.7142857142857" style="161" customWidth="1"/>
    <col min="41" max="41" width="10.2589285714286" style="161" customWidth="1"/>
    <col min="42" max="42" width="7.58928571428571" style="161" customWidth="1"/>
    <col min="43" max="44" width="12" style="161" customWidth="1"/>
    <col min="45" max="45" width="25.8928571428571" style="2" customWidth="1"/>
    <col min="46" max="16376" width="9.64285714285714" style="161" customWidth="1"/>
    <col min="16377" max="16384" width="9.64285714285714" style="161"/>
  </cols>
  <sheetData>
    <row r="1" s="161" customFormat="1" ht="22" spans="1:45">
      <c r="A1" s="166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7"/>
      <c r="X1" s="166" t="s">
        <v>1</v>
      </c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</row>
    <row r="2" s="161" customFormat="1" spans="1:45">
      <c r="A2" s="168" t="s">
        <v>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7"/>
      <c r="X2" s="168" t="s">
        <v>2</v>
      </c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</row>
    <row r="3" s="161" customFormat="1" spans="1:45">
      <c r="D3" s="2"/>
      <c r="E3" s="2"/>
      <c r="V3" s="2"/>
      <c r="W3" s="167"/>
      <c r="X3" s="169"/>
      <c r="Y3" s="169"/>
      <c r="Z3" s="169"/>
      <c r="AA3" s="170"/>
      <c r="AB3" s="170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70"/>
    </row>
    <row r="4" s="162" customFormat="1" ht="17.6" spans="1:45">
      <c r="A4" s="171" t="s">
        <v>3</v>
      </c>
      <c r="B4" s="171" t="s">
        <v>4</v>
      </c>
      <c r="C4" s="171"/>
      <c r="D4" s="172" t="s">
        <v>5</v>
      </c>
      <c r="E4" s="172"/>
      <c r="F4" s="173" t="s">
        <v>6</v>
      </c>
      <c r="G4" s="173"/>
      <c r="H4" s="173"/>
      <c r="I4" s="173" t="s">
        <v>7</v>
      </c>
      <c r="J4" s="173"/>
      <c r="K4" s="173"/>
      <c r="L4" s="173"/>
      <c r="M4" s="173" t="s">
        <v>8</v>
      </c>
      <c r="N4" s="173"/>
      <c r="O4" s="173"/>
      <c r="P4" s="173"/>
      <c r="Q4" s="173"/>
      <c r="R4" s="173" t="s">
        <v>9</v>
      </c>
      <c r="S4" s="173"/>
      <c r="T4" s="173"/>
      <c r="U4" s="173"/>
      <c r="V4" s="173"/>
      <c r="W4" s="167"/>
      <c r="X4" s="171" t="s">
        <v>3</v>
      </c>
      <c r="Y4" s="171" t="s">
        <v>4</v>
      </c>
      <c r="Z4" s="171"/>
      <c r="AA4" s="172" t="s">
        <v>5</v>
      </c>
      <c r="AB4" s="172"/>
      <c r="AC4" s="173" t="s">
        <v>6</v>
      </c>
      <c r="AD4" s="173"/>
      <c r="AE4" s="173"/>
      <c r="AF4" s="173" t="s">
        <v>7</v>
      </c>
      <c r="AG4" s="173"/>
      <c r="AH4" s="173"/>
      <c r="AI4" s="173"/>
      <c r="AJ4" s="173" t="s">
        <v>8</v>
      </c>
      <c r="AK4" s="173"/>
      <c r="AL4" s="173"/>
      <c r="AM4" s="173"/>
      <c r="AN4" s="173"/>
      <c r="AO4" s="173" t="s">
        <v>9</v>
      </c>
      <c r="AP4" s="173"/>
      <c r="AQ4" s="173"/>
      <c r="AR4" s="173"/>
      <c r="AS4" s="172"/>
    </row>
    <row r="5" s="2" customFormat="1" ht="31" spans="1:45">
      <c r="A5" s="174" t="s">
        <v>3</v>
      </c>
      <c r="B5" s="174" t="s">
        <v>10</v>
      </c>
      <c r="C5" s="174" t="s">
        <v>11</v>
      </c>
      <c r="D5" s="175" t="s">
        <v>12</v>
      </c>
      <c r="E5" s="175" t="s">
        <v>13</v>
      </c>
      <c r="F5" s="174" t="s">
        <v>14</v>
      </c>
      <c r="G5" s="174" t="s">
        <v>15</v>
      </c>
      <c r="H5" s="174" t="s">
        <v>16</v>
      </c>
      <c r="I5" s="174" t="s">
        <v>17</v>
      </c>
      <c r="J5" s="174" t="s">
        <v>18</v>
      </c>
      <c r="K5" s="174" t="s">
        <v>19</v>
      </c>
      <c r="L5" s="174" t="s">
        <v>20</v>
      </c>
      <c r="M5" s="176" t="s">
        <v>21</v>
      </c>
      <c r="N5" s="176" t="s">
        <v>22</v>
      </c>
      <c r="O5" s="176" t="s">
        <v>23</v>
      </c>
      <c r="P5" s="176" t="s">
        <v>24</v>
      </c>
      <c r="Q5" s="176" t="s">
        <v>25</v>
      </c>
      <c r="R5" s="177" t="s">
        <v>9</v>
      </c>
      <c r="S5" s="177"/>
      <c r="T5" s="177"/>
      <c r="U5" s="177"/>
      <c r="V5" s="178"/>
      <c r="W5" s="167"/>
      <c r="X5" s="179" t="s">
        <v>3</v>
      </c>
      <c r="Y5" s="179" t="s">
        <v>10</v>
      </c>
      <c r="Z5" s="179" t="s">
        <v>11</v>
      </c>
      <c r="AA5" s="180" t="s">
        <v>12</v>
      </c>
      <c r="AB5" s="180" t="s">
        <v>13</v>
      </c>
      <c r="AC5" s="179" t="s">
        <v>14</v>
      </c>
      <c r="AD5" s="179" t="s">
        <v>15</v>
      </c>
      <c r="AE5" s="179" t="s">
        <v>16</v>
      </c>
      <c r="AF5" s="179" t="s">
        <v>17</v>
      </c>
      <c r="AG5" s="179" t="s">
        <v>18</v>
      </c>
      <c r="AH5" s="179" t="s">
        <v>19</v>
      </c>
      <c r="AI5" s="179" t="s">
        <v>20</v>
      </c>
      <c r="AJ5" s="181" t="s">
        <v>21</v>
      </c>
      <c r="AK5" s="181" t="s">
        <v>22</v>
      </c>
      <c r="AL5" s="181" t="s">
        <v>23</v>
      </c>
      <c r="AM5" s="181" t="s">
        <v>24</v>
      </c>
      <c r="AN5" s="181" t="s">
        <v>25</v>
      </c>
      <c r="AO5" s="182" t="s">
        <v>9</v>
      </c>
      <c r="AP5" s="182"/>
      <c r="AQ5" s="182"/>
      <c r="AR5" s="182"/>
      <c r="AS5" s="182"/>
    </row>
    <row r="6" s="163" customFormat="1" ht="16" spans="1:45">
      <c r="A6" s="183" t="s">
        <v>26</v>
      </c>
      <c r="B6" s="184">
        <f t="shared" ref="B6:Q6" si="0">MAX(F25:F44)</f>
        <v>14</v>
      </c>
      <c r="C6" s="184">
        <f t="shared" si="0"/>
        <v>0</v>
      </c>
      <c r="D6" s="184">
        <f t="shared" si="0"/>
        <v>6</v>
      </c>
      <c r="E6" s="184">
        <f t="shared" si="0"/>
        <v>3</v>
      </c>
      <c r="F6" s="184">
        <f t="shared" si="0"/>
        <v>14</v>
      </c>
      <c r="G6" s="184">
        <f t="shared" si="0"/>
        <v>14</v>
      </c>
      <c r="H6" s="184">
        <f t="shared" si="0"/>
        <v>14</v>
      </c>
      <c r="I6" s="184">
        <f t="shared" si="0"/>
        <v>14</v>
      </c>
      <c r="J6" s="184">
        <f t="shared" si="0"/>
        <v>6</v>
      </c>
      <c r="K6" s="184">
        <f t="shared" si="0"/>
        <v>14</v>
      </c>
      <c r="L6" s="184">
        <f t="shared" si="0"/>
        <v>6</v>
      </c>
      <c r="M6" s="185">
        <f t="shared" si="0"/>
        <v>12</v>
      </c>
      <c r="N6" s="185">
        <f t="shared" si="0"/>
        <v>36</v>
      </c>
      <c r="O6" s="185">
        <f t="shared" si="0"/>
        <v>36</v>
      </c>
      <c r="P6" s="185">
        <f t="shared" si="0"/>
        <v>36</v>
      </c>
      <c r="Q6" s="186">
        <f t="shared" si="0"/>
        <v>36</v>
      </c>
      <c r="R6" s="187"/>
      <c r="S6" s="187"/>
      <c r="T6" s="187"/>
      <c r="U6" s="187"/>
      <c r="V6" s="188"/>
      <c r="W6" s="167"/>
      <c r="X6" s="189" t="s">
        <v>26</v>
      </c>
      <c r="Y6" s="183">
        <f t="shared" ref="Y6:AN6" si="1">MAX(AC25:AC44)</f>
        <v>14</v>
      </c>
      <c r="Z6" s="183">
        <f t="shared" si="1"/>
        <v>0</v>
      </c>
      <c r="AA6" s="183">
        <f t="shared" si="1"/>
        <v>6</v>
      </c>
      <c r="AB6" s="183">
        <f t="shared" si="1"/>
        <v>3</v>
      </c>
      <c r="AC6" s="183">
        <f t="shared" si="1"/>
        <v>14</v>
      </c>
      <c r="AD6" s="183">
        <f t="shared" si="1"/>
        <v>14</v>
      </c>
      <c r="AE6" s="183">
        <f t="shared" si="1"/>
        <v>14</v>
      </c>
      <c r="AF6" s="183">
        <f t="shared" si="1"/>
        <v>14</v>
      </c>
      <c r="AG6" s="183">
        <f t="shared" si="1"/>
        <v>6</v>
      </c>
      <c r="AH6" s="183">
        <f t="shared" si="1"/>
        <v>14</v>
      </c>
      <c r="AI6" s="183">
        <f t="shared" si="1"/>
        <v>6</v>
      </c>
      <c r="AJ6" s="190">
        <f t="shared" si="1"/>
        <v>12</v>
      </c>
      <c r="AK6" s="190">
        <f t="shared" si="1"/>
        <v>36</v>
      </c>
      <c r="AL6" s="190">
        <f t="shared" si="1"/>
        <v>36</v>
      </c>
      <c r="AM6" s="190">
        <f t="shared" si="1"/>
        <v>36</v>
      </c>
      <c r="AN6" s="190">
        <f t="shared" si="1"/>
        <v>36</v>
      </c>
      <c r="AO6" s="191"/>
      <c r="AP6" s="183"/>
      <c r="AQ6" s="183"/>
      <c r="AR6" s="183"/>
      <c r="AS6" s="183"/>
    </row>
    <row r="7" s="163" customFormat="1" ht="16" spans="1:45">
      <c r="A7" s="183" t="s">
        <v>27</v>
      </c>
      <c r="B7" s="184">
        <f t="shared" ref="B7:Q7" si="2">MAX(F48:F54)</f>
        <v>12</v>
      </c>
      <c r="C7" s="184">
        <f t="shared" si="2"/>
        <v>0</v>
      </c>
      <c r="D7" s="184">
        <f t="shared" si="2"/>
        <v>0</v>
      </c>
      <c r="E7" s="184">
        <f t="shared" si="2"/>
        <v>0</v>
      </c>
      <c r="F7" s="184">
        <f t="shared" si="2"/>
        <v>12</v>
      </c>
      <c r="G7" s="184">
        <f t="shared" si="2"/>
        <v>12</v>
      </c>
      <c r="H7" s="184">
        <f t="shared" si="2"/>
        <v>12</v>
      </c>
      <c r="I7" s="184">
        <f t="shared" si="2"/>
        <v>24</v>
      </c>
      <c r="J7" s="184">
        <f t="shared" si="2"/>
        <v>0</v>
      </c>
      <c r="K7" s="184">
        <f t="shared" si="2"/>
        <v>24</v>
      </c>
      <c r="L7" s="184">
        <f t="shared" si="2"/>
        <v>0</v>
      </c>
      <c r="M7" s="185">
        <f t="shared" si="2"/>
        <v>0</v>
      </c>
      <c r="N7" s="185">
        <f t="shared" si="2"/>
        <v>0</v>
      </c>
      <c r="O7" s="185">
        <f t="shared" si="2"/>
        <v>0</v>
      </c>
      <c r="P7" s="185">
        <f t="shared" si="2"/>
        <v>0</v>
      </c>
      <c r="Q7" s="186">
        <f t="shared" si="2"/>
        <v>0</v>
      </c>
      <c r="R7" s="187" t="s">
        <v>28</v>
      </c>
      <c r="S7" s="187"/>
      <c r="T7" s="187"/>
      <c r="U7" s="187"/>
      <c r="V7" s="188"/>
      <c r="W7" s="167"/>
      <c r="X7" s="189" t="s">
        <v>27</v>
      </c>
      <c r="Y7" s="183">
        <f t="shared" ref="Y7:AN7" si="3">MAX(AC48:AC54)</f>
        <v>12</v>
      </c>
      <c r="Z7" s="183">
        <f t="shared" si="3"/>
        <v>0</v>
      </c>
      <c r="AA7" s="183">
        <f t="shared" si="3"/>
        <v>0</v>
      </c>
      <c r="AB7" s="183">
        <f t="shared" si="3"/>
        <v>0</v>
      </c>
      <c r="AC7" s="183">
        <f t="shared" si="3"/>
        <v>12</v>
      </c>
      <c r="AD7" s="183">
        <f t="shared" si="3"/>
        <v>12</v>
      </c>
      <c r="AE7" s="183">
        <f t="shared" si="3"/>
        <v>12</v>
      </c>
      <c r="AF7" s="183">
        <f t="shared" si="3"/>
        <v>24</v>
      </c>
      <c r="AG7" s="183">
        <f t="shared" si="3"/>
        <v>0</v>
      </c>
      <c r="AH7" s="183">
        <f t="shared" si="3"/>
        <v>24</v>
      </c>
      <c r="AI7" s="183">
        <f t="shared" si="3"/>
        <v>0</v>
      </c>
      <c r="AJ7" s="190">
        <f t="shared" si="3"/>
        <v>0</v>
      </c>
      <c r="AK7" s="190">
        <f t="shared" si="3"/>
        <v>0</v>
      </c>
      <c r="AL7" s="190">
        <f t="shared" si="3"/>
        <v>0</v>
      </c>
      <c r="AM7" s="190">
        <f t="shared" si="3"/>
        <v>0</v>
      </c>
      <c r="AN7" s="190">
        <f t="shared" si="3"/>
        <v>0</v>
      </c>
      <c r="AO7" s="191" t="s">
        <v>29</v>
      </c>
      <c r="AP7" s="183"/>
      <c r="AQ7" s="183"/>
      <c r="AR7" s="183"/>
      <c r="AS7" s="183"/>
    </row>
    <row r="8" s="163" customFormat="1" ht="16" spans="1:45">
      <c r="A8" s="183" t="s">
        <v>30</v>
      </c>
      <c r="B8" s="184">
        <f t="shared" ref="B8:Q8" si="4">MAX(F58:F66)</f>
        <v>6</v>
      </c>
      <c r="C8" s="184">
        <f t="shared" si="4"/>
        <v>0</v>
      </c>
      <c r="D8" s="184">
        <f t="shared" si="4"/>
        <v>6</v>
      </c>
      <c r="E8" s="184">
        <f t="shared" si="4"/>
        <v>0</v>
      </c>
      <c r="F8" s="184">
        <f t="shared" si="4"/>
        <v>6</v>
      </c>
      <c r="G8" s="184">
        <f t="shared" si="4"/>
        <v>6</v>
      </c>
      <c r="H8" s="184">
        <f t="shared" si="4"/>
        <v>6</v>
      </c>
      <c r="I8" s="184">
        <f t="shared" si="4"/>
        <v>6</v>
      </c>
      <c r="J8" s="184">
        <f t="shared" si="4"/>
        <v>6</v>
      </c>
      <c r="K8" s="184">
        <f t="shared" si="4"/>
        <v>6</v>
      </c>
      <c r="L8" s="184">
        <f t="shared" si="4"/>
        <v>6</v>
      </c>
      <c r="M8" s="185">
        <f t="shared" si="4"/>
        <v>6</v>
      </c>
      <c r="N8" s="185">
        <f t="shared" si="4"/>
        <v>18</v>
      </c>
      <c r="O8" s="185">
        <f t="shared" si="4"/>
        <v>18</v>
      </c>
      <c r="P8" s="185">
        <f t="shared" si="4"/>
        <v>18</v>
      </c>
      <c r="Q8" s="186">
        <f t="shared" si="4"/>
        <v>18</v>
      </c>
      <c r="R8" s="187"/>
      <c r="S8" s="187"/>
      <c r="T8" s="187"/>
      <c r="U8" s="187"/>
      <c r="V8" s="188"/>
      <c r="W8" s="167"/>
      <c r="X8" s="189" t="s">
        <v>30</v>
      </c>
      <c r="Y8" s="183">
        <f t="shared" ref="Y8:AN8" si="5">MAX(AC58:AC66)</f>
        <v>6</v>
      </c>
      <c r="Z8" s="183">
        <f t="shared" si="5"/>
        <v>0</v>
      </c>
      <c r="AA8" s="183">
        <f t="shared" si="5"/>
        <v>6</v>
      </c>
      <c r="AB8" s="183">
        <f t="shared" si="5"/>
        <v>0</v>
      </c>
      <c r="AC8" s="183">
        <f t="shared" si="5"/>
        <v>6</v>
      </c>
      <c r="AD8" s="183">
        <f t="shared" si="5"/>
        <v>6</v>
      </c>
      <c r="AE8" s="183">
        <f t="shared" si="5"/>
        <v>6</v>
      </c>
      <c r="AF8" s="183">
        <f t="shared" si="5"/>
        <v>6</v>
      </c>
      <c r="AG8" s="183">
        <f t="shared" si="5"/>
        <v>6</v>
      </c>
      <c r="AH8" s="183">
        <f t="shared" si="5"/>
        <v>6</v>
      </c>
      <c r="AI8" s="183">
        <f t="shared" si="5"/>
        <v>6</v>
      </c>
      <c r="AJ8" s="190">
        <f t="shared" si="5"/>
        <v>6</v>
      </c>
      <c r="AK8" s="190">
        <f t="shared" si="5"/>
        <v>18</v>
      </c>
      <c r="AL8" s="190">
        <f t="shared" si="5"/>
        <v>18</v>
      </c>
      <c r="AM8" s="190">
        <f t="shared" si="5"/>
        <v>18</v>
      </c>
      <c r="AN8" s="190">
        <f t="shared" si="5"/>
        <v>18</v>
      </c>
      <c r="AO8" s="191"/>
      <c r="AP8" s="183"/>
      <c r="AQ8" s="183"/>
      <c r="AR8" s="183"/>
      <c r="AS8" s="183"/>
    </row>
    <row r="9" s="163" customFormat="1" ht="16" spans="1:45">
      <c r="A9" s="183" t="s">
        <v>31</v>
      </c>
      <c r="B9" s="184">
        <f t="shared" ref="B9:Q9" si="6">MAX(F70:F75)</f>
        <v>6</v>
      </c>
      <c r="C9" s="184">
        <f t="shared" si="6"/>
        <v>0</v>
      </c>
      <c r="D9" s="184">
        <f t="shared" si="6"/>
        <v>0</v>
      </c>
      <c r="E9" s="184">
        <f t="shared" si="6"/>
        <v>0</v>
      </c>
      <c r="F9" s="184">
        <f t="shared" si="6"/>
        <v>6</v>
      </c>
      <c r="G9" s="184">
        <f t="shared" si="6"/>
        <v>6</v>
      </c>
      <c r="H9" s="184">
        <f t="shared" si="6"/>
        <v>6</v>
      </c>
      <c r="I9" s="184">
        <f t="shared" si="6"/>
        <v>6</v>
      </c>
      <c r="J9" s="184">
        <f t="shared" si="6"/>
        <v>0</v>
      </c>
      <c r="K9" s="184">
        <f t="shared" si="6"/>
        <v>6</v>
      </c>
      <c r="L9" s="184">
        <f t="shared" si="6"/>
        <v>0</v>
      </c>
      <c r="M9" s="185">
        <f t="shared" si="6"/>
        <v>0</v>
      </c>
      <c r="N9" s="185">
        <f t="shared" si="6"/>
        <v>0</v>
      </c>
      <c r="O9" s="185">
        <f t="shared" si="6"/>
        <v>0</v>
      </c>
      <c r="P9" s="185">
        <f t="shared" si="6"/>
        <v>0</v>
      </c>
      <c r="Q9" s="186">
        <f t="shared" si="6"/>
        <v>0</v>
      </c>
      <c r="R9" s="187"/>
      <c r="S9" s="187"/>
      <c r="T9" s="187"/>
      <c r="U9" s="187"/>
      <c r="V9" s="188"/>
      <c r="W9" s="167"/>
      <c r="X9" s="189" t="s">
        <v>31</v>
      </c>
      <c r="Y9" s="183">
        <f t="shared" ref="Y9:AN9" si="7">MAX(AC70:AC75)</f>
        <v>6</v>
      </c>
      <c r="Z9" s="183">
        <f t="shared" si="7"/>
        <v>0</v>
      </c>
      <c r="AA9" s="183">
        <f t="shared" si="7"/>
        <v>0</v>
      </c>
      <c r="AB9" s="183">
        <f t="shared" si="7"/>
        <v>0</v>
      </c>
      <c r="AC9" s="183">
        <f t="shared" si="7"/>
        <v>6</v>
      </c>
      <c r="AD9" s="183">
        <f t="shared" si="7"/>
        <v>6</v>
      </c>
      <c r="AE9" s="183">
        <f t="shared" si="7"/>
        <v>6</v>
      </c>
      <c r="AF9" s="183">
        <f t="shared" si="7"/>
        <v>6</v>
      </c>
      <c r="AG9" s="183">
        <f t="shared" si="7"/>
        <v>0</v>
      </c>
      <c r="AH9" s="183">
        <f t="shared" si="7"/>
        <v>6</v>
      </c>
      <c r="AI9" s="183">
        <f t="shared" si="7"/>
        <v>0</v>
      </c>
      <c r="AJ9" s="190">
        <f t="shared" si="7"/>
        <v>0</v>
      </c>
      <c r="AK9" s="190">
        <f t="shared" si="7"/>
        <v>0</v>
      </c>
      <c r="AL9" s="190">
        <f t="shared" si="7"/>
        <v>0</v>
      </c>
      <c r="AM9" s="190">
        <f t="shared" si="7"/>
        <v>0</v>
      </c>
      <c r="AN9" s="190">
        <f t="shared" si="7"/>
        <v>0</v>
      </c>
      <c r="AO9" s="191"/>
      <c r="AP9" s="183"/>
      <c r="AQ9" s="183"/>
      <c r="AR9" s="183"/>
      <c r="AS9" s="183"/>
    </row>
    <row r="10" s="163" customFormat="1" ht="16" spans="1:45">
      <c r="A10" s="183" t="s">
        <v>32</v>
      </c>
      <c r="B10" s="184">
        <f t="shared" ref="B10:Q10" si="8">MAX(F79:F84)</f>
        <v>6</v>
      </c>
      <c r="C10" s="184">
        <f t="shared" si="8"/>
        <v>0</v>
      </c>
      <c r="D10" s="184">
        <f t="shared" si="8"/>
        <v>0</v>
      </c>
      <c r="E10" s="184">
        <f t="shared" si="8"/>
        <v>0</v>
      </c>
      <c r="F10" s="184">
        <f t="shared" si="8"/>
        <v>6</v>
      </c>
      <c r="G10" s="184">
        <f t="shared" si="8"/>
        <v>6</v>
      </c>
      <c r="H10" s="184">
        <f t="shared" si="8"/>
        <v>6</v>
      </c>
      <c r="I10" s="184">
        <f t="shared" si="8"/>
        <v>6</v>
      </c>
      <c r="J10" s="184">
        <f t="shared" si="8"/>
        <v>0</v>
      </c>
      <c r="K10" s="184">
        <f t="shared" si="8"/>
        <v>6</v>
      </c>
      <c r="L10" s="184">
        <f t="shared" si="8"/>
        <v>0</v>
      </c>
      <c r="M10" s="185">
        <f t="shared" si="8"/>
        <v>0</v>
      </c>
      <c r="N10" s="185">
        <f t="shared" si="8"/>
        <v>0</v>
      </c>
      <c r="O10" s="185">
        <f t="shared" si="8"/>
        <v>0</v>
      </c>
      <c r="P10" s="185">
        <f t="shared" si="8"/>
        <v>0</v>
      </c>
      <c r="Q10" s="186">
        <f t="shared" si="8"/>
        <v>0</v>
      </c>
      <c r="R10" s="187"/>
      <c r="S10" s="187"/>
      <c r="T10" s="187"/>
      <c r="U10" s="187"/>
      <c r="V10" s="188"/>
      <c r="W10" s="167"/>
      <c r="X10" s="189" t="s">
        <v>32</v>
      </c>
      <c r="Y10" s="183">
        <f t="shared" ref="Y10:AN10" si="9">MAX(AC79:AC84)</f>
        <v>6</v>
      </c>
      <c r="Z10" s="183">
        <f t="shared" si="9"/>
        <v>0</v>
      </c>
      <c r="AA10" s="183">
        <f t="shared" si="9"/>
        <v>0</v>
      </c>
      <c r="AB10" s="183">
        <f t="shared" si="9"/>
        <v>0</v>
      </c>
      <c r="AC10" s="183">
        <f t="shared" si="9"/>
        <v>6</v>
      </c>
      <c r="AD10" s="183">
        <f t="shared" si="9"/>
        <v>6</v>
      </c>
      <c r="AE10" s="183">
        <f t="shared" si="9"/>
        <v>6</v>
      </c>
      <c r="AF10" s="183">
        <f t="shared" si="9"/>
        <v>6</v>
      </c>
      <c r="AG10" s="183">
        <f t="shared" si="9"/>
        <v>0</v>
      </c>
      <c r="AH10" s="183">
        <f t="shared" si="9"/>
        <v>6</v>
      </c>
      <c r="AI10" s="183">
        <f t="shared" si="9"/>
        <v>0</v>
      </c>
      <c r="AJ10" s="190">
        <f t="shared" si="9"/>
        <v>0</v>
      </c>
      <c r="AK10" s="190">
        <f t="shared" si="9"/>
        <v>0</v>
      </c>
      <c r="AL10" s="190">
        <f t="shared" si="9"/>
        <v>0</v>
      </c>
      <c r="AM10" s="190">
        <f t="shared" si="9"/>
        <v>0</v>
      </c>
      <c r="AN10" s="190">
        <f t="shared" si="9"/>
        <v>0</v>
      </c>
      <c r="AO10" s="191"/>
      <c r="AP10" s="183"/>
      <c r="AQ10" s="183"/>
      <c r="AR10" s="183"/>
      <c r="AS10" s="183"/>
    </row>
    <row r="11" s="163" customFormat="1" ht="16" spans="1:45">
      <c r="A11" s="183" t="s">
        <v>33</v>
      </c>
      <c r="B11" s="184">
        <f t="shared" ref="B11:Q11" si="10">MAX(F88:F92)</f>
        <v>0</v>
      </c>
      <c r="C11" s="184">
        <f t="shared" si="10"/>
        <v>8</v>
      </c>
      <c r="D11" s="184">
        <f t="shared" si="10"/>
        <v>0</v>
      </c>
      <c r="E11" s="184">
        <f t="shared" si="10"/>
        <v>0</v>
      </c>
      <c r="F11" s="184">
        <f t="shared" si="10"/>
        <v>8</v>
      </c>
      <c r="G11" s="184">
        <f t="shared" si="10"/>
        <v>8</v>
      </c>
      <c r="H11" s="184">
        <f t="shared" si="10"/>
        <v>8</v>
      </c>
      <c r="I11" s="184">
        <f t="shared" si="10"/>
        <v>8</v>
      </c>
      <c r="J11" s="184">
        <f t="shared" si="10"/>
        <v>0</v>
      </c>
      <c r="K11" s="184">
        <f t="shared" si="10"/>
        <v>8</v>
      </c>
      <c r="L11" s="184">
        <f t="shared" si="10"/>
        <v>0</v>
      </c>
      <c r="M11" s="185">
        <f t="shared" si="10"/>
        <v>0</v>
      </c>
      <c r="N11" s="185">
        <f t="shared" si="10"/>
        <v>0</v>
      </c>
      <c r="O11" s="185">
        <f t="shared" si="10"/>
        <v>0</v>
      </c>
      <c r="P11" s="185">
        <f t="shared" si="10"/>
        <v>0</v>
      </c>
      <c r="Q11" s="186">
        <f t="shared" si="10"/>
        <v>0</v>
      </c>
      <c r="R11" s="187" t="s">
        <v>34</v>
      </c>
      <c r="S11" s="187"/>
      <c r="T11" s="187"/>
      <c r="U11" s="187"/>
      <c r="V11" s="188"/>
      <c r="W11" s="167"/>
      <c r="X11" s="189" t="s">
        <v>33</v>
      </c>
      <c r="Y11" s="183">
        <f t="shared" ref="Y11:AN11" si="11">MAX(AC88:AC92)</f>
        <v>0</v>
      </c>
      <c r="Z11" s="183">
        <f t="shared" si="11"/>
        <v>8</v>
      </c>
      <c r="AA11" s="183">
        <f t="shared" si="11"/>
        <v>0</v>
      </c>
      <c r="AB11" s="183">
        <f t="shared" si="11"/>
        <v>0</v>
      </c>
      <c r="AC11" s="183">
        <f t="shared" si="11"/>
        <v>8</v>
      </c>
      <c r="AD11" s="183">
        <f t="shared" si="11"/>
        <v>8</v>
      </c>
      <c r="AE11" s="183">
        <f t="shared" si="11"/>
        <v>8</v>
      </c>
      <c r="AF11" s="183">
        <f t="shared" si="11"/>
        <v>8</v>
      </c>
      <c r="AG11" s="183">
        <f t="shared" si="11"/>
        <v>0</v>
      </c>
      <c r="AH11" s="183">
        <f t="shared" si="11"/>
        <v>8</v>
      </c>
      <c r="AI11" s="183">
        <f t="shared" si="11"/>
        <v>0</v>
      </c>
      <c r="AJ11" s="190">
        <f t="shared" si="11"/>
        <v>0</v>
      </c>
      <c r="AK11" s="190">
        <f t="shared" si="11"/>
        <v>0</v>
      </c>
      <c r="AL11" s="190">
        <f t="shared" si="11"/>
        <v>0</v>
      </c>
      <c r="AM11" s="190">
        <f t="shared" si="11"/>
        <v>0</v>
      </c>
      <c r="AN11" s="190">
        <f t="shared" si="11"/>
        <v>0</v>
      </c>
      <c r="AO11" s="191" t="s">
        <v>34</v>
      </c>
      <c r="AP11" s="183"/>
      <c r="AQ11" s="183"/>
      <c r="AR11" s="183"/>
      <c r="AS11" s="183"/>
    </row>
    <row r="12" s="163" customFormat="1" ht="16" spans="1:45">
      <c r="A12" s="183" t="s">
        <v>35</v>
      </c>
      <c r="B12" s="184">
        <f t="shared" ref="B12:Q12" si="12">MAX(F96:F99)</f>
        <v>0</v>
      </c>
      <c r="C12" s="184">
        <f t="shared" si="12"/>
        <v>6</v>
      </c>
      <c r="D12" s="184">
        <f t="shared" si="12"/>
        <v>0</v>
      </c>
      <c r="E12" s="184">
        <f t="shared" si="12"/>
        <v>0</v>
      </c>
      <c r="F12" s="184">
        <f t="shared" si="12"/>
        <v>6</v>
      </c>
      <c r="G12" s="184">
        <f t="shared" si="12"/>
        <v>6</v>
      </c>
      <c r="H12" s="184">
        <f t="shared" si="12"/>
        <v>6</v>
      </c>
      <c r="I12" s="184">
        <f t="shared" si="12"/>
        <v>6</v>
      </c>
      <c r="J12" s="184">
        <f t="shared" si="12"/>
        <v>0</v>
      </c>
      <c r="K12" s="184">
        <f t="shared" si="12"/>
        <v>6</v>
      </c>
      <c r="L12" s="184">
        <f t="shared" si="12"/>
        <v>0</v>
      </c>
      <c r="M12" s="185">
        <f t="shared" si="12"/>
        <v>0</v>
      </c>
      <c r="N12" s="185">
        <f t="shared" si="12"/>
        <v>0</v>
      </c>
      <c r="O12" s="185">
        <f t="shared" si="12"/>
        <v>0</v>
      </c>
      <c r="P12" s="185">
        <f t="shared" si="12"/>
        <v>0</v>
      </c>
      <c r="Q12" s="186">
        <f t="shared" si="12"/>
        <v>0</v>
      </c>
      <c r="R12" s="187" t="s">
        <v>36</v>
      </c>
      <c r="S12" s="187"/>
      <c r="T12" s="187"/>
      <c r="U12" s="187"/>
      <c r="V12" s="188"/>
      <c r="W12" s="167"/>
      <c r="X12" s="189" t="s">
        <v>35</v>
      </c>
      <c r="Y12" s="183">
        <f t="shared" ref="Y12:AN12" si="13">MAX(AC96:AC99)</f>
        <v>0</v>
      </c>
      <c r="Z12" s="183">
        <f t="shared" si="13"/>
        <v>6</v>
      </c>
      <c r="AA12" s="183">
        <f t="shared" si="13"/>
        <v>0</v>
      </c>
      <c r="AB12" s="183">
        <f t="shared" si="13"/>
        <v>0</v>
      </c>
      <c r="AC12" s="183">
        <f t="shared" si="13"/>
        <v>6</v>
      </c>
      <c r="AD12" s="183">
        <f t="shared" si="13"/>
        <v>6</v>
      </c>
      <c r="AE12" s="183">
        <f t="shared" si="13"/>
        <v>6</v>
      </c>
      <c r="AF12" s="183">
        <f t="shared" si="13"/>
        <v>6</v>
      </c>
      <c r="AG12" s="183">
        <f t="shared" si="13"/>
        <v>0</v>
      </c>
      <c r="AH12" s="183">
        <f t="shared" si="13"/>
        <v>6</v>
      </c>
      <c r="AI12" s="183">
        <f t="shared" si="13"/>
        <v>0</v>
      </c>
      <c r="AJ12" s="190">
        <f t="shared" si="13"/>
        <v>0</v>
      </c>
      <c r="AK12" s="190">
        <f t="shared" si="13"/>
        <v>0</v>
      </c>
      <c r="AL12" s="190">
        <f t="shared" si="13"/>
        <v>0</v>
      </c>
      <c r="AM12" s="190">
        <f t="shared" si="13"/>
        <v>0</v>
      </c>
      <c r="AN12" s="190">
        <f t="shared" si="13"/>
        <v>0</v>
      </c>
      <c r="AO12" s="191" t="s">
        <v>36</v>
      </c>
      <c r="AP12" s="183"/>
      <c r="AQ12" s="183"/>
      <c r="AR12" s="183"/>
      <c r="AS12" s="183"/>
    </row>
    <row r="13" s="163" customFormat="1" ht="16" spans="1:45">
      <c r="A13" s="183" t="s">
        <v>37</v>
      </c>
      <c r="B13" s="184">
        <f t="shared" ref="B13:Q13" si="14">MAX(F103:F108)</f>
        <v>6</v>
      </c>
      <c r="C13" s="184">
        <f t="shared" si="14"/>
        <v>0</v>
      </c>
      <c r="D13" s="184">
        <f t="shared" si="14"/>
        <v>0</v>
      </c>
      <c r="E13" s="184">
        <f t="shared" si="14"/>
        <v>0</v>
      </c>
      <c r="F13" s="184">
        <f t="shared" si="14"/>
        <v>6</v>
      </c>
      <c r="G13" s="184">
        <f t="shared" si="14"/>
        <v>6</v>
      </c>
      <c r="H13" s="184">
        <f t="shared" si="14"/>
        <v>6</v>
      </c>
      <c r="I13" s="184">
        <f t="shared" si="14"/>
        <v>6</v>
      </c>
      <c r="J13" s="184">
        <f t="shared" si="14"/>
        <v>0</v>
      </c>
      <c r="K13" s="184">
        <f t="shared" si="14"/>
        <v>6</v>
      </c>
      <c r="L13" s="184">
        <f t="shared" si="14"/>
        <v>0</v>
      </c>
      <c r="M13" s="185">
        <f t="shared" si="14"/>
        <v>6</v>
      </c>
      <c r="N13" s="185">
        <f t="shared" si="14"/>
        <v>18</v>
      </c>
      <c r="O13" s="185">
        <f t="shared" si="14"/>
        <v>18</v>
      </c>
      <c r="P13" s="185">
        <f t="shared" si="14"/>
        <v>18</v>
      </c>
      <c r="Q13" s="186">
        <f t="shared" si="14"/>
        <v>18</v>
      </c>
      <c r="R13" s="187"/>
      <c r="S13" s="187"/>
      <c r="T13" s="187"/>
      <c r="U13" s="187"/>
      <c r="V13" s="188"/>
      <c r="W13" s="167"/>
      <c r="X13" s="189" t="s">
        <v>37</v>
      </c>
      <c r="Y13" s="183">
        <f t="shared" ref="Y13:AN13" si="15">MAX(AC103:AC108)</f>
        <v>6</v>
      </c>
      <c r="Z13" s="183">
        <f t="shared" si="15"/>
        <v>0</v>
      </c>
      <c r="AA13" s="183">
        <f t="shared" si="15"/>
        <v>0</v>
      </c>
      <c r="AB13" s="183">
        <f t="shared" si="15"/>
        <v>0</v>
      </c>
      <c r="AC13" s="183">
        <f t="shared" si="15"/>
        <v>6</v>
      </c>
      <c r="AD13" s="183">
        <f t="shared" si="15"/>
        <v>6</v>
      </c>
      <c r="AE13" s="183">
        <f t="shared" si="15"/>
        <v>6</v>
      </c>
      <c r="AF13" s="183">
        <f t="shared" si="15"/>
        <v>6</v>
      </c>
      <c r="AG13" s="183">
        <f t="shared" si="15"/>
        <v>0</v>
      </c>
      <c r="AH13" s="183">
        <f t="shared" si="15"/>
        <v>6</v>
      </c>
      <c r="AI13" s="183">
        <f t="shared" si="15"/>
        <v>0</v>
      </c>
      <c r="AJ13" s="190">
        <f t="shared" si="15"/>
        <v>6</v>
      </c>
      <c r="AK13" s="190">
        <f t="shared" si="15"/>
        <v>18</v>
      </c>
      <c r="AL13" s="190">
        <f t="shared" si="15"/>
        <v>18</v>
      </c>
      <c r="AM13" s="190">
        <f t="shared" si="15"/>
        <v>18</v>
      </c>
      <c r="AN13" s="190">
        <f t="shared" si="15"/>
        <v>18</v>
      </c>
      <c r="AO13" s="191"/>
      <c r="AP13" s="183"/>
      <c r="AQ13" s="183"/>
      <c r="AR13" s="183"/>
      <c r="AS13" s="183"/>
    </row>
    <row r="14" s="163" customFormat="1" ht="16" spans="1:45">
      <c r="A14" s="183" t="s">
        <v>38</v>
      </c>
      <c r="B14" s="184">
        <f t="shared" ref="B14:Q14" si="16">MAX(F112:F116)</f>
        <v>6</v>
      </c>
      <c r="C14" s="184">
        <f t="shared" si="16"/>
        <v>0</v>
      </c>
      <c r="D14" s="184">
        <f t="shared" si="16"/>
        <v>0</v>
      </c>
      <c r="E14" s="184">
        <f t="shared" si="16"/>
        <v>0</v>
      </c>
      <c r="F14" s="184">
        <f t="shared" si="16"/>
        <v>6</v>
      </c>
      <c r="G14" s="184">
        <f t="shared" si="16"/>
        <v>6</v>
      </c>
      <c r="H14" s="184">
        <f t="shared" si="16"/>
        <v>6</v>
      </c>
      <c r="I14" s="184">
        <f t="shared" si="16"/>
        <v>6</v>
      </c>
      <c r="J14" s="184">
        <f t="shared" si="16"/>
        <v>0</v>
      </c>
      <c r="K14" s="184">
        <f t="shared" si="16"/>
        <v>6</v>
      </c>
      <c r="L14" s="184">
        <f t="shared" si="16"/>
        <v>0</v>
      </c>
      <c r="M14" s="185">
        <f t="shared" si="16"/>
        <v>6</v>
      </c>
      <c r="N14" s="185">
        <f t="shared" si="16"/>
        <v>18</v>
      </c>
      <c r="O14" s="185">
        <f t="shared" si="16"/>
        <v>18</v>
      </c>
      <c r="P14" s="185">
        <f t="shared" si="16"/>
        <v>18</v>
      </c>
      <c r="Q14" s="186">
        <f t="shared" si="16"/>
        <v>18</v>
      </c>
      <c r="R14" s="187"/>
      <c r="S14" s="187"/>
      <c r="T14" s="187"/>
      <c r="U14" s="187"/>
      <c r="V14" s="188"/>
      <c r="W14" s="167"/>
      <c r="X14" s="189" t="s">
        <v>38</v>
      </c>
      <c r="Y14" s="183">
        <f t="shared" ref="Y14:AN14" si="17">MAX(AC112:AC116)</f>
        <v>6</v>
      </c>
      <c r="Z14" s="183">
        <f t="shared" si="17"/>
        <v>0</v>
      </c>
      <c r="AA14" s="183">
        <f t="shared" si="17"/>
        <v>0</v>
      </c>
      <c r="AB14" s="183">
        <f t="shared" si="17"/>
        <v>0</v>
      </c>
      <c r="AC14" s="183">
        <f t="shared" si="17"/>
        <v>6</v>
      </c>
      <c r="AD14" s="183">
        <f t="shared" si="17"/>
        <v>6</v>
      </c>
      <c r="AE14" s="183">
        <f t="shared" si="17"/>
        <v>6</v>
      </c>
      <c r="AF14" s="183">
        <f t="shared" si="17"/>
        <v>6</v>
      </c>
      <c r="AG14" s="183">
        <f t="shared" si="17"/>
        <v>0</v>
      </c>
      <c r="AH14" s="183">
        <f t="shared" si="17"/>
        <v>6</v>
      </c>
      <c r="AI14" s="183">
        <f t="shared" si="17"/>
        <v>0</v>
      </c>
      <c r="AJ14" s="190">
        <f t="shared" si="17"/>
        <v>6</v>
      </c>
      <c r="AK14" s="190">
        <f t="shared" si="17"/>
        <v>18</v>
      </c>
      <c r="AL14" s="190">
        <f t="shared" si="17"/>
        <v>18</v>
      </c>
      <c r="AM14" s="190">
        <f t="shared" si="17"/>
        <v>18</v>
      </c>
      <c r="AN14" s="190">
        <f t="shared" si="17"/>
        <v>18</v>
      </c>
      <c r="AO14" s="191"/>
      <c r="AP14" s="183"/>
      <c r="AQ14" s="183"/>
      <c r="AR14" s="183"/>
      <c r="AS14" s="183"/>
    </row>
    <row r="15" s="163" customFormat="1" ht="16" spans="1:45">
      <c r="A15" s="183" t="s">
        <v>39</v>
      </c>
      <c r="B15" s="184">
        <f t="shared" ref="B15:Q15" si="18">MAX(F120:F125)</f>
        <v>6</v>
      </c>
      <c r="C15" s="184">
        <f t="shared" si="18"/>
        <v>0</v>
      </c>
      <c r="D15" s="184">
        <f t="shared" si="18"/>
        <v>0</v>
      </c>
      <c r="E15" s="184">
        <f t="shared" si="18"/>
        <v>0</v>
      </c>
      <c r="F15" s="184">
        <f t="shared" si="18"/>
        <v>6</v>
      </c>
      <c r="G15" s="184">
        <f t="shared" si="18"/>
        <v>6</v>
      </c>
      <c r="H15" s="184">
        <f t="shared" si="18"/>
        <v>6</v>
      </c>
      <c r="I15" s="184">
        <f t="shared" si="18"/>
        <v>6</v>
      </c>
      <c r="J15" s="184">
        <f t="shared" si="18"/>
        <v>0</v>
      </c>
      <c r="K15" s="184">
        <f t="shared" si="18"/>
        <v>6</v>
      </c>
      <c r="L15" s="184">
        <f t="shared" si="18"/>
        <v>0</v>
      </c>
      <c r="M15" s="185">
        <f t="shared" si="18"/>
        <v>6</v>
      </c>
      <c r="N15" s="185">
        <f t="shared" si="18"/>
        <v>18</v>
      </c>
      <c r="O15" s="185">
        <f t="shared" si="18"/>
        <v>18</v>
      </c>
      <c r="P15" s="185">
        <f t="shared" si="18"/>
        <v>18</v>
      </c>
      <c r="Q15" s="186">
        <f t="shared" si="18"/>
        <v>18</v>
      </c>
      <c r="R15" s="187"/>
      <c r="S15" s="187"/>
      <c r="T15" s="187"/>
      <c r="U15" s="187"/>
      <c r="V15" s="188"/>
      <c r="W15" s="167"/>
      <c r="X15" s="189" t="s">
        <v>39</v>
      </c>
      <c r="Y15" s="183">
        <f t="shared" ref="Y15:AN15" si="19">MAX(AC120:AC125)</f>
        <v>6</v>
      </c>
      <c r="Z15" s="183">
        <f t="shared" si="19"/>
        <v>0</v>
      </c>
      <c r="AA15" s="183">
        <f t="shared" si="19"/>
        <v>0</v>
      </c>
      <c r="AB15" s="183">
        <f t="shared" si="19"/>
        <v>0</v>
      </c>
      <c r="AC15" s="183">
        <f t="shared" si="19"/>
        <v>6</v>
      </c>
      <c r="AD15" s="183">
        <f t="shared" si="19"/>
        <v>6</v>
      </c>
      <c r="AE15" s="183">
        <f t="shared" si="19"/>
        <v>6</v>
      </c>
      <c r="AF15" s="183">
        <f t="shared" si="19"/>
        <v>6</v>
      </c>
      <c r="AG15" s="183">
        <f t="shared" si="19"/>
        <v>0</v>
      </c>
      <c r="AH15" s="183">
        <f t="shared" si="19"/>
        <v>6</v>
      </c>
      <c r="AI15" s="183">
        <f t="shared" si="19"/>
        <v>0</v>
      </c>
      <c r="AJ15" s="190">
        <f t="shared" si="19"/>
        <v>6</v>
      </c>
      <c r="AK15" s="190">
        <f t="shared" si="19"/>
        <v>18</v>
      </c>
      <c r="AL15" s="190">
        <f t="shared" si="19"/>
        <v>18</v>
      </c>
      <c r="AM15" s="190">
        <f t="shared" si="19"/>
        <v>18</v>
      </c>
      <c r="AN15" s="190">
        <f t="shared" si="19"/>
        <v>18</v>
      </c>
      <c r="AO15" s="191"/>
      <c r="AP15" s="183"/>
      <c r="AQ15" s="183"/>
      <c r="AR15" s="183"/>
      <c r="AS15" s="183"/>
    </row>
    <row r="16" s="163" customFormat="1" ht="16" spans="1:45">
      <c r="A16" s="183" t="s">
        <v>40</v>
      </c>
      <c r="B16" s="184">
        <f t="shared" ref="B16:Q16" si="20">MAX(F129:F129)</f>
        <v>1</v>
      </c>
      <c r="C16" s="184">
        <f t="shared" si="20"/>
        <v>0</v>
      </c>
      <c r="D16" s="184">
        <f t="shared" si="20"/>
        <v>0</v>
      </c>
      <c r="E16" s="184">
        <f t="shared" si="20"/>
        <v>0</v>
      </c>
      <c r="F16" s="184">
        <f t="shared" si="20"/>
        <v>0</v>
      </c>
      <c r="G16" s="184">
        <f t="shared" si="20"/>
        <v>0</v>
      </c>
      <c r="H16" s="184">
        <f t="shared" si="20"/>
        <v>0</v>
      </c>
      <c r="I16" s="184">
        <f t="shared" si="20"/>
        <v>0</v>
      </c>
      <c r="J16" s="184">
        <f t="shared" si="20"/>
        <v>0</v>
      </c>
      <c r="K16" s="184">
        <f t="shared" si="20"/>
        <v>0</v>
      </c>
      <c r="L16" s="184">
        <f t="shared" si="20"/>
        <v>0</v>
      </c>
      <c r="M16" s="185">
        <f t="shared" si="20"/>
        <v>0</v>
      </c>
      <c r="N16" s="185">
        <f t="shared" si="20"/>
        <v>0</v>
      </c>
      <c r="O16" s="185">
        <f t="shared" si="20"/>
        <v>0</v>
      </c>
      <c r="P16" s="185">
        <f t="shared" si="20"/>
        <v>0</v>
      </c>
      <c r="Q16" s="186">
        <f t="shared" si="20"/>
        <v>0</v>
      </c>
      <c r="R16" s="187" t="s">
        <v>41</v>
      </c>
      <c r="S16" s="187"/>
      <c r="T16" s="187"/>
      <c r="U16" s="187"/>
      <c r="V16" s="188"/>
      <c r="W16" s="167"/>
      <c r="X16" s="189" t="s">
        <v>42</v>
      </c>
      <c r="Y16" s="183">
        <f t="shared" ref="Y16:AN16" si="21">MAX(AC129:AC138)</f>
        <v>12</v>
      </c>
      <c r="Z16" s="183">
        <f t="shared" si="21"/>
        <v>0</v>
      </c>
      <c r="AA16" s="183">
        <f t="shared" si="21"/>
        <v>3</v>
      </c>
      <c r="AB16" s="183">
        <f t="shared" si="21"/>
        <v>0</v>
      </c>
      <c r="AC16" s="183">
        <f t="shared" si="21"/>
        <v>12</v>
      </c>
      <c r="AD16" s="183">
        <f t="shared" si="21"/>
        <v>12</v>
      </c>
      <c r="AE16" s="183">
        <f t="shared" si="21"/>
        <v>12</v>
      </c>
      <c r="AF16" s="183">
        <f t="shared" si="21"/>
        <v>12</v>
      </c>
      <c r="AG16" s="183">
        <f t="shared" si="21"/>
        <v>0</v>
      </c>
      <c r="AH16" s="183">
        <f t="shared" si="21"/>
        <v>12</v>
      </c>
      <c r="AI16" s="183">
        <f t="shared" si="21"/>
        <v>0</v>
      </c>
      <c r="AJ16" s="190">
        <f t="shared" si="21"/>
        <v>0</v>
      </c>
      <c r="AK16" s="190">
        <f t="shared" si="21"/>
        <v>0</v>
      </c>
      <c r="AL16" s="190">
        <f t="shared" si="21"/>
        <v>0</v>
      </c>
      <c r="AM16" s="190">
        <f t="shared" si="21"/>
        <v>0</v>
      </c>
      <c r="AN16" s="190">
        <f t="shared" si="21"/>
        <v>0</v>
      </c>
      <c r="AO16" s="191"/>
      <c r="AP16" s="183"/>
      <c r="AQ16" s="183"/>
      <c r="AR16" s="183"/>
      <c r="AS16" s="183"/>
    </row>
    <row r="17" s="163" customFormat="1" ht="16" spans="1:45">
      <c r="A17" s="183" t="s">
        <v>43</v>
      </c>
      <c r="B17" s="184">
        <f t="shared" ref="B17:Q17" si="22">MAX(F132:F132)</f>
        <v>25</v>
      </c>
      <c r="C17" s="184">
        <f t="shared" si="22"/>
        <v>0</v>
      </c>
      <c r="D17" s="184">
        <f t="shared" si="22"/>
        <v>0</v>
      </c>
      <c r="E17" s="184">
        <f t="shared" si="22"/>
        <v>0</v>
      </c>
      <c r="F17" s="184">
        <f t="shared" si="22"/>
        <v>0</v>
      </c>
      <c r="G17" s="184">
        <f t="shared" si="22"/>
        <v>0</v>
      </c>
      <c r="H17" s="184">
        <f t="shared" si="22"/>
        <v>0</v>
      </c>
      <c r="I17" s="184">
        <f t="shared" si="22"/>
        <v>0</v>
      </c>
      <c r="J17" s="184">
        <f t="shared" si="22"/>
        <v>0</v>
      </c>
      <c r="K17" s="184">
        <f t="shared" si="22"/>
        <v>0</v>
      </c>
      <c r="L17" s="184">
        <f t="shared" si="22"/>
        <v>0</v>
      </c>
      <c r="M17" s="185">
        <f t="shared" si="22"/>
        <v>0</v>
      </c>
      <c r="N17" s="185">
        <f t="shared" si="22"/>
        <v>0</v>
      </c>
      <c r="O17" s="185">
        <f t="shared" si="22"/>
        <v>0</v>
      </c>
      <c r="P17" s="185">
        <f t="shared" si="22"/>
        <v>0</v>
      </c>
      <c r="Q17" s="186">
        <f t="shared" si="22"/>
        <v>0</v>
      </c>
      <c r="R17" s="187" t="s">
        <v>44</v>
      </c>
      <c r="S17" s="187"/>
      <c r="T17" s="187"/>
      <c r="U17" s="187"/>
      <c r="V17" s="188"/>
      <c r="W17" s="167"/>
      <c r="X17" s="189" t="s">
        <v>40</v>
      </c>
      <c r="Y17" s="183">
        <f t="shared" ref="Y17:AN17" si="23">MAX(AC142:AC142)</f>
        <v>1</v>
      </c>
      <c r="Z17" s="183">
        <f t="shared" si="23"/>
        <v>0</v>
      </c>
      <c r="AA17" s="183">
        <f t="shared" si="23"/>
        <v>0</v>
      </c>
      <c r="AB17" s="183">
        <f t="shared" si="23"/>
        <v>0</v>
      </c>
      <c r="AC17" s="183">
        <f t="shared" si="23"/>
        <v>0</v>
      </c>
      <c r="AD17" s="183">
        <f t="shared" si="23"/>
        <v>0</v>
      </c>
      <c r="AE17" s="183">
        <f t="shared" si="23"/>
        <v>0</v>
      </c>
      <c r="AF17" s="183">
        <f t="shared" si="23"/>
        <v>0</v>
      </c>
      <c r="AG17" s="183">
        <f t="shared" si="23"/>
        <v>0</v>
      </c>
      <c r="AH17" s="183">
        <f t="shared" si="23"/>
        <v>0</v>
      </c>
      <c r="AI17" s="183">
        <f t="shared" si="23"/>
        <v>0</v>
      </c>
      <c r="AJ17" s="190">
        <f t="shared" si="23"/>
        <v>0</v>
      </c>
      <c r="AK17" s="190">
        <f t="shared" si="23"/>
        <v>0</v>
      </c>
      <c r="AL17" s="190">
        <f t="shared" si="23"/>
        <v>0</v>
      </c>
      <c r="AM17" s="190">
        <f t="shared" si="23"/>
        <v>0</v>
      </c>
      <c r="AN17" s="190">
        <f t="shared" si="23"/>
        <v>0</v>
      </c>
      <c r="AO17" s="191" t="s">
        <v>41</v>
      </c>
      <c r="AP17" s="183"/>
      <c r="AQ17" s="183"/>
      <c r="AR17" s="183"/>
      <c r="AS17" s="183"/>
    </row>
    <row r="18" s="163" customFormat="1" ht="16" spans="1:45">
      <c r="A18" s="183" t="s">
        <v>45</v>
      </c>
      <c r="B18" s="184">
        <f>3</f>
        <v>3</v>
      </c>
      <c r="C18" s="184">
        <v>0</v>
      </c>
      <c r="D18" s="184">
        <v>0</v>
      </c>
      <c r="E18" s="184">
        <v>0</v>
      </c>
      <c r="F18" s="184">
        <v>0</v>
      </c>
      <c r="G18" s="184">
        <v>0</v>
      </c>
      <c r="H18" s="184">
        <v>0</v>
      </c>
      <c r="I18" s="184">
        <v>0</v>
      </c>
      <c r="J18" s="184">
        <v>0</v>
      </c>
      <c r="K18" s="184">
        <v>0</v>
      </c>
      <c r="L18" s="184">
        <v>0</v>
      </c>
      <c r="M18" s="185">
        <v>0</v>
      </c>
      <c r="N18" s="185">
        <v>0</v>
      </c>
      <c r="O18" s="185">
        <v>0</v>
      </c>
      <c r="P18" s="185">
        <v>0</v>
      </c>
      <c r="Q18" s="186">
        <v>0</v>
      </c>
      <c r="R18" s="187" t="s">
        <v>46</v>
      </c>
      <c r="S18" s="187"/>
      <c r="T18" s="187"/>
      <c r="U18" s="187"/>
      <c r="V18" s="188"/>
      <c r="W18" s="167"/>
      <c r="X18" s="192" t="s">
        <v>43</v>
      </c>
      <c r="Y18" s="183">
        <f t="shared" ref="Y18:AN18" si="24">MAX(AC145:AC145)</f>
        <v>25</v>
      </c>
      <c r="Z18" s="193">
        <f t="shared" si="24"/>
        <v>0</v>
      </c>
      <c r="AA18" s="194">
        <f t="shared" si="24"/>
        <v>0</v>
      </c>
      <c r="AB18" s="194">
        <f t="shared" si="24"/>
        <v>0</v>
      </c>
      <c r="AC18" s="193">
        <f t="shared" si="24"/>
        <v>0</v>
      </c>
      <c r="AD18" s="193">
        <f t="shared" si="24"/>
        <v>0</v>
      </c>
      <c r="AE18" s="193">
        <f t="shared" si="24"/>
        <v>0</v>
      </c>
      <c r="AF18" s="193">
        <f t="shared" si="24"/>
        <v>0</v>
      </c>
      <c r="AG18" s="193">
        <f t="shared" si="24"/>
        <v>0</v>
      </c>
      <c r="AH18" s="193">
        <f t="shared" si="24"/>
        <v>0</v>
      </c>
      <c r="AI18" s="193">
        <f t="shared" si="24"/>
        <v>0</v>
      </c>
      <c r="AJ18" s="193">
        <f t="shared" si="24"/>
        <v>0</v>
      </c>
      <c r="AK18" s="193">
        <f t="shared" si="24"/>
        <v>0</v>
      </c>
      <c r="AL18" s="193">
        <f t="shared" si="24"/>
        <v>0</v>
      </c>
      <c r="AM18" s="193">
        <f t="shared" si="24"/>
        <v>0</v>
      </c>
      <c r="AN18" s="193">
        <f t="shared" si="24"/>
        <v>0</v>
      </c>
      <c r="AO18" s="191" t="s">
        <v>44</v>
      </c>
      <c r="AP18" s="183"/>
      <c r="AQ18" s="183"/>
      <c r="AR18" s="183"/>
      <c r="AS18" s="183"/>
    </row>
    <row r="19" s="163" customFormat="1" ht="31" customHeight="1" spans="1:45">
      <c r="A19" s="195" t="s">
        <v>47</v>
      </c>
      <c r="B19" s="196">
        <f>SUM(B6:B18)</f>
        <v>91</v>
      </c>
      <c r="C19" s="196">
        <f>SUM(C6:C17)</f>
        <v>14</v>
      </c>
      <c r="D19" s="196">
        <f>MAX(D6:D17)</f>
        <v>6</v>
      </c>
      <c r="E19" s="196">
        <f>MAX(E6:E17)</f>
        <v>3</v>
      </c>
      <c r="F19" s="196">
        <f>SUM(F6:F17)</f>
        <v>76</v>
      </c>
      <c r="G19" s="196">
        <f>SUM(G6:G17)</f>
        <v>76</v>
      </c>
      <c r="H19" s="196">
        <f>SUM(H6:H17)</f>
        <v>76</v>
      </c>
      <c r="I19" s="196">
        <f>SUM(I6:I17)</f>
        <v>88</v>
      </c>
      <c r="J19" s="196">
        <f>MAX(J6:J17)</f>
        <v>6</v>
      </c>
      <c r="K19" s="196">
        <f>SUM(K6:K17)</f>
        <v>88</v>
      </c>
      <c r="L19" s="196">
        <f>MAX(L6:L17)</f>
        <v>6</v>
      </c>
      <c r="M19" s="196">
        <f>SUM(M6:M17)</f>
        <v>36</v>
      </c>
      <c r="N19" s="196">
        <f>SUM(N6:N17)</f>
        <v>108</v>
      </c>
      <c r="O19" s="196">
        <f>SUM(O6:O17)</f>
        <v>108</v>
      </c>
      <c r="P19" s="196">
        <f>SUM(P6:P17)</f>
        <v>108</v>
      </c>
      <c r="Q19" s="197">
        <f>SUM(Q6:Q17)</f>
        <v>108</v>
      </c>
      <c r="R19" s="187" t="s">
        <v>48</v>
      </c>
      <c r="S19" s="187"/>
      <c r="T19" s="187"/>
      <c r="U19" s="187"/>
      <c r="V19" s="188"/>
      <c r="W19" s="167"/>
      <c r="X19" s="198" t="s">
        <v>45</v>
      </c>
      <c r="Y19" s="183">
        <f>3</f>
        <v>3</v>
      </c>
      <c r="Z19" s="183">
        <v>0</v>
      </c>
      <c r="AA19" s="183">
        <v>0</v>
      </c>
      <c r="AB19" s="183">
        <v>0</v>
      </c>
      <c r="AC19" s="183">
        <v>0</v>
      </c>
      <c r="AD19" s="183">
        <v>0</v>
      </c>
      <c r="AE19" s="183">
        <v>0</v>
      </c>
      <c r="AF19" s="183">
        <v>0</v>
      </c>
      <c r="AG19" s="183">
        <v>0</v>
      </c>
      <c r="AH19" s="183">
        <v>0</v>
      </c>
      <c r="AI19" s="183">
        <v>0</v>
      </c>
      <c r="AJ19" s="183">
        <v>0</v>
      </c>
      <c r="AK19" s="183">
        <v>0</v>
      </c>
      <c r="AL19" s="183">
        <v>0</v>
      </c>
      <c r="AM19" s="183">
        <v>0</v>
      </c>
      <c r="AN19" s="199">
        <v>0</v>
      </c>
      <c r="AO19" s="183" t="s">
        <v>46</v>
      </c>
      <c r="AP19" s="183"/>
      <c r="AQ19" s="183"/>
      <c r="AR19" s="183"/>
      <c r="AS19" s="183"/>
    </row>
    <row r="20" s="162" customFormat="1" ht="18" spans="1:45">
      <c r="A20" s="200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0"/>
      <c r="S20" s="200"/>
      <c r="T20" s="200"/>
      <c r="U20" s="200"/>
      <c r="V20" s="203"/>
      <c r="W20" s="167"/>
      <c r="X20" s="204" t="s">
        <v>47</v>
      </c>
      <c r="Y20" s="196">
        <f>SUM(Y6:Y19)</f>
        <v>103</v>
      </c>
      <c r="Z20" s="196">
        <f>SUM(Z6:Z18)</f>
        <v>14</v>
      </c>
      <c r="AA20" s="196">
        <f>MAX(AA6:AA18)</f>
        <v>6</v>
      </c>
      <c r="AB20" s="196">
        <f>MAX(AB6:AB18)</f>
        <v>3</v>
      </c>
      <c r="AC20" s="196">
        <f>SUM(AC6:AC18)</f>
        <v>88</v>
      </c>
      <c r="AD20" s="196">
        <f>SUM(AD6:AD18)</f>
        <v>88</v>
      </c>
      <c r="AE20" s="196">
        <f>SUM(AE6:AE18)</f>
        <v>88</v>
      </c>
      <c r="AF20" s="196">
        <f>SUM(AF6:AF18)</f>
        <v>100</v>
      </c>
      <c r="AG20" s="196">
        <f>MAX(AG6:AG18)</f>
        <v>6</v>
      </c>
      <c r="AH20" s="196">
        <f>SUM(AH6:AH18)</f>
        <v>100</v>
      </c>
      <c r="AI20" s="196">
        <f>MAX(AI6:AI18)</f>
        <v>6</v>
      </c>
      <c r="AJ20" s="196">
        <f>SUM(AJ6:AJ18)</f>
        <v>36</v>
      </c>
      <c r="AK20" s="196">
        <f>SUM(AK6:AK18)</f>
        <v>108</v>
      </c>
      <c r="AL20" s="196">
        <f>SUM(AL6:AL18)</f>
        <v>108</v>
      </c>
      <c r="AM20" s="196">
        <f>SUM(AM6:AM18)</f>
        <v>108</v>
      </c>
      <c r="AN20" s="197">
        <f>SUM(AN6:AN18)</f>
        <v>108</v>
      </c>
      <c r="AO20" s="183" t="s">
        <v>48</v>
      </c>
      <c r="AP20" s="183"/>
      <c r="AQ20" s="183"/>
      <c r="AR20" s="183"/>
      <c r="AS20" s="183"/>
    </row>
    <row r="21" s="161" customFormat="1" ht="17.6" spans="1:45">
      <c r="A21" s="200"/>
      <c r="B21" s="205"/>
      <c r="C21" s="205"/>
      <c r="D21" s="205"/>
      <c r="E21" s="205"/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W21" s="167"/>
    </row>
    <row r="22" s="161" customFormat="1" ht="17.6" spans="1:45">
      <c r="A22" s="206" t="s">
        <v>49</v>
      </c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7"/>
      <c r="W22" s="167"/>
      <c r="X22" s="208" t="s">
        <v>49</v>
      </c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10"/>
    </row>
    <row r="23" s="164" customFormat="1" spans="1:45">
      <c r="A23" s="211" t="s">
        <v>50</v>
      </c>
      <c r="B23" s="212"/>
      <c r="C23" s="212"/>
      <c r="D23" s="212"/>
      <c r="E23" s="212"/>
      <c r="F23" s="213" t="s">
        <v>4</v>
      </c>
      <c r="G23" s="213"/>
      <c r="H23" s="214" t="s">
        <v>5</v>
      </c>
      <c r="I23" s="215"/>
      <c r="J23" s="216" t="s">
        <v>6</v>
      </c>
      <c r="K23" s="216"/>
      <c r="L23" s="216"/>
      <c r="M23" s="217" t="s">
        <v>7</v>
      </c>
      <c r="N23" s="217"/>
      <c r="O23" s="217"/>
      <c r="P23" s="217"/>
      <c r="Q23" s="218" t="s">
        <v>51</v>
      </c>
      <c r="R23" s="218"/>
      <c r="S23" s="218"/>
      <c r="T23" s="218"/>
      <c r="U23" s="218"/>
      <c r="V23" s="219" t="s">
        <v>52</v>
      </c>
      <c r="W23" s="167"/>
      <c r="X23" s="220" t="s">
        <v>50</v>
      </c>
      <c r="Y23" s="221"/>
      <c r="Z23" s="221"/>
      <c r="AA23" s="221"/>
      <c r="AB23" s="221"/>
      <c r="AC23" s="222" t="s">
        <v>4</v>
      </c>
      <c r="AD23" s="213"/>
      <c r="AE23" s="214" t="s">
        <v>5</v>
      </c>
      <c r="AF23" s="215"/>
      <c r="AG23" s="216" t="s">
        <v>6</v>
      </c>
      <c r="AH23" s="216"/>
      <c r="AI23" s="216"/>
      <c r="AJ23" s="217" t="s">
        <v>7</v>
      </c>
      <c r="AK23" s="217"/>
      <c r="AL23" s="217"/>
      <c r="AM23" s="217"/>
      <c r="AN23" s="218" t="s">
        <v>51</v>
      </c>
      <c r="AO23" s="218"/>
      <c r="AP23" s="218"/>
      <c r="AQ23" s="218"/>
      <c r="AR23" s="223"/>
      <c r="AS23" s="224" t="s">
        <v>52</v>
      </c>
    </row>
    <row r="24" s="164" customFormat="1" ht="31" spans="1:45">
      <c r="A24" s="62" t="s">
        <v>53</v>
      </c>
      <c r="B24" s="62" t="s">
        <v>54</v>
      </c>
      <c r="C24" s="62" t="s">
        <v>55</v>
      </c>
      <c r="D24" s="78" t="s">
        <v>56</v>
      </c>
      <c r="E24" s="78"/>
      <c r="F24" s="225" t="s">
        <v>10</v>
      </c>
      <c r="G24" s="226" t="s">
        <v>11</v>
      </c>
      <c r="H24" s="227" t="s">
        <v>57</v>
      </c>
      <c r="I24" s="228" t="s">
        <v>13</v>
      </c>
      <c r="J24" s="229" t="s">
        <v>14</v>
      </c>
      <c r="K24" s="229" t="s">
        <v>15</v>
      </c>
      <c r="L24" s="229" t="s">
        <v>58</v>
      </c>
      <c r="M24" s="230" t="s">
        <v>59</v>
      </c>
      <c r="N24" s="230" t="s">
        <v>60</v>
      </c>
      <c r="O24" s="230" t="s">
        <v>61</v>
      </c>
      <c r="P24" s="230" t="s">
        <v>62</v>
      </c>
      <c r="Q24" s="231" t="s">
        <v>21</v>
      </c>
      <c r="R24" s="231" t="s">
        <v>22</v>
      </c>
      <c r="S24" s="231" t="s">
        <v>63</v>
      </c>
      <c r="T24" s="231" t="s">
        <v>64</v>
      </c>
      <c r="U24" s="231" t="s">
        <v>65</v>
      </c>
      <c r="V24" s="219"/>
      <c r="W24" s="167"/>
      <c r="X24" s="151" t="s">
        <v>53</v>
      </c>
      <c r="Y24" s="62" t="s">
        <v>54</v>
      </c>
      <c r="Z24" s="62" t="s">
        <v>55</v>
      </c>
      <c r="AA24" s="78" t="s">
        <v>56</v>
      </c>
      <c r="AB24" s="78"/>
      <c r="AC24" s="225" t="s">
        <v>10</v>
      </c>
      <c r="AD24" s="226" t="s">
        <v>11</v>
      </c>
      <c r="AE24" s="228" t="s">
        <v>57</v>
      </c>
      <c r="AF24" s="228" t="s">
        <v>13</v>
      </c>
      <c r="AG24" s="229" t="s">
        <v>14</v>
      </c>
      <c r="AH24" s="229" t="s">
        <v>15</v>
      </c>
      <c r="AI24" s="229" t="s">
        <v>58</v>
      </c>
      <c r="AJ24" s="230" t="s">
        <v>59</v>
      </c>
      <c r="AK24" s="230" t="s">
        <v>60</v>
      </c>
      <c r="AL24" s="230" t="s">
        <v>61</v>
      </c>
      <c r="AM24" s="230" t="s">
        <v>62</v>
      </c>
      <c r="AN24" s="231" t="s">
        <v>21</v>
      </c>
      <c r="AO24" s="231" t="s">
        <v>22</v>
      </c>
      <c r="AP24" s="231" t="s">
        <v>63</v>
      </c>
      <c r="AQ24" s="231" t="s">
        <v>64</v>
      </c>
      <c r="AR24" s="232" t="s">
        <v>65</v>
      </c>
      <c r="AS24" s="224"/>
    </row>
    <row r="25" s="161" customFormat="1" spans="1:45">
      <c r="A25" s="233" t="s">
        <v>26</v>
      </c>
      <c r="B25" s="65">
        <v>1</v>
      </c>
      <c r="C25" s="65" t="s">
        <v>66</v>
      </c>
      <c r="D25" s="14" t="s">
        <v>67</v>
      </c>
      <c r="E25" s="14"/>
      <c r="F25" s="234">
        <v>14</v>
      </c>
      <c r="G25" s="235"/>
      <c r="H25" s="236"/>
      <c r="I25" s="237"/>
      <c r="J25" s="238"/>
      <c r="K25" s="238"/>
      <c r="L25" s="238"/>
      <c r="M25" s="239"/>
      <c r="N25" s="239"/>
      <c r="O25" s="239"/>
      <c r="P25" s="239"/>
      <c r="Q25" s="240"/>
      <c r="R25" s="240"/>
      <c r="S25" s="240"/>
      <c r="T25" s="240"/>
      <c r="U25" s="240"/>
      <c r="V25" s="161"/>
      <c r="W25" s="167"/>
      <c r="X25" s="157" t="s">
        <v>26</v>
      </c>
      <c r="Y25" s="65">
        <v>1</v>
      </c>
      <c r="Z25" s="65" t="s">
        <v>66</v>
      </c>
      <c r="AA25" s="14" t="s">
        <v>67</v>
      </c>
      <c r="AB25" s="14"/>
      <c r="AC25" s="241">
        <v>14</v>
      </c>
      <c r="AD25" s="242"/>
      <c r="AE25" s="243"/>
      <c r="AF25" s="243"/>
      <c r="AG25" s="244"/>
      <c r="AH25" s="244"/>
      <c r="AI25" s="244"/>
      <c r="AJ25" s="245"/>
      <c r="AK25" s="245"/>
      <c r="AL25" s="245"/>
      <c r="AM25" s="245"/>
      <c r="AN25" s="246"/>
      <c r="AO25" s="246"/>
      <c r="AP25" s="246"/>
      <c r="AQ25" s="246"/>
      <c r="AR25" s="247"/>
      <c r="AS25" s="193"/>
    </row>
    <row r="26" s="161" customFormat="1" spans="1:45">
      <c r="A26" s="65" t="s">
        <v>26</v>
      </c>
      <c r="B26" s="157">
        <v>2</v>
      </c>
      <c r="C26" s="65" t="s">
        <v>68</v>
      </c>
      <c r="D26" s="14" t="s">
        <v>69</v>
      </c>
      <c r="E26" s="14"/>
      <c r="F26" s="234">
        <v>14</v>
      </c>
      <c r="G26" s="235"/>
      <c r="H26" s="236"/>
      <c r="I26" s="237"/>
      <c r="J26" s="238">
        <f t="shared" ref="J26:J32" si="25">F26</f>
        <v>14</v>
      </c>
      <c r="K26" s="238">
        <f t="shared" ref="K26:K32" si="26">F26</f>
        <v>14</v>
      </c>
      <c r="L26" s="238">
        <f t="shared" ref="L26:L32" si="27">F26</f>
        <v>14</v>
      </c>
      <c r="M26" s="239">
        <f t="shared" ref="M26:M32" si="28">F26</f>
        <v>14</v>
      </c>
      <c r="N26" s="239"/>
      <c r="O26" s="239">
        <f t="shared" ref="O26:O32" si="29">F26</f>
        <v>14</v>
      </c>
      <c r="P26" s="239"/>
      <c r="Q26" s="240"/>
      <c r="R26" s="240"/>
      <c r="S26" s="240"/>
      <c r="T26" s="240"/>
      <c r="U26" s="240"/>
      <c r="V26" s="161"/>
      <c r="W26" s="167"/>
      <c r="X26" s="157" t="s">
        <v>26</v>
      </c>
      <c r="Y26" s="65">
        <v>2</v>
      </c>
      <c r="Z26" s="65" t="s">
        <v>68</v>
      </c>
      <c r="AA26" s="14" t="s">
        <v>69</v>
      </c>
      <c r="AB26" s="14"/>
      <c r="AC26" s="241">
        <v>14</v>
      </c>
      <c r="AD26" s="242"/>
      <c r="AE26" s="243"/>
      <c r="AF26" s="243"/>
      <c r="AG26" s="244">
        <f t="shared" ref="AG26:AG32" si="30">AC26</f>
        <v>14</v>
      </c>
      <c r="AH26" s="244">
        <f t="shared" ref="AH26:AH34" si="31">AC26</f>
        <v>14</v>
      </c>
      <c r="AI26" s="244">
        <f t="shared" ref="AI26:AI34" si="32">AC26</f>
        <v>14</v>
      </c>
      <c r="AJ26" s="245">
        <f t="shared" ref="AJ26:AJ32" si="33">AC26</f>
        <v>14</v>
      </c>
      <c r="AK26" s="245"/>
      <c r="AL26" s="245">
        <f t="shared" ref="AL26:AL34" si="34">AC26</f>
        <v>14</v>
      </c>
      <c r="AM26" s="245"/>
      <c r="AN26" s="246"/>
      <c r="AO26" s="246"/>
      <c r="AP26" s="246"/>
      <c r="AQ26" s="246"/>
      <c r="AR26" s="247"/>
      <c r="AS26" s="193"/>
    </row>
    <row r="27" s="161" customFormat="1" spans="1:45">
      <c r="A27" s="65" t="s">
        <v>26</v>
      </c>
      <c r="B27" s="157">
        <v>3</v>
      </c>
      <c r="C27" s="65" t="s">
        <v>70</v>
      </c>
      <c r="D27" s="14" t="s">
        <v>71</v>
      </c>
      <c r="E27" s="14"/>
      <c r="F27" s="234">
        <v>12</v>
      </c>
      <c r="G27" s="235"/>
      <c r="H27" s="236"/>
      <c r="I27" s="237"/>
      <c r="J27" s="238">
        <f t="shared" si="25"/>
        <v>12</v>
      </c>
      <c r="K27" s="238">
        <f t="shared" si="26"/>
        <v>12</v>
      </c>
      <c r="L27" s="238">
        <f t="shared" si="27"/>
        <v>12</v>
      </c>
      <c r="M27" s="239">
        <f t="shared" si="28"/>
        <v>12</v>
      </c>
      <c r="N27" s="239"/>
      <c r="O27" s="239">
        <f t="shared" si="29"/>
        <v>12</v>
      </c>
      <c r="P27" s="239"/>
      <c r="Q27" s="240"/>
      <c r="R27" s="240"/>
      <c r="S27" s="240"/>
      <c r="T27" s="240"/>
      <c r="U27" s="240"/>
      <c r="V27" s="161"/>
      <c r="W27" s="167"/>
      <c r="X27" s="157" t="s">
        <v>26</v>
      </c>
      <c r="Y27" s="65">
        <v>3</v>
      </c>
      <c r="Z27" s="65" t="s">
        <v>70</v>
      </c>
      <c r="AA27" s="14" t="s">
        <v>71</v>
      </c>
      <c r="AB27" s="14"/>
      <c r="AC27" s="241">
        <v>12</v>
      </c>
      <c r="AD27" s="242"/>
      <c r="AE27" s="243"/>
      <c r="AF27" s="243"/>
      <c r="AG27" s="244">
        <f t="shared" si="30"/>
        <v>12</v>
      </c>
      <c r="AH27" s="244">
        <f t="shared" si="31"/>
        <v>12</v>
      </c>
      <c r="AI27" s="244">
        <f t="shared" si="32"/>
        <v>12</v>
      </c>
      <c r="AJ27" s="245">
        <f t="shared" si="33"/>
        <v>12</v>
      </c>
      <c r="AK27" s="245"/>
      <c r="AL27" s="245">
        <f t="shared" si="34"/>
        <v>12</v>
      </c>
      <c r="AM27" s="245"/>
      <c r="AN27" s="246"/>
      <c r="AO27" s="246"/>
      <c r="AP27" s="246"/>
      <c r="AQ27" s="246"/>
      <c r="AR27" s="247"/>
      <c r="AS27" s="193"/>
    </row>
    <row r="28" s="161" customFormat="1" spans="1:45">
      <c r="A28" s="65" t="s">
        <v>26</v>
      </c>
      <c r="B28" s="157">
        <v>4</v>
      </c>
      <c r="C28" s="65" t="s">
        <v>72</v>
      </c>
      <c r="D28" s="14" t="s">
        <v>73</v>
      </c>
      <c r="E28" s="14"/>
      <c r="F28" s="234">
        <v>12</v>
      </c>
      <c r="G28" s="235"/>
      <c r="H28" s="236"/>
      <c r="I28" s="237"/>
      <c r="J28" s="238">
        <f t="shared" si="25"/>
        <v>12</v>
      </c>
      <c r="K28" s="238">
        <f t="shared" si="26"/>
        <v>12</v>
      </c>
      <c r="L28" s="238">
        <f t="shared" si="27"/>
        <v>12</v>
      </c>
      <c r="M28" s="239">
        <f t="shared" si="28"/>
        <v>12</v>
      </c>
      <c r="N28" s="239"/>
      <c r="O28" s="239">
        <f t="shared" si="29"/>
        <v>12</v>
      </c>
      <c r="P28" s="239"/>
      <c r="Q28" s="240"/>
      <c r="R28" s="240"/>
      <c r="S28" s="240"/>
      <c r="T28" s="240"/>
      <c r="U28" s="240"/>
      <c r="V28" s="161"/>
      <c r="W28" s="167"/>
      <c r="X28" s="157" t="s">
        <v>26</v>
      </c>
      <c r="Y28" s="65">
        <v>4</v>
      </c>
      <c r="Z28" s="65" t="s">
        <v>72</v>
      </c>
      <c r="AA28" s="14" t="s">
        <v>73</v>
      </c>
      <c r="AB28" s="14"/>
      <c r="AC28" s="241">
        <v>12</v>
      </c>
      <c r="AD28" s="242"/>
      <c r="AE28" s="243"/>
      <c r="AF28" s="243"/>
      <c r="AG28" s="244">
        <f t="shared" si="30"/>
        <v>12</v>
      </c>
      <c r="AH28" s="244">
        <f t="shared" si="31"/>
        <v>12</v>
      </c>
      <c r="AI28" s="244">
        <f t="shared" si="32"/>
        <v>12</v>
      </c>
      <c r="AJ28" s="245">
        <f t="shared" si="33"/>
        <v>12</v>
      </c>
      <c r="AK28" s="245"/>
      <c r="AL28" s="245">
        <f t="shared" si="34"/>
        <v>12</v>
      </c>
      <c r="AM28" s="245"/>
      <c r="AN28" s="246"/>
      <c r="AO28" s="246"/>
      <c r="AP28" s="246"/>
      <c r="AQ28" s="246"/>
      <c r="AR28" s="247"/>
      <c r="AS28" s="193"/>
    </row>
    <row r="29" s="161" customFormat="1" spans="1:45">
      <c r="A29" s="65" t="s">
        <v>26</v>
      </c>
      <c r="B29" s="157">
        <v>5</v>
      </c>
      <c r="C29" s="65" t="s">
        <v>74</v>
      </c>
      <c r="D29" s="248" t="s">
        <v>75</v>
      </c>
      <c r="E29" s="248"/>
      <c r="F29" s="234">
        <v>12</v>
      </c>
      <c r="G29" s="235"/>
      <c r="H29" s="236"/>
      <c r="I29" s="237"/>
      <c r="J29" s="238">
        <f t="shared" si="25"/>
        <v>12</v>
      </c>
      <c r="K29" s="238">
        <f t="shared" si="26"/>
        <v>12</v>
      </c>
      <c r="L29" s="238">
        <f t="shared" si="27"/>
        <v>12</v>
      </c>
      <c r="M29" s="239">
        <f t="shared" si="28"/>
        <v>12</v>
      </c>
      <c r="N29" s="239"/>
      <c r="O29" s="239">
        <f t="shared" si="29"/>
        <v>12</v>
      </c>
      <c r="P29" s="239"/>
      <c r="Q29" s="240">
        <f>F29</f>
        <v>12</v>
      </c>
      <c r="R29" s="240">
        <f>F29*3</f>
        <v>36</v>
      </c>
      <c r="S29" s="240">
        <f>F29*3</f>
        <v>36</v>
      </c>
      <c r="T29" s="240">
        <f>F29*3</f>
        <v>36</v>
      </c>
      <c r="U29" s="240">
        <f>F29*3</f>
        <v>36</v>
      </c>
      <c r="V29" s="249"/>
      <c r="W29" s="167"/>
      <c r="X29" s="157" t="s">
        <v>26</v>
      </c>
      <c r="Y29" s="65">
        <v>5</v>
      </c>
      <c r="Z29" s="65" t="s">
        <v>74</v>
      </c>
      <c r="AA29" s="248" t="s">
        <v>75</v>
      </c>
      <c r="AB29" s="248"/>
      <c r="AC29" s="241">
        <v>12</v>
      </c>
      <c r="AD29" s="242"/>
      <c r="AE29" s="243"/>
      <c r="AF29" s="243"/>
      <c r="AG29" s="244">
        <f t="shared" si="30"/>
        <v>12</v>
      </c>
      <c r="AH29" s="244">
        <f t="shared" si="31"/>
        <v>12</v>
      </c>
      <c r="AI29" s="244">
        <f t="shared" si="32"/>
        <v>12</v>
      </c>
      <c r="AJ29" s="245">
        <f t="shared" si="33"/>
        <v>12</v>
      </c>
      <c r="AK29" s="245"/>
      <c r="AL29" s="245">
        <f t="shared" si="34"/>
        <v>12</v>
      </c>
      <c r="AM29" s="245"/>
      <c r="AN29" s="246">
        <f>AC29</f>
        <v>12</v>
      </c>
      <c r="AO29" s="246">
        <f>AC29*3</f>
        <v>36</v>
      </c>
      <c r="AP29" s="246">
        <f>AC29*3</f>
        <v>36</v>
      </c>
      <c r="AQ29" s="246">
        <f>AC29*3</f>
        <v>36</v>
      </c>
      <c r="AR29" s="247">
        <f>AC29*3</f>
        <v>36</v>
      </c>
      <c r="AS29" s="194"/>
    </row>
    <row r="30" s="161" customFormat="1" spans="1:45">
      <c r="A30" s="65" t="s">
        <v>26</v>
      </c>
      <c r="B30" s="157">
        <v>6</v>
      </c>
      <c r="C30" s="65" t="s">
        <v>76</v>
      </c>
      <c r="D30" s="248" t="s">
        <v>77</v>
      </c>
      <c r="E30" s="248"/>
      <c r="F30" s="234">
        <v>12</v>
      </c>
      <c r="G30" s="235"/>
      <c r="H30" s="236"/>
      <c r="I30" s="237"/>
      <c r="J30" s="238">
        <f t="shared" si="25"/>
        <v>12</v>
      </c>
      <c r="K30" s="238">
        <f t="shared" si="26"/>
        <v>12</v>
      </c>
      <c r="L30" s="238">
        <f t="shared" si="27"/>
        <v>12</v>
      </c>
      <c r="M30" s="239">
        <f t="shared" si="28"/>
        <v>12</v>
      </c>
      <c r="N30" s="239"/>
      <c r="O30" s="239">
        <f t="shared" si="29"/>
        <v>12</v>
      </c>
      <c r="P30" s="239"/>
      <c r="Q30" s="240">
        <f>F30</f>
        <v>12</v>
      </c>
      <c r="R30" s="240">
        <f>F30*3</f>
        <v>36</v>
      </c>
      <c r="S30" s="240">
        <f>F30*3</f>
        <v>36</v>
      </c>
      <c r="T30" s="240">
        <f>F30*3</f>
        <v>36</v>
      </c>
      <c r="U30" s="240">
        <f>F30*3</f>
        <v>36</v>
      </c>
      <c r="V30" s="249"/>
      <c r="W30" s="167"/>
      <c r="X30" s="157" t="s">
        <v>26</v>
      </c>
      <c r="Y30" s="65">
        <v>6</v>
      </c>
      <c r="Z30" s="65" t="s">
        <v>76</v>
      </c>
      <c r="AA30" s="248" t="s">
        <v>77</v>
      </c>
      <c r="AB30" s="248"/>
      <c r="AC30" s="241">
        <v>12</v>
      </c>
      <c r="AD30" s="242"/>
      <c r="AE30" s="243"/>
      <c r="AF30" s="243"/>
      <c r="AG30" s="244">
        <f t="shared" si="30"/>
        <v>12</v>
      </c>
      <c r="AH30" s="244">
        <f t="shared" si="31"/>
        <v>12</v>
      </c>
      <c r="AI30" s="244">
        <f t="shared" si="32"/>
        <v>12</v>
      </c>
      <c r="AJ30" s="245">
        <f t="shared" si="33"/>
        <v>12</v>
      </c>
      <c r="AK30" s="245"/>
      <c r="AL30" s="245">
        <f t="shared" si="34"/>
        <v>12</v>
      </c>
      <c r="AM30" s="245"/>
      <c r="AN30" s="246">
        <f>AC30</f>
        <v>12</v>
      </c>
      <c r="AO30" s="246">
        <f>AC30*3</f>
        <v>36</v>
      </c>
      <c r="AP30" s="246">
        <f>AC30*3</f>
        <v>36</v>
      </c>
      <c r="AQ30" s="246">
        <f>AC30*3</f>
        <v>36</v>
      </c>
      <c r="AR30" s="247">
        <f>AC30*3</f>
        <v>36</v>
      </c>
      <c r="AS30" s="194"/>
    </row>
    <row r="31" s="161" customFormat="1" spans="1:45">
      <c r="A31" s="65" t="s">
        <v>26</v>
      </c>
      <c r="B31" s="157">
        <v>7</v>
      </c>
      <c r="C31" s="65" t="s">
        <v>78</v>
      </c>
      <c r="D31" s="248" t="s">
        <v>79</v>
      </c>
      <c r="E31" s="248"/>
      <c r="F31" s="234">
        <v>12</v>
      </c>
      <c r="G31" s="235"/>
      <c r="H31" s="236"/>
      <c r="I31" s="237"/>
      <c r="J31" s="238">
        <f t="shared" si="25"/>
        <v>12</v>
      </c>
      <c r="K31" s="238">
        <f t="shared" si="26"/>
        <v>12</v>
      </c>
      <c r="L31" s="238">
        <f t="shared" si="27"/>
        <v>12</v>
      </c>
      <c r="M31" s="239">
        <f t="shared" si="28"/>
        <v>12</v>
      </c>
      <c r="N31" s="239"/>
      <c r="O31" s="239">
        <f t="shared" si="29"/>
        <v>12</v>
      </c>
      <c r="P31" s="239"/>
      <c r="Q31" s="240">
        <f>F31</f>
        <v>12</v>
      </c>
      <c r="R31" s="240">
        <f>F31*3</f>
        <v>36</v>
      </c>
      <c r="S31" s="240">
        <f>F31*3</f>
        <v>36</v>
      </c>
      <c r="T31" s="240">
        <f>F31*3</f>
        <v>36</v>
      </c>
      <c r="U31" s="240">
        <f>F31*3</f>
        <v>36</v>
      </c>
      <c r="V31" s="249"/>
      <c r="W31" s="167"/>
      <c r="X31" s="157" t="s">
        <v>26</v>
      </c>
      <c r="Y31" s="65">
        <v>7</v>
      </c>
      <c r="Z31" s="65" t="s">
        <v>78</v>
      </c>
      <c r="AA31" s="248" t="s">
        <v>79</v>
      </c>
      <c r="AB31" s="248"/>
      <c r="AC31" s="241">
        <v>12</v>
      </c>
      <c r="AD31" s="242"/>
      <c r="AE31" s="243"/>
      <c r="AF31" s="243"/>
      <c r="AG31" s="244">
        <f t="shared" si="30"/>
        <v>12</v>
      </c>
      <c r="AH31" s="244">
        <f t="shared" si="31"/>
        <v>12</v>
      </c>
      <c r="AI31" s="244">
        <f t="shared" si="32"/>
        <v>12</v>
      </c>
      <c r="AJ31" s="245">
        <f t="shared" si="33"/>
        <v>12</v>
      </c>
      <c r="AK31" s="245"/>
      <c r="AL31" s="245">
        <f t="shared" si="34"/>
        <v>12</v>
      </c>
      <c r="AM31" s="245"/>
      <c r="AN31" s="246">
        <f>AC31</f>
        <v>12</v>
      </c>
      <c r="AO31" s="246">
        <f>AC31*3</f>
        <v>36</v>
      </c>
      <c r="AP31" s="246">
        <f>AC31*3</f>
        <v>36</v>
      </c>
      <c r="AQ31" s="246">
        <f>AC31*3</f>
        <v>36</v>
      </c>
      <c r="AR31" s="247">
        <f>AC31*3</f>
        <v>36</v>
      </c>
      <c r="AS31" s="194"/>
    </row>
    <row r="32" s="161" customFormat="1" spans="1:45">
      <c r="A32" s="65" t="s">
        <v>26</v>
      </c>
      <c r="B32" s="157">
        <v>8</v>
      </c>
      <c r="C32" s="65" t="s">
        <v>80</v>
      </c>
      <c r="D32" s="14" t="s">
        <v>81</v>
      </c>
      <c r="E32" s="14"/>
      <c r="F32" s="234">
        <v>12</v>
      </c>
      <c r="G32" s="235"/>
      <c r="H32" s="236"/>
      <c r="I32" s="237"/>
      <c r="J32" s="238">
        <f t="shared" si="25"/>
        <v>12</v>
      </c>
      <c r="K32" s="238">
        <f t="shared" si="26"/>
        <v>12</v>
      </c>
      <c r="L32" s="238">
        <f t="shared" si="27"/>
        <v>12</v>
      </c>
      <c r="M32" s="239">
        <f t="shared" si="28"/>
        <v>12</v>
      </c>
      <c r="N32" s="239"/>
      <c r="O32" s="239">
        <f t="shared" si="29"/>
        <v>12</v>
      </c>
      <c r="P32" s="239"/>
      <c r="Q32" s="240"/>
      <c r="R32" s="240"/>
      <c r="S32" s="240"/>
      <c r="T32" s="240"/>
      <c r="U32" s="240"/>
      <c r="V32" s="249"/>
      <c r="W32" s="167"/>
      <c r="X32" s="157" t="s">
        <v>26</v>
      </c>
      <c r="Y32" s="65">
        <v>8</v>
      </c>
      <c r="Z32" s="65" t="s">
        <v>80</v>
      </c>
      <c r="AA32" s="14" t="s">
        <v>81</v>
      </c>
      <c r="AB32" s="14"/>
      <c r="AC32" s="241">
        <v>12</v>
      </c>
      <c r="AD32" s="242"/>
      <c r="AE32" s="243"/>
      <c r="AF32" s="243"/>
      <c r="AG32" s="244">
        <f t="shared" si="30"/>
        <v>12</v>
      </c>
      <c r="AH32" s="244">
        <f t="shared" si="31"/>
        <v>12</v>
      </c>
      <c r="AI32" s="244">
        <f t="shared" si="32"/>
        <v>12</v>
      </c>
      <c r="AJ32" s="245">
        <f t="shared" si="33"/>
        <v>12</v>
      </c>
      <c r="AK32" s="245"/>
      <c r="AL32" s="245">
        <f t="shared" si="34"/>
        <v>12</v>
      </c>
      <c r="AM32" s="245"/>
      <c r="AN32" s="246"/>
      <c r="AO32" s="246"/>
      <c r="AP32" s="246"/>
      <c r="AQ32" s="246"/>
      <c r="AR32" s="247"/>
      <c r="AS32" s="194"/>
    </row>
    <row r="33" s="161" customFormat="1" spans="1:45">
      <c r="A33" s="65" t="s">
        <v>26</v>
      </c>
      <c r="B33" s="250">
        <v>9</v>
      </c>
      <c r="C33" s="251" t="s">
        <v>82</v>
      </c>
      <c r="D33" s="252" t="s">
        <v>83</v>
      </c>
      <c r="E33" s="252"/>
      <c r="F33" s="234">
        <v>12</v>
      </c>
      <c r="G33" s="235"/>
      <c r="H33" s="236"/>
      <c r="I33" s="237"/>
      <c r="J33" s="238">
        <f>IF(F33&gt;0,1,0)</f>
        <v>1</v>
      </c>
      <c r="K33" s="238">
        <f>IF(F33&gt;0,1,0)</f>
        <v>1</v>
      </c>
      <c r="L33" s="238">
        <f>IF(F33&gt;0,1,0)</f>
        <v>1</v>
      </c>
      <c r="M33" s="239">
        <f>IF(F33&gt;0,1,0)</f>
        <v>1</v>
      </c>
      <c r="N33" s="239"/>
      <c r="O33" s="239">
        <f>IF(F33&gt;0,1,0)</f>
        <v>1</v>
      </c>
      <c r="P33" s="239"/>
      <c r="Q33" s="240"/>
      <c r="R33" s="240"/>
      <c r="S33" s="240"/>
      <c r="T33" s="240"/>
      <c r="U33" s="240"/>
      <c r="V33" s="161"/>
      <c r="W33" s="167"/>
      <c r="X33" s="157" t="s">
        <v>26</v>
      </c>
      <c r="Y33" s="77">
        <v>9</v>
      </c>
      <c r="Z33" s="251" t="s">
        <v>82</v>
      </c>
      <c r="AA33" s="252" t="s">
        <v>83</v>
      </c>
      <c r="AB33" s="252"/>
      <c r="AC33" s="241">
        <v>12</v>
      </c>
      <c r="AD33" s="242"/>
      <c r="AE33" s="243"/>
      <c r="AF33" s="243"/>
      <c r="AG33" s="244">
        <f>IF(AC33&gt;0,1,0)</f>
        <v>1</v>
      </c>
      <c r="AH33" s="244">
        <f t="shared" si="31"/>
        <v>12</v>
      </c>
      <c r="AI33" s="244">
        <f t="shared" si="32"/>
        <v>12</v>
      </c>
      <c r="AJ33" s="245">
        <f>IF(AC33&gt;0,1,0)</f>
        <v>1</v>
      </c>
      <c r="AK33" s="245"/>
      <c r="AL33" s="245">
        <f t="shared" si="34"/>
        <v>12</v>
      </c>
      <c r="AM33" s="245"/>
      <c r="AN33" s="246"/>
      <c r="AO33" s="246"/>
      <c r="AP33" s="246"/>
      <c r="AQ33" s="246"/>
      <c r="AR33" s="247"/>
      <c r="AS33" s="193"/>
    </row>
    <row r="34" s="161" customFormat="1" spans="1:45">
      <c r="A34" s="65" t="s">
        <v>26</v>
      </c>
      <c r="B34" s="250">
        <v>10</v>
      </c>
      <c r="C34" s="65" t="s">
        <v>68</v>
      </c>
      <c r="D34" s="14" t="s">
        <v>69</v>
      </c>
      <c r="E34" s="14"/>
      <c r="F34" s="234">
        <v>12</v>
      </c>
      <c r="G34" s="235"/>
      <c r="H34" s="236"/>
      <c r="I34" s="237"/>
      <c r="J34" s="238">
        <f>F34</f>
        <v>12</v>
      </c>
      <c r="K34" s="238">
        <f>F34</f>
        <v>12</v>
      </c>
      <c r="L34" s="238">
        <f>F34</f>
        <v>12</v>
      </c>
      <c r="M34" s="239">
        <f>F34</f>
        <v>12</v>
      </c>
      <c r="N34" s="239"/>
      <c r="O34" s="239">
        <f>F34</f>
        <v>12</v>
      </c>
      <c r="P34" s="239"/>
      <c r="Q34" s="240"/>
      <c r="R34" s="240"/>
      <c r="S34" s="240"/>
      <c r="T34" s="240"/>
      <c r="U34" s="240"/>
      <c r="V34" s="161"/>
      <c r="W34" s="167"/>
      <c r="X34" s="157" t="s">
        <v>26</v>
      </c>
      <c r="Y34" s="77">
        <v>10</v>
      </c>
      <c r="Z34" s="65" t="s">
        <v>68</v>
      </c>
      <c r="AA34" s="14" t="s">
        <v>69</v>
      </c>
      <c r="AB34" s="14"/>
      <c r="AC34" s="241">
        <v>12</v>
      </c>
      <c r="AD34" s="242"/>
      <c r="AE34" s="243"/>
      <c r="AF34" s="243"/>
      <c r="AG34" s="244">
        <f>AC34</f>
        <v>12</v>
      </c>
      <c r="AH34" s="244">
        <f t="shared" si="31"/>
        <v>12</v>
      </c>
      <c r="AI34" s="244">
        <f t="shared" si="32"/>
        <v>12</v>
      </c>
      <c r="AJ34" s="245">
        <f>AC34</f>
        <v>12</v>
      </c>
      <c r="AK34" s="245"/>
      <c r="AL34" s="245">
        <f t="shared" si="34"/>
        <v>12</v>
      </c>
      <c r="AM34" s="245"/>
      <c r="AN34" s="246"/>
      <c r="AO34" s="246"/>
      <c r="AP34" s="246"/>
      <c r="AQ34" s="246"/>
      <c r="AR34" s="247"/>
      <c r="AS34" s="193"/>
    </row>
    <row r="35" s="161" customFormat="1" spans="1:45">
      <c r="A35" s="65" t="s">
        <v>26</v>
      </c>
      <c r="B35" s="250">
        <v>11</v>
      </c>
      <c r="C35" s="251" t="s">
        <v>84</v>
      </c>
      <c r="D35" s="252" t="s">
        <v>85</v>
      </c>
      <c r="E35" s="252"/>
      <c r="F35" s="234">
        <v>12</v>
      </c>
      <c r="G35" s="235"/>
      <c r="H35" s="236">
        <f>IF(F35=0,0,IF(F35&lt;6,3,6))</f>
        <v>6</v>
      </c>
      <c r="I35" s="237"/>
      <c r="J35" s="238">
        <f>H35</f>
        <v>6</v>
      </c>
      <c r="K35" s="238">
        <f>H35</f>
        <v>6</v>
      </c>
      <c r="L35" s="238">
        <f>H35</f>
        <v>6</v>
      </c>
      <c r="M35" s="239"/>
      <c r="N35" s="239">
        <f>H35</f>
        <v>6</v>
      </c>
      <c r="O35" s="239"/>
      <c r="P35" s="239">
        <f>H35</f>
        <v>6</v>
      </c>
      <c r="Q35" s="240"/>
      <c r="R35" s="240"/>
      <c r="S35" s="240"/>
      <c r="T35" s="240"/>
      <c r="U35" s="240"/>
      <c r="V35" s="161"/>
      <c r="W35" s="167"/>
      <c r="X35" s="157" t="s">
        <v>26</v>
      </c>
      <c r="Y35" s="77">
        <v>11</v>
      </c>
      <c r="Z35" s="251" t="s">
        <v>84</v>
      </c>
      <c r="AA35" s="252" t="s">
        <v>85</v>
      </c>
      <c r="AB35" s="252"/>
      <c r="AC35" s="241">
        <v>12</v>
      </c>
      <c r="AD35" s="242"/>
      <c r="AE35" s="243">
        <f>IF(AC35=0,0,IF(AC35&lt;6,3,6))</f>
        <v>6</v>
      </c>
      <c r="AF35" s="243"/>
      <c r="AG35" s="244">
        <f>AE35</f>
        <v>6</v>
      </c>
      <c r="AH35" s="244">
        <f>AE35</f>
        <v>6</v>
      </c>
      <c r="AI35" s="244">
        <f>AE35</f>
        <v>6</v>
      </c>
      <c r="AJ35" s="245"/>
      <c r="AK35" s="245">
        <f>AE35</f>
        <v>6</v>
      </c>
      <c r="AL35" s="245"/>
      <c r="AM35" s="245">
        <f>AE35</f>
        <v>6</v>
      </c>
      <c r="AN35" s="246"/>
      <c r="AO35" s="246"/>
      <c r="AP35" s="246"/>
      <c r="AQ35" s="246"/>
      <c r="AR35" s="247"/>
      <c r="AS35" s="193"/>
    </row>
    <row r="36" s="161" customFormat="1" spans="1:45">
      <c r="A36" s="65" t="s">
        <v>26</v>
      </c>
      <c r="B36" s="250">
        <v>12</v>
      </c>
      <c r="C36" s="251" t="s">
        <v>86</v>
      </c>
      <c r="D36" s="252" t="s">
        <v>87</v>
      </c>
      <c r="E36" s="252"/>
      <c r="F36" s="234">
        <v>14</v>
      </c>
      <c r="G36" s="235"/>
      <c r="H36" s="236"/>
      <c r="I36" s="237"/>
      <c r="J36" s="238">
        <f>IF(F36&gt;0,1,0)</f>
        <v>1</v>
      </c>
      <c r="K36" s="238">
        <f>J36</f>
        <v>1</v>
      </c>
      <c r="L36" s="238">
        <f>J36</f>
        <v>1</v>
      </c>
      <c r="M36" s="239">
        <f>IF(F36&gt;0,1,0)</f>
        <v>1</v>
      </c>
      <c r="N36" s="239"/>
      <c r="O36" s="239">
        <f>IF(F36&gt;0,1,0)</f>
        <v>1</v>
      </c>
      <c r="P36" s="239"/>
      <c r="Q36" s="240"/>
      <c r="R36" s="240"/>
      <c r="S36" s="240"/>
      <c r="T36" s="240"/>
      <c r="U36" s="240"/>
      <c r="V36" s="161"/>
      <c r="W36" s="167"/>
      <c r="X36" s="157" t="s">
        <v>26</v>
      </c>
      <c r="Y36" s="77">
        <v>12</v>
      </c>
      <c r="Z36" s="251" t="s">
        <v>86</v>
      </c>
      <c r="AA36" s="252" t="s">
        <v>87</v>
      </c>
      <c r="AB36" s="252"/>
      <c r="AC36" s="241">
        <v>14</v>
      </c>
      <c r="AD36" s="242"/>
      <c r="AE36" s="243"/>
      <c r="AF36" s="243"/>
      <c r="AG36" s="244">
        <f>IF(AC36&gt;0,1,0)</f>
        <v>1</v>
      </c>
      <c r="AH36" s="244">
        <f>AG36</f>
        <v>1</v>
      </c>
      <c r="AI36" s="244">
        <f>AG36</f>
        <v>1</v>
      </c>
      <c r="AJ36" s="245">
        <f>IF(AC36&gt;0,1,0)</f>
        <v>1</v>
      </c>
      <c r="AK36" s="245"/>
      <c r="AL36" s="245">
        <f>IF(AC36&gt;0,1,0)</f>
        <v>1</v>
      </c>
      <c r="AM36" s="245"/>
      <c r="AN36" s="246"/>
      <c r="AO36" s="246"/>
      <c r="AP36" s="246"/>
      <c r="AQ36" s="246"/>
      <c r="AR36" s="247"/>
      <c r="AS36" s="193"/>
    </row>
    <row r="37" s="161" customFormat="1" spans="1:45">
      <c r="A37" s="65" t="s">
        <v>26</v>
      </c>
      <c r="B37" s="250">
        <v>13</v>
      </c>
      <c r="C37" s="251" t="s">
        <v>88</v>
      </c>
      <c r="D37" s="252" t="s">
        <v>89</v>
      </c>
      <c r="E37" s="252"/>
      <c r="F37" s="234">
        <v>12</v>
      </c>
      <c r="G37" s="235"/>
      <c r="H37" s="236">
        <f>IF(F37=0,0,IF(F37&lt;6,3,6))</f>
        <v>6</v>
      </c>
      <c r="I37" s="237"/>
      <c r="J37" s="238">
        <f>H37</f>
        <v>6</v>
      </c>
      <c r="K37" s="238">
        <f>H37</f>
        <v>6</v>
      </c>
      <c r="L37" s="238">
        <f>H37</f>
        <v>6</v>
      </c>
      <c r="M37" s="239"/>
      <c r="N37" s="239">
        <f>H37</f>
        <v>6</v>
      </c>
      <c r="O37" s="239"/>
      <c r="P37" s="239">
        <f>H37</f>
        <v>6</v>
      </c>
      <c r="Q37" s="240"/>
      <c r="R37" s="240"/>
      <c r="S37" s="240"/>
      <c r="T37" s="240"/>
      <c r="U37" s="240"/>
      <c r="V37" s="161"/>
      <c r="W37" s="167"/>
      <c r="X37" s="157" t="s">
        <v>26</v>
      </c>
      <c r="Y37" s="77">
        <v>13</v>
      </c>
      <c r="Z37" s="251" t="s">
        <v>88</v>
      </c>
      <c r="AA37" s="252" t="s">
        <v>89</v>
      </c>
      <c r="AB37" s="252"/>
      <c r="AC37" s="241">
        <v>12</v>
      </c>
      <c r="AD37" s="242"/>
      <c r="AE37" s="243">
        <f>IF(AC37=0,0,IF(AC37&lt;6,3,6))</f>
        <v>6</v>
      </c>
      <c r="AF37" s="243"/>
      <c r="AG37" s="244">
        <f>AE37</f>
        <v>6</v>
      </c>
      <c r="AH37" s="244">
        <f>AE37</f>
        <v>6</v>
      </c>
      <c r="AI37" s="244">
        <f>AE37</f>
        <v>6</v>
      </c>
      <c r="AJ37" s="245"/>
      <c r="AK37" s="245">
        <f>AE37</f>
        <v>6</v>
      </c>
      <c r="AL37" s="245"/>
      <c r="AM37" s="245">
        <f>AE37</f>
        <v>6</v>
      </c>
      <c r="AN37" s="246"/>
      <c r="AO37" s="246"/>
      <c r="AP37" s="246"/>
      <c r="AQ37" s="246"/>
      <c r="AR37" s="247"/>
      <c r="AS37" s="193"/>
    </row>
    <row r="38" s="161" customFormat="1" spans="1:45">
      <c r="A38" s="65" t="s">
        <v>26</v>
      </c>
      <c r="B38" s="250">
        <v>14</v>
      </c>
      <c r="C38" s="251" t="s">
        <v>90</v>
      </c>
      <c r="D38" s="252" t="s">
        <v>91</v>
      </c>
      <c r="E38" s="252"/>
      <c r="F38" s="234">
        <v>12</v>
      </c>
      <c r="G38" s="235"/>
      <c r="H38" s="236">
        <v>1</v>
      </c>
      <c r="I38" s="237"/>
      <c r="J38" s="238">
        <f>IF(F38&gt;0,1,0)</f>
        <v>1</v>
      </c>
      <c r="K38" s="238">
        <f>H38</f>
        <v>1</v>
      </c>
      <c r="L38" s="238">
        <f>H38</f>
        <v>1</v>
      </c>
      <c r="M38" s="239">
        <f>IF(F38&gt;0,1,0)</f>
        <v>1</v>
      </c>
      <c r="N38" s="239"/>
      <c r="O38" s="239">
        <f>IF(F38&gt;0,1,0)</f>
        <v>1</v>
      </c>
      <c r="P38" s="239"/>
      <c r="Q38" s="240"/>
      <c r="R38" s="240"/>
      <c r="S38" s="240"/>
      <c r="T38" s="240"/>
      <c r="U38" s="240"/>
      <c r="V38" s="161"/>
      <c r="W38" s="167"/>
      <c r="X38" s="157" t="s">
        <v>26</v>
      </c>
      <c r="Y38" s="77">
        <v>14</v>
      </c>
      <c r="Z38" s="251" t="s">
        <v>90</v>
      </c>
      <c r="AA38" s="252" t="s">
        <v>91</v>
      </c>
      <c r="AB38" s="252"/>
      <c r="AC38" s="241">
        <v>12</v>
      </c>
      <c r="AD38" s="242"/>
      <c r="AE38" s="243">
        <v>1</v>
      </c>
      <c r="AF38" s="243"/>
      <c r="AG38" s="244">
        <f>IF(AC38&gt;0,1,0)</f>
        <v>1</v>
      </c>
      <c r="AH38" s="244">
        <f>AE38</f>
        <v>1</v>
      </c>
      <c r="AI38" s="244">
        <f>AE38</f>
        <v>1</v>
      </c>
      <c r="AJ38" s="245">
        <f>IF(AC38&gt;0,1,0)</f>
        <v>1</v>
      </c>
      <c r="AK38" s="245"/>
      <c r="AL38" s="245">
        <f>IF(AC38&gt;0,1,0)</f>
        <v>1</v>
      </c>
      <c r="AM38" s="245"/>
      <c r="AN38" s="246"/>
      <c r="AO38" s="246"/>
      <c r="AP38" s="246"/>
      <c r="AQ38" s="246"/>
      <c r="AR38" s="247"/>
      <c r="AS38" s="193"/>
    </row>
    <row r="39" s="161" customFormat="1" spans="1:45">
      <c r="A39" s="65" t="s">
        <v>26</v>
      </c>
      <c r="B39" s="250">
        <v>15</v>
      </c>
      <c r="C39" s="65" t="s">
        <v>92</v>
      </c>
      <c r="D39" s="248" t="s">
        <v>93</v>
      </c>
      <c r="E39" s="248"/>
      <c r="F39" s="234">
        <v>12</v>
      </c>
      <c r="G39" s="235"/>
      <c r="H39" s="236"/>
      <c r="I39" s="237"/>
      <c r="J39" s="238">
        <f>F39</f>
        <v>12</v>
      </c>
      <c r="K39" s="238">
        <f>J39</f>
        <v>12</v>
      </c>
      <c r="L39" s="238">
        <f>J39</f>
        <v>12</v>
      </c>
      <c r="M39" s="239">
        <f>F39</f>
        <v>12</v>
      </c>
      <c r="N39" s="239"/>
      <c r="O39" s="239">
        <f>M39</f>
        <v>12</v>
      </c>
      <c r="P39" s="239"/>
      <c r="Q39" s="240">
        <f>F39</f>
        <v>12</v>
      </c>
      <c r="R39" s="240">
        <f>F39*3</f>
        <v>36</v>
      </c>
      <c r="S39" s="240">
        <f>F39*3</f>
        <v>36</v>
      </c>
      <c r="T39" s="240">
        <f>F39*3</f>
        <v>36</v>
      </c>
      <c r="U39" s="240">
        <f>F39*3</f>
        <v>36</v>
      </c>
      <c r="V39" s="249"/>
      <c r="W39" s="167"/>
      <c r="X39" s="157" t="s">
        <v>26</v>
      </c>
      <c r="Y39" s="77">
        <v>15</v>
      </c>
      <c r="Z39" s="65" t="s">
        <v>92</v>
      </c>
      <c r="AA39" s="248" t="s">
        <v>93</v>
      </c>
      <c r="AB39" s="248"/>
      <c r="AC39" s="241">
        <v>12</v>
      </c>
      <c r="AD39" s="242"/>
      <c r="AE39" s="243"/>
      <c r="AF39" s="243"/>
      <c r="AG39" s="244">
        <f>AC39</f>
        <v>12</v>
      </c>
      <c r="AH39" s="244">
        <f>AG39</f>
        <v>12</v>
      </c>
      <c r="AI39" s="244">
        <f>AG39</f>
        <v>12</v>
      </c>
      <c r="AJ39" s="245">
        <f>AC39</f>
        <v>12</v>
      </c>
      <c r="AK39" s="245"/>
      <c r="AL39" s="245">
        <f>AJ39</f>
        <v>12</v>
      </c>
      <c r="AM39" s="245"/>
      <c r="AN39" s="246">
        <f>AC39</f>
        <v>12</v>
      </c>
      <c r="AO39" s="246">
        <f>AC39*3</f>
        <v>36</v>
      </c>
      <c r="AP39" s="246">
        <f>AC39*3</f>
        <v>36</v>
      </c>
      <c r="AQ39" s="246">
        <f>AC39*3</f>
        <v>36</v>
      </c>
      <c r="AR39" s="247">
        <f>AC39*3</f>
        <v>36</v>
      </c>
      <c r="AS39" s="194"/>
    </row>
    <row r="40" s="161" customFormat="1" spans="1:45">
      <c r="A40" s="65" t="s">
        <v>26</v>
      </c>
      <c r="B40" s="250">
        <v>16</v>
      </c>
      <c r="C40" s="251" t="s">
        <v>94</v>
      </c>
      <c r="D40" s="252" t="s">
        <v>95</v>
      </c>
      <c r="E40" s="252"/>
      <c r="F40" s="234">
        <v>12</v>
      </c>
      <c r="G40" s="235"/>
      <c r="H40" s="236"/>
      <c r="I40" s="237">
        <f>MIN(F40,3)</f>
        <v>3</v>
      </c>
      <c r="J40" s="238">
        <f>IF(F40&gt;0,1,0)</f>
        <v>1</v>
      </c>
      <c r="K40" s="238">
        <f>J40</f>
        <v>1</v>
      </c>
      <c r="L40" s="238">
        <f>J40</f>
        <v>1</v>
      </c>
      <c r="M40" s="239">
        <f>IF(F40&gt;0,1,0)</f>
        <v>1</v>
      </c>
      <c r="N40" s="239"/>
      <c r="O40" s="239">
        <f>IF(F40&gt;0,1,0)</f>
        <v>1</v>
      </c>
      <c r="P40" s="239"/>
      <c r="Q40" s="240"/>
      <c r="R40" s="240"/>
      <c r="S40" s="240"/>
      <c r="T40" s="240"/>
      <c r="U40" s="240"/>
      <c r="V40" s="249"/>
      <c r="W40" s="167"/>
      <c r="X40" s="157" t="s">
        <v>26</v>
      </c>
      <c r="Y40" s="77">
        <v>16</v>
      </c>
      <c r="Z40" s="251" t="s">
        <v>94</v>
      </c>
      <c r="AA40" s="252" t="s">
        <v>95</v>
      </c>
      <c r="AB40" s="252"/>
      <c r="AC40" s="241">
        <v>12</v>
      </c>
      <c r="AD40" s="242"/>
      <c r="AE40" s="243"/>
      <c r="AF40" s="243">
        <f>MIN(AC40,3)</f>
        <v>3</v>
      </c>
      <c r="AG40" s="244">
        <f>IF(AC40&gt;0,1,0)</f>
        <v>1</v>
      </c>
      <c r="AH40" s="244">
        <f>AG40</f>
        <v>1</v>
      </c>
      <c r="AI40" s="244">
        <f>AG40</f>
        <v>1</v>
      </c>
      <c r="AJ40" s="245">
        <f>IF(AC40&gt;0,1,0)</f>
        <v>1</v>
      </c>
      <c r="AK40" s="245"/>
      <c r="AL40" s="245">
        <f>IF(AC40&gt;0,1,0)</f>
        <v>1</v>
      </c>
      <c r="AM40" s="245"/>
      <c r="AN40" s="246"/>
      <c r="AO40" s="246"/>
      <c r="AP40" s="246"/>
      <c r="AQ40" s="246"/>
      <c r="AR40" s="247"/>
      <c r="AS40" s="194"/>
    </row>
    <row r="41" s="161" customFormat="1" spans="1:45">
      <c r="A41" s="65" t="s">
        <v>26</v>
      </c>
      <c r="B41" s="250">
        <v>17</v>
      </c>
      <c r="C41" s="251" t="s">
        <v>96</v>
      </c>
      <c r="D41" s="252" t="s">
        <v>97</v>
      </c>
      <c r="E41" s="252"/>
      <c r="F41" s="234">
        <v>12</v>
      </c>
      <c r="G41" s="235"/>
      <c r="H41" s="236"/>
      <c r="I41" s="237">
        <f>MIN(F41,3)</f>
        <v>3</v>
      </c>
      <c r="J41" s="238">
        <f>I41</f>
        <v>3</v>
      </c>
      <c r="K41" s="238">
        <f>I41</f>
        <v>3</v>
      </c>
      <c r="L41" s="238">
        <f>I41</f>
        <v>3</v>
      </c>
      <c r="M41" s="239">
        <f>I41</f>
        <v>3</v>
      </c>
      <c r="N41" s="239"/>
      <c r="O41" s="239">
        <f>M41</f>
        <v>3</v>
      </c>
      <c r="P41" s="239"/>
      <c r="Q41" s="240"/>
      <c r="R41" s="240"/>
      <c r="S41" s="240"/>
      <c r="T41" s="240"/>
      <c r="U41" s="240"/>
      <c r="V41" s="161"/>
      <c r="W41" s="167"/>
      <c r="X41" s="157" t="s">
        <v>26</v>
      </c>
      <c r="Y41" s="77">
        <v>17</v>
      </c>
      <c r="Z41" s="251" t="s">
        <v>96</v>
      </c>
      <c r="AA41" s="252" t="s">
        <v>97</v>
      </c>
      <c r="AB41" s="252"/>
      <c r="AC41" s="241">
        <v>12</v>
      </c>
      <c r="AD41" s="242"/>
      <c r="AE41" s="243"/>
      <c r="AF41" s="243">
        <f>MIN(AC41,3)</f>
        <v>3</v>
      </c>
      <c r="AG41" s="244">
        <f>AF41</f>
        <v>3</v>
      </c>
      <c r="AH41" s="244">
        <f>AF41</f>
        <v>3</v>
      </c>
      <c r="AI41" s="244">
        <f>AF41</f>
        <v>3</v>
      </c>
      <c r="AJ41" s="245">
        <f>AF41</f>
        <v>3</v>
      </c>
      <c r="AK41" s="245"/>
      <c r="AL41" s="245">
        <f>AJ41</f>
        <v>3</v>
      </c>
      <c r="AM41" s="245"/>
      <c r="AN41" s="246"/>
      <c r="AO41" s="246"/>
      <c r="AP41" s="246"/>
      <c r="AQ41" s="246"/>
      <c r="AR41" s="247"/>
      <c r="AS41" s="193"/>
    </row>
    <row r="42" s="161" customFormat="1" spans="1:45">
      <c r="A42" s="65" t="s">
        <v>26</v>
      </c>
      <c r="B42" s="250">
        <v>18</v>
      </c>
      <c r="C42" s="65" t="s">
        <v>68</v>
      </c>
      <c r="D42" s="14" t="s">
        <v>69</v>
      </c>
      <c r="E42" s="14"/>
      <c r="F42" s="234">
        <v>12</v>
      </c>
      <c r="G42" s="235"/>
      <c r="H42" s="236"/>
      <c r="I42" s="237"/>
      <c r="J42" s="238">
        <f>F42</f>
        <v>12</v>
      </c>
      <c r="K42" s="238">
        <f>F42</f>
        <v>12</v>
      </c>
      <c r="L42" s="238">
        <f>F42</f>
        <v>12</v>
      </c>
      <c r="M42" s="239">
        <f>F42</f>
        <v>12</v>
      </c>
      <c r="N42" s="239"/>
      <c r="O42" s="239">
        <f>F42</f>
        <v>12</v>
      </c>
      <c r="P42" s="239"/>
      <c r="Q42" s="240"/>
      <c r="R42" s="240"/>
      <c r="S42" s="240"/>
      <c r="T42" s="240"/>
      <c r="U42" s="240"/>
      <c r="V42" s="161"/>
      <c r="W42" s="167"/>
      <c r="X42" s="157" t="s">
        <v>26</v>
      </c>
      <c r="Y42" s="77">
        <v>18</v>
      </c>
      <c r="Z42" s="65" t="s">
        <v>68</v>
      </c>
      <c r="AA42" s="14" t="s">
        <v>69</v>
      </c>
      <c r="AB42" s="14"/>
      <c r="AC42" s="241">
        <v>12</v>
      </c>
      <c r="AD42" s="242"/>
      <c r="AE42" s="243"/>
      <c r="AF42" s="243"/>
      <c r="AG42" s="244">
        <f>AC42</f>
        <v>12</v>
      </c>
      <c r="AH42" s="244">
        <f>AC42</f>
        <v>12</v>
      </c>
      <c r="AI42" s="244">
        <f>AC42</f>
        <v>12</v>
      </c>
      <c r="AJ42" s="245">
        <f>AC42</f>
        <v>12</v>
      </c>
      <c r="AK42" s="245"/>
      <c r="AL42" s="245">
        <f>AC42</f>
        <v>12</v>
      </c>
      <c r="AM42" s="245"/>
      <c r="AN42" s="246"/>
      <c r="AO42" s="246"/>
      <c r="AP42" s="246"/>
      <c r="AQ42" s="246"/>
      <c r="AR42" s="247"/>
      <c r="AS42" s="193"/>
    </row>
    <row r="43" s="161" customFormat="1" spans="1:45">
      <c r="A43" s="65" t="s">
        <v>26</v>
      </c>
      <c r="B43" s="250">
        <v>19</v>
      </c>
      <c r="C43" s="65" t="s">
        <v>66</v>
      </c>
      <c r="D43" s="14" t="s">
        <v>67</v>
      </c>
      <c r="E43" s="14"/>
      <c r="F43" s="234">
        <v>12</v>
      </c>
      <c r="G43" s="235"/>
      <c r="H43" s="236"/>
      <c r="I43" s="237"/>
      <c r="J43" s="238"/>
      <c r="K43" s="238"/>
      <c r="L43" s="238"/>
      <c r="M43" s="239"/>
      <c r="N43" s="239"/>
      <c r="O43" s="239"/>
      <c r="P43" s="239"/>
      <c r="Q43" s="240"/>
      <c r="R43" s="240"/>
      <c r="S43" s="240"/>
      <c r="T43" s="240"/>
      <c r="U43" s="240"/>
      <c r="V43" s="161"/>
      <c r="W43" s="167"/>
      <c r="X43" s="157" t="s">
        <v>26</v>
      </c>
      <c r="Y43" s="77">
        <v>19</v>
      </c>
      <c r="Z43" s="65" t="s">
        <v>66</v>
      </c>
      <c r="AA43" s="14" t="s">
        <v>67</v>
      </c>
      <c r="AB43" s="14"/>
      <c r="AC43" s="241">
        <v>12</v>
      </c>
      <c r="AD43" s="242"/>
      <c r="AE43" s="243"/>
      <c r="AF43" s="243"/>
      <c r="AG43" s="244"/>
      <c r="AH43" s="244"/>
      <c r="AI43" s="244"/>
      <c r="AJ43" s="245"/>
      <c r="AK43" s="245"/>
      <c r="AL43" s="245"/>
      <c r="AM43" s="245"/>
      <c r="AN43" s="246"/>
      <c r="AO43" s="246"/>
      <c r="AP43" s="246"/>
      <c r="AQ43" s="246"/>
      <c r="AR43" s="247"/>
      <c r="AS43" s="193"/>
    </row>
    <row r="44" s="161" customFormat="1" spans="1:45">
      <c r="A44" s="65" t="s">
        <v>26</v>
      </c>
      <c r="B44" s="250">
        <v>20</v>
      </c>
      <c r="C44" s="65" t="s">
        <v>98</v>
      </c>
      <c r="D44" s="14" t="s">
        <v>98</v>
      </c>
      <c r="E44" s="14"/>
      <c r="F44" s="234">
        <v>12</v>
      </c>
      <c r="G44" s="235"/>
      <c r="H44" s="236"/>
      <c r="I44" s="237"/>
      <c r="J44" s="238"/>
      <c r="K44" s="238"/>
      <c r="L44" s="238"/>
      <c r="M44" s="239"/>
      <c r="N44" s="239"/>
      <c r="O44" s="239"/>
      <c r="P44" s="239"/>
      <c r="Q44" s="240"/>
      <c r="R44" s="240"/>
      <c r="S44" s="240"/>
      <c r="T44" s="240"/>
      <c r="U44" s="240"/>
      <c r="V44" s="161"/>
      <c r="W44" s="167"/>
      <c r="X44" s="157" t="s">
        <v>26</v>
      </c>
      <c r="Y44" s="77">
        <v>20</v>
      </c>
      <c r="Z44" s="65" t="s">
        <v>98</v>
      </c>
      <c r="AA44" s="14" t="s">
        <v>98</v>
      </c>
      <c r="AB44" s="14"/>
      <c r="AC44" s="241">
        <v>12</v>
      </c>
      <c r="AD44" s="242"/>
      <c r="AE44" s="243"/>
      <c r="AF44" s="243"/>
      <c r="AG44" s="244"/>
      <c r="AH44" s="244"/>
      <c r="AI44" s="244"/>
      <c r="AJ44" s="245"/>
      <c r="AK44" s="245"/>
      <c r="AL44" s="245"/>
      <c r="AM44" s="245"/>
      <c r="AN44" s="246"/>
      <c r="AO44" s="246"/>
      <c r="AP44" s="246"/>
      <c r="AQ44" s="246"/>
      <c r="AR44" s="247"/>
      <c r="AS44" s="193"/>
    </row>
    <row r="45" s="164" customFormat="1" spans="1:45">
      <c r="A45" s="253" t="s">
        <v>99</v>
      </c>
      <c r="B45" s="253"/>
      <c r="C45" s="253"/>
      <c r="D45" s="253"/>
      <c r="E45" s="253"/>
      <c r="F45" s="254">
        <f t="shared" ref="F45:U45" si="35">MAX(F25:F44)</f>
        <v>14</v>
      </c>
      <c r="G45" s="255">
        <f>MAX(G38:G44)</f>
        <v>0</v>
      </c>
      <c r="H45" s="256">
        <f t="shared" si="35"/>
        <v>6</v>
      </c>
      <c r="I45" s="256">
        <f t="shared" si="35"/>
        <v>3</v>
      </c>
      <c r="J45" s="257">
        <f t="shared" si="35"/>
        <v>14</v>
      </c>
      <c r="K45" s="257">
        <f t="shared" si="35"/>
        <v>14</v>
      </c>
      <c r="L45" s="257">
        <f t="shared" si="35"/>
        <v>14</v>
      </c>
      <c r="M45" s="258">
        <f t="shared" si="35"/>
        <v>14</v>
      </c>
      <c r="N45" s="258">
        <f t="shared" si="35"/>
        <v>6</v>
      </c>
      <c r="O45" s="258">
        <f t="shared" si="35"/>
        <v>14</v>
      </c>
      <c r="P45" s="258">
        <f t="shared" si="35"/>
        <v>6</v>
      </c>
      <c r="Q45" s="259">
        <f t="shared" si="35"/>
        <v>12</v>
      </c>
      <c r="R45" s="259">
        <f t="shared" si="35"/>
        <v>36</v>
      </c>
      <c r="S45" s="259">
        <f t="shared" si="35"/>
        <v>36</v>
      </c>
      <c r="T45" s="259">
        <f t="shared" si="35"/>
        <v>36</v>
      </c>
      <c r="U45" s="259">
        <f t="shared" si="35"/>
        <v>36</v>
      </c>
      <c r="V45" s="260"/>
      <c r="W45" s="167"/>
      <c r="X45" s="261" t="s">
        <v>99</v>
      </c>
      <c r="Y45" s="253"/>
      <c r="Z45" s="253"/>
      <c r="AA45" s="262"/>
      <c r="AB45" s="262"/>
      <c r="AC45" s="263">
        <f t="shared" ref="AC45:AR45" si="36">MAX(AC25:AC44)</f>
        <v>14</v>
      </c>
      <c r="AD45" s="264">
        <f>MAX(AD38:AD44)</f>
        <v>0</v>
      </c>
      <c r="AE45" s="265">
        <f t="shared" si="36"/>
        <v>6</v>
      </c>
      <c r="AF45" s="266">
        <f t="shared" si="36"/>
        <v>3</v>
      </c>
      <c r="AG45" s="267">
        <f t="shared" si="36"/>
        <v>14</v>
      </c>
      <c r="AH45" s="268">
        <f t="shared" si="36"/>
        <v>14</v>
      </c>
      <c r="AI45" s="269">
        <f t="shared" si="36"/>
        <v>14</v>
      </c>
      <c r="AJ45" s="270">
        <f t="shared" si="36"/>
        <v>14</v>
      </c>
      <c r="AK45" s="271">
        <f t="shared" si="36"/>
        <v>6</v>
      </c>
      <c r="AL45" s="271">
        <f t="shared" si="36"/>
        <v>14</v>
      </c>
      <c r="AM45" s="272">
        <f t="shared" si="36"/>
        <v>6</v>
      </c>
      <c r="AN45" s="273">
        <f t="shared" si="36"/>
        <v>12</v>
      </c>
      <c r="AO45" s="274">
        <f t="shared" si="36"/>
        <v>36</v>
      </c>
      <c r="AP45" s="274">
        <f t="shared" si="36"/>
        <v>36</v>
      </c>
      <c r="AQ45" s="274">
        <f t="shared" si="36"/>
        <v>36</v>
      </c>
      <c r="AR45" s="274">
        <f t="shared" si="36"/>
        <v>36</v>
      </c>
      <c r="AS45" s="275"/>
    </row>
    <row r="46" s="164" customFormat="1" spans="1:45">
      <c r="A46" s="211" t="s">
        <v>100</v>
      </c>
      <c r="B46" s="212"/>
      <c r="C46" s="212"/>
      <c r="D46" s="212"/>
      <c r="E46" s="212"/>
      <c r="F46" s="226" t="s">
        <v>4</v>
      </c>
      <c r="G46" s="226"/>
      <c r="H46" s="227" t="s">
        <v>5</v>
      </c>
      <c r="I46" s="228"/>
      <c r="J46" s="276" t="s">
        <v>6</v>
      </c>
      <c r="K46" s="276"/>
      <c r="L46" s="276"/>
      <c r="M46" s="277" t="s">
        <v>7</v>
      </c>
      <c r="N46" s="277"/>
      <c r="O46" s="277"/>
      <c r="P46" s="277"/>
      <c r="Q46" s="278" t="s">
        <v>51</v>
      </c>
      <c r="R46" s="278"/>
      <c r="S46" s="278"/>
      <c r="T46" s="278"/>
      <c r="U46" s="278"/>
      <c r="V46" s="219" t="s">
        <v>52</v>
      </c>
      <c r="W46" s="167"/>
      <c r="X46" s="279" t="s">
        <v>100</v>
      </c>
      <c r="Y46" s="212"/>
      <c r="Z46" s="212"/>
      <c r="AA46" s="212"/>
      <c r="AB46" s="212"/>
      <c r="AC46" s="280" t="s">
        <v>4</v>
      </c>
      <c r="AD46" s="281"/>
      <c r="AE46" s="282" t="s">
        <v>5</v>
      </c>
      <c r="AF46" s="283"/>
      <c r="AG46" s="284" t="s">
        <v>6</v>
      </c>
      <c r="AH46" s="285"/>
      <c r="AI46" s="285"/>
      <c r="AJ46" s="286" t="s">
        <v>7</v>
      </c>
      <c r="AK46" s="287"/>
      <c r="AL46" s="287"/>
      <c r="AM46" s="287"/>
      <c r="AN46" s="288" t="s">
        <v>51</v>
      </c>
      <c r="AO46" s="289"/>
      <c r="AP46" s="289"/>
      <c r="AQ46" s="289"/>
      <c r="AR46" s="289"/>
      <c r="AS46" s="224" t="s">
        <v>52</v>
      </c>
    </row>
    <row r="47" s="164" customFormat="1" ht="31" spans="1:45">
      <c r="A47" s="62" t="s">
        <v>53</v>
      </c>
      <c r="B47" s="62" t="s">
        <v>54</v>
      </c>
      <c r="C47" s="62" t="s">
        <v>55</v>
      </c>
      <c r="D47" s="78" t="s">
        <v>56</v>
      </c>
      <c r="E47" s="78"/>
      <c r="F47" s="225" t="s">
        <v>10</v>
      </c>
      <c r="G47" s="226" t="s">
        <v>11</v>
      </c>
      <c r="H47" s="227" t="s">
        <v>57</v>
      </c>
      <c r="I47" s="228" t="s">
        <v>13</v>
      </c>
      <c r="J47" s="229" t="s">
        <v>14</v>
      </c>
      <c r="K47" s="229" t="s">
        <v>15</v>
      </c>
      <c r="L47" s="229" t="s">
        <v>58</v>
      </c>
      <c r="M47" s="230" t="s">
        <v>59</v>
      </c>
      <c r="N47" s="230" t="s">
        <v>60</v>
      </c>
      <c r="O47" s="230" t="s">
        <v>61</v>
      </c>
      <c r="P47" s="230" t="s">
        <v>62</v>
      </c>
      <c r="Q47" s="231" t="s">
        <v>21</v>
      </c>
      <c r="R47" s="231" t="s">
        <v>22</v>
      </c>
      <c r="S47" s="231" t="s">
        <v>63</v>
      </c>
      <c r="T47" s="231" t="s">
        <v>64</v>
      </c>
      <c r="U47" s="231" t="s">
        <v>65</v>
      </c>
      <c r="V47" s="219"/>
      <c r="W47" s="167"/>
      <c r="X47" s="151" t="s">
        <v>53</v>
      </c>
      <c r="Y47" s="62" t="s">
        <v>54</v>
      </c>
      <c r="Z47" s="62" t="s">
        <v>55</v>
      </c>
      <c r="AA47" s="78" t="s">
        <v>56</v>
      </c>
      <c r="AB47" s="78"/>
      <c r="AC47" s="290" t="s">
        <v>10</v>
      </c>
      <c r="AD47" s="291" t="s">
        <v>11</v>
      </c>
      <c r="AE47" s="282" t="s">
        <v>57</v>
      </c>
      <c r="AF47" s="292" t="s">
        <v>13</v>
      </c>
      <c r="AG47" s="293" t="s">
        <v>14</v>
      </c>
      <c r="AH47" s="294" t="s">
        <v>15</v>
      </c>
      <c r="AI47" s="295" t="s">
        <v>58</v>
      </c>
      <c r="AJ47" s="296" t="s">
        <v>59</v>
      </c>
      <c r="AK47" s="297" t="s">
        <v>60</v>
      </c>
      <c r="AL47" s="297" t="s">
        <v>61</v>
      </c>
      <c r="AM47" s="298" t="s">
        <v>62</v>
      </c>
      <c r="AN47" s="299" t="s">
        <v>21</v>
      </c>
      <c r="AO47" s="300" t="s">
        <v>22</v>
      </c>
      <c r="AP47" s="300" t="s">
        <v>63</v>
      </c>
      <c r="AQ47" s="300" t="s">
        <v>64</v>
      </c>
      <c r="AR47" s="300" t="s">
        <v>65</v>
      </c>
      <c r="AS47" s="224"/>
    </row>
    <row r="48" s="161" customFormat="1" spans="1:45">
      <c r="A48" s="65" t="s">
        <v>27</v>
      </c>
      <c r="B48" s="65">
        <v>1</v>
      </c>
      <c r="C48" s="65" t="s">
        <v>66</v>
      </c>
      <c r="D48" s="14" t="s">
        <v>67</v>
      </c>
      <c r="E48" s="14"/>
      <c r="F48" s="234">
        <v>12</v>
      </c>
      <c r="G48" s="235"/>
      <c r="H48" s="236"/>
      <c r="I48" s="237"/>
      <c r="J48" s="238"/>
      <c r="K48" s="238"/>
      <c r="L48" s="238"/>
      <c r="M48" s="239"/>
      <c r="N48" s="239"/>
      <c r="O48" s="239"/>
      <c r="P48" s="239"/>
      <c r="Q48" s="240"/>
      <c r="R48" s="240"/>
      <c r="S48" s="240"/>
      <c r="T48" s="240"/>
      <c r="U48" s="240"/>
      <c r="V48" s="301"/>
      <c r="W48" s="167"/>
      <c r="X48" s="157" t="s">
        <v>27</v>
      </c>
      <c r="Y48" s="65">
        <v>1</v>
      </c>
      <c r="Z48" s="65" t="s">
        <v>66</v>
      </c>
      <c r="AA48" s="14" t="s">
        <v>67</v>
      </c>
      <c r="AB48" s="14"/>
      <c r="AC48" s="241">
        <v>12</v>
      </c>
      <c r="AD48" s="242"/>
      <c r="AE48" s="243"/>
      <c r="AF48" s="243"/>
      <c r="AG48" s="244"/>
      <c r="AH48" s="244"/>
      <c r="AI48" s="244"/>
      <c r="AJ48" s="245"/>
      <c r="AK48" s="245"/>
      <c r="AL48" s="245"/>
      <c r="AM48" s="245"/>
      <c r="AN48" s="246"/>
      <c r="AO48" s="246"/>
      <c r="AP48" s="246"/>
      <c r="AQ48" s="246"/>
      <c r="AR48" s="247"/>
      <c r="AS48" s="194"/>
    </row>
    <row r="49" s="161" customFormat="1" spans="1:45">
      <c r="A49" s="65" t="s">
        <v>27</v>
      </c>
      <c r="B49" s="65">
        <v>2</v>
      </c>
      <c r="C49" s="65" t="s">
        <v>68</v>
      </c>
      <c r="D49" s="14" t="s">
        <v>69</v>
      </c>
      <c r="E49" s="14"/>
      <c r="F49" s="234">
        <v>12</v>
      </c>
      <c r="G49" s="235"/>
      <c r="H49" s="236"/>
      <c r="I49" s="237"/>
      <c r="J49" s="238">
        <f>F49</f>
        <v>12</v>
      </c>
      <c r="K49" s="238">
        <f>F49</f>
        <v>12</v>
      </c>
      <c r="L49" s="238">
        <f>F49</f>
        <v>12</v>
      </c>
      <c r="M49" s="239">
        <f>F49</f>
        <v>12</v>
      </c>
      <c r="N49" s="239"/>
      <c r="O49" s="239">
        <f>F49</f>
        <v>12</v>
      </c>
      <c r="P49" s="239"/>
      <c r="Q49" s="240"/>
      <c r="R49" s="240"/>
      <c r="S49" s="240"/>
      <c r="T49" s="240"/>
      <c r="U49" s="240"/>
      <c r="V49" s="301"/>
      <c r="W49" s="167"/>
      <c r="X49" s="157" t="s">
        <v>27</v>
      </c>
      <c r="Y49" s="65">
        <v>2</v>
      </c>
      <c r="Z49" s="65" t="s">
        <v>68</v>
      </c>
      <c r="AA49" s="14" t="s">
        <v>69</v>
      </c>
      <c r="AB49" s="14"/>
      <c r="AC49" s="241">
        <v>12</v>
      </c>
      <c r="AD49" s="242"/>
      <c r="AE49" s="243"/>
      <c r="AF49" s="243"/>
      <c r="AG49" s="244">
        <f>AC49</f>
        <v>12</v>
      </c>
      <c r="AH49" s="244">
        <f>AC49</f>
        <v>12</v>
      </c>
      <c r="AI49" s="244">
        <f>AC49</f>
        <v>12</v>
      </c>
      <c r="AJ49" s="245">
        <f>AC49</f>
        <v>12</v>
      </c>
      <c r="AK49" s="245"/>
      <c r="AL49" s="245">
        <f>AC49</f>
        <v>12</v>
      </c>
      <c r="AM49" s="245"/>
      <c r="AN49" s="246"/>
      <c r="AO49" s="246"/>
      <c r="AP49" s="246"/>
      <c r="AQ49" s="246"/>
      <c r="AR49" s="247"/>
      <c r="AS49" s="194"/>
    </row>
    <row r="50" s="161" customFormat="1" ht="31" spans="1:45">
      <c r="A50" s="65" t="s">
        <v>27</v>
      </c>
      <c r="B50" s="65">
        <v>3</v>
      </c>
      <c r="C50" s="251" t="s">
        <v>101</v>
      </c>
      <c r="D50" s="252" t="s">
        <v>102</v>
      </c>
      <c r="E50" s="252"/>
      <c r="F50" s="234">
        <v>12</v>
      </c>
      <c r="G50" s="235"/>
      <c r="H50" s="236"/>
      <c r="I50" s="237"/>
      <c r="J50" s="238">
        <f>IF(F50&gt;0,1,0)</f>
        <v>1</v>
      </c>
      <c r="K50" s="238">
        <f>IF(F50&gt;0,1,0)</f>
        <v>1</v>
      </c>
      <c r="L50" s="238">
        <f>IF(F50&gt;0,1,0)</f>
        <v>1</v>
      </c>
      <c r="M50" s="239">
        <f>IF(F50&gt;0,1,0)</f>
        <v>1</v>
      </c>
      <c r="N50" s="239"/>
      <c r="O50" s="239">
        <f>IF(F50&gt;0,1,0)</f>
        <v>1</v>
      </c>
      <c r="P50" s="239"/>
      <c r="Q50" s="240"/>
      <c r="R50" s="240"/>
      <c r="S50" s="240"/>
      <c r="T50" s="240"/>
      <c r="U50" s="240"/>
      <c r="V50" s="249" t="s">
        <v>103</v>
      </c>
      <c r="W50" s="167"/>
      <c r="X50" s="157" t="s">
        <v>27</v>
      </c>
      <c r="Y50" s="65">
        <v>3</v>
      </c>
      <c r="Z50" s="251" t="s">
        <v>101</v>
      </c>
      <c r="AA50" s="252" t="s">
        <v>102</v>
      </c>
      <c r="AB50" s="252"/>
      <c r="AC50" s="241">
        <v>12</v>
      </c>
      <c r="AD50" s="242"/>
      <c r="AE50" s="243"/>
      <c r="AF50" s="243"/>
      <c r="AG50" s="244">
        <f>IF(AC50&gt;0,1,0)</f>
        <v>1</v>
      </c>
      <c r="AH50" s="244">
        <f>IF(AC50&gt;0,1,0)</f>
        <v>1</v>
      </c>
      <c r="AI50" s="244">
        <f>IF(AC50&gt;0,1,0)</f>
        <v>1</v>
      </c>
      <c r="AJ50" s="245">
        <f>IF(AC50&gt;0,1,0)</f>
        <v>1</v>
      </c>
      <c r="AK50" s="245"/>
      <c r="AL50" s="245">
        <f>IF(AC50&gt;0,1,0)</f>
        <v>1</v>
      </c>
      <c r="AM50" s="245"/>
      <c r="AN50" s="246"/>
      <c r="AO50" s="246"/>
      <c r="AP50" s="246"/>
      <c r="AQ50" s="246"/>
      <c r="AR50" s="247"/>
      <c r="AS50" s="183" t="s">
        <v>103</v>
      </c>
    </row>
    <row r="51" s="161" customFormat="1" ht="16" spans="1:45">
      <c r="A51" s="65" t="s">
        <v>27</v>
      </c>
      <c r="B51" s="65">
        <v>4</v>
      </c>
      <c r="C51" s="251" t="s">
        <v>104</v>
      </c>
      <c r="D51" s="252" t="s">
        <v>105</v>
      </c>
      <c r="E51" s="252"/>
      <c r="F51" s="234">
        <v>12</v>
      </c>
      <c r="G51" s="235"/>
      <c r="H51" s="236"/>
      <c r="I51" s="237"/>
      <c r="J51" s="238">
        <f>IF(F51&gt;0,1,0)</f>
        <v>1</v>
      </c>
      <c r="K51" s="238">
        <f>IF(F51&gt;0,1,0)</f>
        <v>1</v>
      </c>
      <c r="L51" s="238">
        <f>IF(F51&gt;0,1,0)</f>
        <v>1</v>
      </c>
      <c r="M51" s="239">
        <f>F51*2</f>
        <v>24</v>
      </c>
      <c r="N51" s="239"/>
      <c r="O51" s="239">
        <f>F51*2</f>
        <v>24</v>
      </c>
      <c r="P51" s="239"/>
      <c r="Q51" s="240"/>
      <c r="R51" s="240"/>
      <c r="S51" s="240"/>
      <c r="T51" s="240"/>
      <c r="U51" s="240"/>
      <c r="V51" s="249" t="s">
        <v>106</v>
      </c>
      <c r="W51" s="167"/>
      <c r="X51" s="157" t="s">
        <v>27</v>
      </c>
      <c r="Y51" s="65">
        <v>4</v>
      </c>
      <c r="Z51" s="251" t="s">
        <v>104</v>
      </c>
      <c r="AA51" s="252" t="s">
        <v>105</v>
      </c>
      <c r="AB51" s="252"/>
      <c r="AC51" s="241">
        <v>12</v>
      </c>
      <c r="AD51" s="242"/>
      <c r="AE51" s="243"/>
      <c r="AF51" s="243"/>
      <c r="AG51" s="244">
        <f>IF(AC51&gt;0,1,0)</f>
        <v>1</v>
      </c>
      <c r="AH51" s="244">
        <f>IF(AC51&gt;0,1,0)</f>
        <v>1</v>
      </c>
      <c r="AI51" s="244">
        <f>IF(AC51&gt;0,1,0)</f>
        <v>1</v>
      </c>
      <c r="AJ51" s="245">
        <f>AC51*2</f>
        <v>24</v>
      </c>
      <c r="AK51" s="245"/>
      <c r="AL51" s="245">
        <f>AC51*2</f>
        <v>24</v>
      </c>
      <c r="AM51" s="245"/>
      <c r="AN51" s="246"/>
      <c r="AO51" s="246"/>
      <c r="AP51" s="246"/>
      <c r="AQ51" s="246"/>
      <c r="AR51" s="247"/>
      <c r="AS51" s="183" t="s">
        <v>106</v>
      </c>
    </row>
    <row r="52" s="161" customFormat="1" spans="1:45">
      <c r="A52" s="65" t="s">
        <v>27</v>
      </c>
      <c r="B52" s="65">
        <v>5</v>
      </c>
      <c r="C52" s="65" t="s">
        <v>68</v>
      </c>
      <c r="D52" s="14" t="s">
        <v>69</v>
      </c>
      <c r="E52" s="14"/>
      <c r="F52" s="234">
        <v>12</v>
      </c>
      <c r="G52" s="235"/>
      <c r="H52" s="236"/>
      <c r="I52" s="237"/>
      <c r="J52" s="238">
        <f>F52</f>
        <v>12</v>
      </c>
      <c r="K52" s="238">
        <f>F52</f>
        <v>12</v>
      </c>
      <c r="L52" s="238">
        <f>F52</f>
        <v>12</v>
      </c>
      <c r="M52" s="239">
        <f>F52</f>
        <v>12</v>
      </c>
      <c r="N52" s="239"/>
      <c r="O52" s="239">
        <f>F52</f>
        <v>12</v>
      </c>
      <c r="P52" s="239"/>
      <c r="Q52" s="240"/>
      <c r="R52" s="240"/>
      <c r="S52" s="240"/>
      <c r="T52" s="240"/>
      <c r="U52" s="240"/>
      <c r="V52" s="301"/>
      <c r="W52" s="167"/>
      <c r="X52" s="157" t="s">
        <v>27</v>
      </c>
      <c r="Y52" s="65">
        <v>5</v>
      </c>
      <c r="Z52" s="65" t="s">
        <v>68</v>
      </c>
      <c r="AA52" s="14" t="s">
        <v>69</v>
      </c>
      <c r="AB52" s="14"/>
      <c r="AC52" s="241">
        <v>12</v>
      </c>
      <c r="AD52" s="242"/>
      <c r="AE52" s="243"/>
      <c r="AF52" s="243"/>
      <c r="AG52" s="244">
        <f>AC52</f>
        <v>12</v>
      </c>
      <c r="AH52" s="244">
        <f>AC52</f>
        <v>12</v>
      </c>
      <c r="AI52" s="244">
        <f>AC52</f>
        <v>12</v>
      </c>
      <c r="AJ52" s="245">
        <f>AC52</f>
        <v>12</v>
      </c>
      <c r="AK52" s="245"/>
      <c r="AL52" s="245">
        <f>AC52</f>
        <v>12</v>
      </c>
      <c r="AM52" s="245"/>
      <c r="AN52" s="246"/>
      <c r="AO52" s="246"/>
      <c r="AP52" s="246"/>
      <c r="AQ52" s="246"/>
      <c r="AR52" s="247"/>
      <c r="AS52" s="194"/>
    </row>
    <row r="53" s="161" customFormat="1" spans="1:45">
      <c r="A53" s="65" t="s">
        <v>27</v>
      </c>
      <c r="B53" s="65">
        <v>6</v>
      </c>
      <c r="C53" s="65" t="s">
        <v>66</v>
      </c>
      <c r="D53" s="14" t="s">
        <v>67</v>
      </c>
      <c r="E53" s="14"/>
      <c r="F53" s="234">
        <v>12</v>
      </c>
      <c r="G53" s="235"/>
      <c r="H53" s="236"/>
      <c r="I53" s="237"/>
      <c r="J53" s="238"/>
      <c r="K53" s="238"/>
      <c r="L53" s="238"/>
      <c r="M53" s="239"/>
      <c r="N53" s="239"/>
      <c r="O53" s="239"/>
      <c r="P53" s="239"/>
      <c r="Q53" s="240"/>
      <c r="R53" s="240"/>
      <c r="S53" s="240"/>
      <c r="T53" s="240"/>
      <c r="U53" s="240"/>
      <c r="V53" s="249"/>
      <c r="W53" s="167"/>
      <c r="X53" s="157" t="s">
        <v>27</v>
      </c>
      <c r="Y53" s="65">
        <v>6</v>
      </c>
      <c r="Z53" s="65" t="s">
        <v>66</v>
      </c>
      <c r="AA53" s="14" t="s">
        <v>67</v>
      </c>
      <c r="AB53" s="14"/>
      <c r="AC53" s="241">
        <v>12</v>
      </c>
      <c r="AD53" s="242"/>
      <c r="AE53" s="243"/>
      <c r="AF53" s="243"/>
      <c r="AG53" s="244"/>
      <c r="AH53" s="244"/>
      <c r="AI53" s="244"/>
      <c r="AJ53" s="245"/>
      <c r="AK53" s="245"/>
      <c r="AL53" s="245"/>
      <c r="AM53" s="245"/>
      <c r="AN53" s="246"/>
      <c r="AO53" s="246"/>
      <c r="AP53" s="246"/>
      <c r="AQ53" s="246"/>
      <c r="AR53" s="247"/>
      <c r="AS53" s="194"/>
    </row>
    <row r="54" s="161" customFormat="1" spans="1:45">
      <c r="A54" s="65" t="s">
        <v>27</v>
      </c>
      <c r="B54" s="65">
        <v>7</v>
      </c>
      <c r="C54" s="65" t="s">
        <v>98</v>
      </c>
      <c r="D54" s="14" t="s">
        <v>98</v>
      </c>
      <c r="E54" s="14"/>
      <c r="F54" s="234">
        <v>12</v>
      </c>
      <c r="G54" s="235"/>
      <c r="H54" s="236"/>
      <c r="I54" s="237"/>
      <c r="J54" s="238"/>
      <c r="K54" s="238"/>
      <c r="L54" s="238"/>
      <c r="M54" s="239"/>
      <c r="N54" s="239"/>
      <c r="O54" s="239"/>
      <c r="P54" s="239"/>
      <c r="Q54" s="240"/>
      <c r="R54" s="240"/>
      <c r="S54" s="240"/>
      <c r="T54" s="240"/>
      <c r="U54" s="240"/>
      <c r="V54" s="249"/>
      <c r="W54" s="167"/>
      <c r="X54" s="157" t="s">
        <v>27</v>
      </c>
      <c r="Y54" s="65">
        <v>7</v>
      </c>
      <c r="Z54" s="65" t="s">
        <v>98</v>
      </c>
      <c r="AA54" s="14" t="s">
        <v>98</v>
      </c>
      <c r="AB54" s="14"/>
      <c r="AC54" s="241">
        <v>12</v>
      </c>
      <c r="AD54" s="242"/>
      <c r="AE54" s="243"/>
      <c r="AF54" s="243"/>
      <c r="AG54" s="244"/>
      <c r="AH54" s="244"/>
      <c r="AI54" s="244"/>
      <c r="AJ54" s="245"/>
      <c r="AK54" s="245"/>
      <c r="AL54" s="245"/>
      <c r="AM54" s="245"/>
      <c r="AN54" s="246"/>
      <c r="AO54" s="246"/>
      <c r="AP54" s="246"/>
      <c r="AQ54" s="246"/>
      <c r="AR54" s="247"/>
      <c r="AS54" s="194"/>
    </row>
    <row r="55" s="165" customFormat="1" spans="1:45">
      <c r="A55" s="253" t="s">
        <v>99</v>
      </c>
      <c r="B55" s="253"/>
      <c r="C55" s="253"/>
      <c r="D55" s="253"/>
      <c r="E55" s="253"/>
      <c r="F55" s="254">
        <f t="shared" ref="F55:U55" si="37">MAX(F48:F54)</f>
        <v>12</v>
      </c>
      <c r="G55" s="255">
        <f t="shared" si="37"/>
        <v>0</v>
      </c>
      <c r="H55" s="256">
        <f t="shared" si="37"/>
        <v>0</v>
      </c>
      <c r="I55" s="256">
        <f t="shared" si="37"/>
        <v>0</v>
      </c>
      <c r="J55" s="257">
        <f t="shared" si="37"/>
        <v>12</v>
      </c>
      <c r="K55" s="257">
        <f t="shared" si="37"/>
        <v>12</v>
      </c>
      <c r="L55" s="257">
        <f t="shared" si="37"/>
        <v>12</v>
      </c>
      <c r="M55" s="258">
        <f t="shared" si="37"/>
        <v>24</v>
      </c>
      <c r="N55" s="258">
        <f t="shared" si="37"/>
        <v>0</v>
      </c>
      <c r="O55" s="258">
        <f t="shared" si="37"/>
        <v>24</v>
      </c>
      <c r="P55" s="258">
        <f t="shared" si="37"/>
        <v>0</v>
      </c>
      <c r="Q55" s="259">
        <f t="shared" si="37"/>
        <v>0</v>
      </c>
      <c r="R55" s="259">
        <f t="shared" si="37"/>
        <v>0</v>
      </c>
      <c r="S55" s="259">
        <f t="shared" si="37"/>
        <v>0</v>
      </c>
      <c r="T55" s="259">
        <f t="shared" si="37"/>
        <v>0</v>
      </c>
      <c r="U55" s="259">
        <f t="shared" si="37"/>
        <v>0</v>
      </c>
      <c r="V55" s="260"/>
      <c r="W55" s="167"/>
      <c r="X55" s="261" t="s">
        <v>99</v>
      </c>
      <c r="Y55" s="253"/>
      <c r="Z55" s="253"/>
      <c r="AA55" s="262"/>
      <c r="AB55" s="262"/>
      <c r="AC55" s="263">
        <f>MAX(AC48:AC54)</f>
        <v>12</v>
      </c>
      <c r="AD55" s="264">
        <f>MAX(AD48:AD54)</f>
        <v>0</v>
      </c>
      <c r="AE55" s="265">
        <v>0</v>
      </c>
      <c r="AF55" s="266">
        <v>0</v>
      </c>
      <c r="AG55" s="267">
        <v>12</v>
      </c>
      <c r="AH55" s="268">
        <v>12</v>
      </c>
      <c r="AI55" s="269">
        <v>12</v>
      </c>
      <c r="AJ55" s="270">
        <v>24</v>
      </c>
      <c r="AK55" s="271">
        <v>0</v>
      </c>
      <c r="AL55" s="271">
        <v>24</v>
      </c>
      <c r="AM55" s="272">
        <v>0</v>
      </c>
      <c r="AN55" s="273">
        <v>0</v>
      </c>
      <c r="AO55" s="274">
        <v>0</v>
      </c>
      <c r="AP55" s="274">
        <v>0</v>
      </c>
      <c r="AQ55" s="274">
        <v>0</v>
      </c>
      <c r="AR55" s="274">
        <v>0</v>
      </c>
      <c r="AS55" s="275"/>
    </row>
    <row r="56" s="164" customFormat="1" spans="1:45">
      <c r="A56" s="211" t="s">
        <v>107</v>
      </c>
      <c r="B56" s="212"/>
      <c r="C56" s="212"/>
      <c r="D56" s="212"/>
      <c r="E56" s="212"/>
      <c r="F56" s="226" t="s">
        <v>4</v>
      </c>
      <c r="G56" s="226"/>
      <c r="H56" s="227" t="s">
        <v>5</v>
      </c>
      <c r="I56" s="228"/>
      <c r="J56" s="276" t="s">
        <v>6</v>
      </c>
      <c r="K56" s="276"/>
      <c r="L56" s="276"/>
      <c r="M56" s="277" t="s">
        <v>7</v>
      </c>
      <c r="N56" s="277"/>
      <c r="O56" s="277"/>
      <c r="P56" s="277"/>
      <c r="Q56" s="278" t="s">
        <v>51</v>
      </c>
      <c r="R56" s="278"/>
      <c r="S56" s="278"/>
      <c r="T56" s="278"/>
      <c r="U56" s="278"/>
      <c r="V56" s="219" t="s">
        <v>52</v>
      </c>
      <c r="W56" s="167"/>
      <c r="X56" s="279" t="s">
        <v>107</v>
      </c>
      <c r="Y56" s="212"/>
      <c r="Z56" s="212"/>
      <c r="AA56" s="212"/>
      <c r="AB56" s="212"/>
      <c r="AC56" s="280" t="s">
        <v>4</v>
      </c>
      <c r="AD56" s="281"/>
      <c r="AE56" s="282" t="s">
        <v>5</v>
      </c>
      <c r="AF56" s="283"/>
      <c r="AG56" s="284" t="s">
        <v>6</v>
      </c>
      <c r="AH56" s="285"/>
      <c r="AI56" s="285"/>
      <c r="AJ56" s="286" t="s">
        <v>7</v>
      </c>
      <c r="AK56" s="287"/>
      <c r="AL56" s="287"/>
      <c r="AM56" s="287"/>
      <c r="AN56" s="288" t="s">
        <v>51</v>
      </c>
      <c r="AO56" s="289"/>
      <c r="AP56" s="289"/>
      <c r="AQ56" s="289"/>
      <c r="AR56" s="289"/>
      <c r="AS56" s="224" t="s">
        <v>52</v>
      </c>
    </row>
    <row r="57" s="164" customFormat="1" ht="31" spans="1:45">
      <c r="A57" s="62" t="s">
        <v>53</v>
      </c>
      <c r="B57" s="62" t="s">
        <v>54</v>
      </c>
      <c r="C57" s="62" t="s">
        <v>55</v>
      </c>
      <c r="D57" s="78" t="s">
        <v>56</v>
      </c>
      <c r="E57" s="78"/>
      <c r="F57" s="225" t="s">
        <v>10</v>
      </c>
      <c r="G57" s="226" t="s">
        <v>11</v>
      </c>
      <c r="H57" s="227" t="s">
        <v>57</v>
      </c>
      <c r="I57" s="228" t="s">
        <v>13</v>
      </c>
      <c r="J57" s="229" t="s">
        <v>14</v>
      </c>
      <c r="K57" s="229" t="s">
        <v>15</v>
      </c>
      <c r="L57" s="229" t="s">
        <v>58</v>
      </c>
      <c r="M57" s="230" t="s">
        <v>59</v>
      </c>
      <c r="N57" s="230" t="s">
        <v>60</v>
      </c>
      <c r="O57" s="230" t="s">
        <v>61</v>
      </c>
      <c r="P57" s="230" t="s">
        <v>62</v>
      </c>
      <c r="Q57" s="231" t="s">
        <v>21</v>
      </c>
      <c r="R57" s="231" t="s">
        <v>22</v>
      </c>
      <c r="S57" s="231" t="s">
        <v>63</v>
      </c>
      <c r="T57" s="231" t="s">
        <v>64</v>
      </c>
      <c r="U57" s="231" t="s">
        <v>65</v>
      </c>
      <c r="V57" s="219"/>
      <c r="W57" s="167"/>
      <c r="X57" s="151" t="s">
        <v>53</v>
      </c>
      <c r="Y57" s="62" t="s">
        <v>54</v>
      </c>
      <c r="Z57" s="62" t="s">
        <v>55</v>
      </c>
      <c r="AA57" s="78" t="s">
        <v>56</v>
      </c>
      <c r="AB57" s="78"/>
      <c r="AC57" s="290" t="s">
        <v>10</v>
      </c>
      <c r="AD57" s="291" t="s">
        <v>11</v>
      </c>
      <c r="AE57" s="282" t="s">
        <v>57</v>
      </c>
      <c r="AF57" s="292" t="s">
        <v>13</v>
      </c>
      <c r="AG57" s="293" t="s">
        <v>14</v>
      </c>
      <c r="AH57" s="294" t="s">
        <v>15</v>
      </c>
      <c r="AI57" s="295" t="s">
        <v>58</v>
      </c>
      <c r="AJ57" s="296" t="s">
        <v>59</v>
      </c>
      <c r="AK57" s="297" t="s">
        <v>60</v>
      </c>
      <c r="AL57" s="297" t="s">
        <v>61</v>
      </c>
      <c r="AM57" s="298" t="s">
        <v>62</v>
      </c>
      <c r="AN57" s="299" t="s">
        <v>21</v>
      </c>
      <c r="AO57" s="300" t="s">
        <v>22</v>
      </c>
      <c r="AP57" s="300" t="s">
        <v>63</v>
      </c>
      <c r="AQ57" s="300" t="s">
        <v>64</v>
      </c>
      <c r="AR57" s="300" t="s">
        <v>65</v>
      </c>
      <c r="AS57" s="224"/>
    </row>
    <row r="58" s="161" customFormat="1" spans="1:45">
      <c r="A58" s="65" t="s">
        <v>30</v>
      </c>
      <c r="B58" s="65">
        <v>1</v>
      </c>
      <c r="C58" s="65" t="s">
        <v>66</v>
      </c>
      <c r="D58" s="302" t="s">
        <v>67</v>
      </c>
      <c r="E58" s="303"/>
      <c r="F58" s="234">
        <v>6</v>
      </c>
      <c r="G58" s="235"/>
      <c r="H58" s="236"/>
      <c r="I58" s="237"/>
      <c r="J58" s="238"/>
      <c r="K58" s="238"/>
      <c r="L58" s="238"/>
      <c r="M58" s="239"/>
      <c r="N58" s="239"/>
      <c r="O58" s="239"/>
      <c r="P58" s="239"/>
      <c r="Q58" s="240"/>
      <c r="R58" s="240"/>
      <c r="S58" s="240"/>
      <c r="T58" s="240"/>
      <c r="U58" s="240"/>
      <c r="V58" s="161"/>
      <c r="W58" s="167"/>
      <c r="X58" s="161" t="s">
        <v>30</v>
      </c>
      <c r="Y58" s="65">
        <v>1</v>
      </c>
      <c r="Z58" s="65" t="s">
        <v>66</v>
      </c>
      <c r="AA58" s="14" t="s">
        <v>67</v>
      </c>
      <c r="AB58" s="14"/>
      <c r="AC58" s="241">
        <v>6</v>
      </c>
      <c r="AD58" s="242"/>
      <c r="AE58" s="243"/>
      <c r="AF58" s="243"/>
      <c r="AG58" s="244"/>
      <c r="AH58" s="244"/>
      <c r="AI58" s="244"/>
      <c r="AJ58" s="245"/>
      <c r="AK58" s="245"/>
      <c r="AL58" s="245"/>
      <c r="AM58" s="245"/>
      <c r="AN58" s="246"/>
      <c r="AO58" s="246"/>
      <c r="AP58" s="246"/>
      <c r="AQ58" s="246"/>
      <c r="AR58" s="247"/>
      <c r="AS58" s="193"/>
    </row>
    <row r="59" s="161" customFormat="1" spans="1:45">
      <c r="A59" s="65" t="s">
        <v>30</v>
      </c>
      <c r="B59" s="65">
        <v>2</v>
      </c>
      <c r="C59" s="65" t="s">
        <v>68</v>
      </c>
      <c r="D59" s="304" t="s">
        <v>69</v>
      </c>
      <c r="E59" s="14"/>
      <c r="F59" s="234">
        <v>6</v>
      </c>
      <c r="G59" s="235"/>
      <c r="H59" s="236"/>
      <c r="I59" s="237"/>
      <c r="J59" s="238">
        <f>F59</f>
        <v>6</v>
      </c>
      <c r="K59" s="238">
        <f>F59</f>
        <v>6</v>
      </c>
      <c r="L59" s="238">
        <f>F59</f>
        <v>6</v>
      </c>
      <c r="M59" s="239">
        <f>F59</f>
        <v>6</v>
      </c>
      <c r="N59" s="239"/>
      <c r="O59" s="239">
        <f>F59</f>
        <v>6</v>
      </c>
      <c r="P59" s="239"/>
      <c r="Q59" s="240"/>
      <c r="R59" s="240"/>
      <c r="S59" s="240"/>
      <c r="T59" s="240"/>
      <c r="U59" s="240"/>
      <c r="V59" s="161"/>
      <c r="W59" s="167"/>
      <c r="X59" s="161" t="s">
        <v>30</v>
      </c>
      <c r="Y59" s="65">
        <v>2</v>
      </c>
      <c r="Z59" s="65" t="s">
        <v>68</v>
      </c>
      <c r="AA59" s="14" t="s">
        <v>69</v>
      </c>
      <c r="AB59" s="14"/>
      <c r="AC59" s="241">
        <v>6</v>
      </c>
      <c r="AD59" s="242"/>
      <c r="AE59" s="243"/>
      <c r="AF59" s="243"/>
      <c r="AG59" s="244">
        <f>AC59</f>
        <v>6</v>
      </c>
      <c r="AH59" s="244">
        <f>AC59</f>
        <v>6</v>
      </c>
      <c r="AI59" s="244">
        <f>AC59</f>
        <v>6</v>
      </c>
      <c r="AJ59" s="245">
        <f>AC59</f>
        <v>6</v>
      </c>
      <c r="AK59" s="245"/>
      <c r="AL59" s="245">
        <f>AC59</f>
        <v>6</v>
      </c>
      <c r="AM59" s="245"/>
      <c r="AN59" s="246"/>
      <c r="AO59" s="246"/>
      <c r="AP59" s="246"/>
      <c r="AQ59" s="246"/>
      <c r="AR59" s="247"/>
      <c r="AS59" s="193"/>
    </row>
    <row r="60" s="161" customFormat="1" spans="1:45">
      <c r="A60" s="65" t="s">
        <v>30</v>
      </c>
      <c r="B60" s="65">
        <v>3</v>
      </c>
      <c r="C60" s="251" t="s">
        <v>82</v>
      </c>
      <c r="D60" s="252" t="s">
        <v>83</v>
      </c>
      <c r="E60" s="252"/>
      <c r="F60" s="234">
        <v>6</v>
      </c>
      <c r="G60" s="235"/>
      <c r="H60" s="236"/>
      <c r="I60" s="237"/>
      <c r="J60" s="238">
        <f>IF(F60&gt;0,1,0)</f>
        <v>1</v>
      </c>
      <c r="K60" s="238">
        <f>IF(F60&gt;0,1,0)</f>
        <v>1</v>
      </c>
      <c r="L60" s="238">
        <f>IF(F60&gt;0,1,0)</f>
        <v>1</v>
      </c>
      <c r="M60" s="239">
        <f>IF(F60&gt;0,1,0)</f>
        <v>1</v>
      </c>
      <c r="N60" s="239"/>
      <c r="O60" s="239">
        <f>IF(F60&gt;0,1,0)</f>
        <v>1</v>
      </c>
      <c r="P60" s="239"/>
      <c r="Q60" s="240"/>
      <c r="R60" s="240"/>
      <c r="S60" s="240"/>
      <c r="T60" s="240"/>
      <c r="U60" s="240"/>
      <c r="V60" s="161"/>
      <c r="W60" s="167"/>
      <c r="X60" s="161" t="s">
        <v>30</v>
      </c>
      <c r="Y60" s="65">
        <v>3</v>
      </c>
      <c r="Z60" s="251" t="s">
        <v>82</v>
      </c>
      <c r="AA60" s="252" t="s">
        <v>83</v>
      </c>
      <c r="AB60" s="252"/>
      <c r="AC60" s="241">
        <v>6</v>
      </c>
      <c r="AD60" s="242"/>
      <c r="AE60" s="243"/>
      <c r="AF60" s="243"/>
      <c r="AG60" s="244">
        <f>IF(AC60&gt;0,1,0)</f>
        <v>1</v>
      </c>
      <c r="AH60" s="244">
        <f>IF(AC60&gt;0,1,0)</f>
        <v>1</v>
      </c>
      <c r="AI60" s="244">
        <f>IF(AC60&gt;0,1,0)</f>
        <v>1</v>
      </c>
      <c r="AJ60" s="245">
        <f>IF(AC60&gt;0,1,0)</f>
        <v>1</v>
      </c>
      <c r="AK60" s="245"/>
      <c r="AL60" s="245">
        <f>IF(AC60&gt;0,1,0)</f>
        <v>1</v>
      </c>
      <c r="AM60" s="245"/>
      <c r="AN60" s="246"/>
      <c r="AO60" s="246"/>
      <c r="AP60" s="246"/>
      <c r="AQ60" s="246"/>
      <c r="AR60" s="247"/>
      <c r="AS60" s="193"/>
    </row>
    <row r="61" s="161" customFormat="1" spans="1:45">
      <c r="A61" s="65" t="s">
        <v>30</v>
      </c>
      <c r="B61" s="65">
        <v>4</v>
      </c>
      <c r="C61" s="251" t="s">
        <v>84</v>
      </c>
      <c r="D61" s="252" t="s">
        <v>108</v>
      </c>
      <c r="E61" s="252"/>
      <c r="F61" s="234">
        <v>6</v>
      </c>
      <c r="G61" s="235"/>
      <c r="H61" s="236">
        <f>IF(F61=0,0,IF(F61&lt;6,3,6))</f>
        <v>6</v>
      </c>
      <c r="I61" s="237"/>
      <c r="J61" s="238">
        <f>H61</f>
        <v>6</v>
      </c>
      <c r="K61" s="238">
        <f>H61</f>
        <v>6</v>
      </c>
      <c r="L61" s="238">
        <f>H61</f>
        <v>6</v>
      </c>
      <c r="M61" s="239"/>
      <c r="N61" s="239">
        <f>H61</f>
        <v>6</v>
      </c>
      <c r="O61" s="239"/>
      <c r="P61" s="239">
        <f>H61</f>
        <v>6</v>
      </c>
      <c r="Q61" s="240"/>
      <c r="R61" s="240"/>
      <c r="S61" s="240"/>
      <c r="T61" s="240"/>
      <c r="U61" s="240"/>
      <c r="V61" s="161"/>
      <c r="W61" s="167"/>
      <c r="X61" s="161" t="s">
        <v>30</v>
      </c>
      <c r="Y61" s="65">
        <v>4</v>
      </c>
      <c r="Z61" s="251" t="s">
        <v>84</v>
      </c>
      <c r="AA61" s="252" t="s">
        <v>108</v>
      </c>
      <c r="AB61" s="252"/>
      <c r="AC61" s="241">
        <v>6</v>
      </c>
      <c r="AD61" s="242"/>
      <c r="AE61" s="243">
        <f>IF(AC61=0,0,IF(AC61&lt;6,3,6))</f>
        <v>6</v>
      </c>
      <c r="AF61" s="243"/>
      <c r="AG61" s="244">
        <f>AE61</f>
        <v>6</v>
      </c>
      <c r="AH61" s="244">
        <f>AE61</f>
        <v>6</v>
      </c>
      <c r="AI61" s="244">
        <f>AE61</f>
        <v>6</v>
      </c>
      <c r="AJ61" s="245"/>
      <c r="AK61" s="245">
        <f>AE61</f>
        <v>6</v>
      </c>
      <c r="AL61" s="245"/>
      <c r="AM61" s="245">
        <f>AE61</f>
        <v>6</v>
      </c>
      <c r="AN61" s="246"/>
      <c r="AO61" s="246"/>
      <c r="AP61" s="246"/>
      <c r="AQ61" s="246"/>
      <c r="AR61" s="247"/>
      <c r="AS61" s="193"/>
    </row>
    <row r="62" s="161" customFormat="1" spans="1:45">
      <c r="A62" s="65" t="s">
        <v>30</v>
      </c>
      <c r="B62" s="65">
        <v>5</v>
      </c>
      <c r="C62" s="251" t="s">
        <v>96</v>
      </c>
      <c r="D62" s="252" t="s">
        <v>97</v>
      </c>
      <c r="E62" s="252"/>
      <c r="F62" s="234">
        <v>6</v>
      </c>
      <c r="G62" s="235"/>
      <c r="H62" s="236"/>
      <c r="I62" s="237"/>
      <c r="J62" s="238"/>
      <c r="K62" s="238"/>
      <c r="L62" s="238"/>
      <c r="M62" s="239"/>
      <c r="N62" s="239"/>
      <c r="O62" s="239"/>
      <c r="P62" s="239"/>
      <c r="Q62" s="240"/>
      <c r="R62" s="240"/>
      <c r="S62" s="240"/>
      <c r="T62" s="240"/>
      <c r="U62" s="240"/>
      <c r="V62" s="161"/>
      <c r="W62" s="167"/>
      <c r="X62" s="161" t="s">
        <v>30</v>
      </c>
      <c r="Y62" s="65">
        <v>5</v>
      </c>
      <c r="Z62" s="251" t="s">
        <v>96</v>
      </c>
      <c r="AA62" s="252" t="s">
        <v>97</v>
      </c>
      <c r="AB62" s="252"/>
      <c r="AC62" s="241">
        <v>6</v>
      </c>
      <c r="AD62" s="242"/>
      <c r="AE62" s="243"/>
      <c r="AF62" s="243"/>
      <c r="AG62" s="244"/>
      <c r="AH62" s="244"/>
      <c r="AI62" s="244"/>
      <c r="AJ62" s="245"/>
      <c r="AK62" s="245"/>
      <c r="AL62" s="245"/>
      <c r="AM62" s="245"/>
      <c r="AN62" s="246"/>
      <c r="AO62" s="246"/>
      <c r="AP62" s="246"/>
      <c r="AQ62" s="246"/>
      <c r="AR62" s="247"/>
      <c r="AS62" s="193"/>
    </row>
    <row r="63" s="161" customFormat="1" spans="1:45">
      <c r="A63" s="65" t="s">
        <v>30</v>
      </c>
      <c r="B63" s="65">
        <v>6</v>
      </c>
      <c r="C63" s="65" t="s">
        <v>109</v>
      </c>
      <c r="D63" s="248" t="s">
        <v>110</v>
      </c>
      <c r="E63" s="248"/>
      <c r="F63" s="234">
        <v>6</v>
      </c>
      <c r="G63" s="235"/>
      <c r="H63" s="236"/>
      <c r="I63" s="237"/>
      <c r="J63" s="238">
        <f>F63</f>
        <v>6</v>
      </c>
      <c r="K63" s="238">
        <f>F63</f>
        <v>6</v>
      </c>
      <c r="L63" s="238">
        <f>F63</f>
        <v>6</v>
      </c>
      <c r="M63" s="239">
        <f>F63</f>
        <v>6</v>
      </c>
      <c r="N63" s="239"/>
      <c r="O63" s="239">
        <f>F63</f>
        <v>6</v>
      </c>
      <c r="P63" s="239"/>
      <c r="Q63" s="240">
        <f>F63</f>
        <v>6</v>
      </c>
      <c r="R63" s="240">
        <f>F63*3</f>
        <v>18</v>
      </c>
      <c r="S63" s="240">
        <f>F63*3</f>
        <v>18</v>
      </c>
      <c r="T63" s="240">
        <f>F63*3</f>
        <v>18</v>
      </c>
      <c r="U63" s="240">
        <f>F63*3</f>
        <v>18</v>
      </c>
      <c r="V63" s="249"/>
      <c r="W63" s="167"/>
      <c r="X63" s="161" t="s">
        <v>30</v>
      </c>
      <c r="Y63" s="65">
        <v>6</v>
      </c>
      <c r="Z63" s="65" t="s">
        <v>109</v>
      </c>
      <c r="AA63" s="248" t="s">
        <v>110</v>
      </c>
      <c r="AB63" s="248"/>
      <c r="AC63" s="241">
        <v>6</v>
      </c>
      <c r="AD63" s="242"/>
      <c r="AE63" s="243"/>
      <c r="AF63" s="243"/>
      <c r="AG63" s="244">
        <f>AC63</f>
        <v>6</v>
      </c>
      <c r="AH63" s="244">
        <f>AC63</f>
        <v>6</v>
      </c>
      <c r="AI63" s="244">
        <f>AC63</f>
        <v>6</v>
      </c>
      <c r="AJ63" s="245">
        <f>AC63</f>
        <v>6</v>
      </c>
      <c r="AK63" s="245"/>
      <c r="AL63" s="245">
        <f>AC63</f>
        <v>6</v>
      </c>
      <c r="AM63" s="245"/>
      <c r="AN63" s="246">
        <f>AC63</f>
        <v>6</v>
      </c>
      <c r="AO63" s="246">
        <f>AC63*3</f>
        <v>18</v>
      </c>
      <c r="AP63" s="246">
        <f>AC63*3</f>
        <v>18</v>
      </c>
      <c r="AQ63" s="246">
        <f>AC63*3</f>
        <v>18</v>
      </c>
      <c r="AR63" s="247">
        <f>AC63*3</f>
        <v>18</v>
      </c>
      <c r="AS63" s="194"/>
    </row>
    <row r="64" s="161" customFormat="1" spans="1:45">
      <c r="A64" s="65" t="s">
        <v>30</v>
      </c>
      <c r="B64" s="65">
        <v>7</v>
      </c>
      <c r="C64" s="65" t="s">
        <v>68</v>
      </c>
      <c r="D64" s="14" t="s">
        <v>69</v>
      </c>
      <c r="E64" s="14"/>
      <c r="F64" s="234">
        <v>6</v>
      </c>
      <c r="G64" s="235"/>
      <c r="H64" s="236"/>
      <c r="I64" s="237"/>
      <c r="J64" s="238">
        <f>F64</f>
        <v>6</v>
      </c>
      <c r="K64" s="238">
        <f>F64</f>
        <v>6</v>
      </c>
      <c r="L64" s="238">
        <f>F64</f>
        <v>6</v>
      </c>
      <c r="M64" s="239">
        <f>F64</f>
        <v>6</v>
      </c>
      <c r="N64" s="239"/>
      <c r="O64" s="239">
        <f>F64</f>
        <v>6</v>
      </c>
      <c r="P64" s="239"/>
      <c r="Q64" s="240"/>
      <c r="R64" s="240"/>
      <c r="S64" s="240"/>
      <c r="T64" s="240"/>
      <c r="U64" s="240"/>
      <c r="V64" s="161"/>
      <c r="W64" s="167"/>
      <c r="X64" s="161" t="s">
        <v>30</v>
      </c>
      <c r="Y64" s="65">
        <v>7</v>
      </c>
      <c r="Z64" s="65" t="s">
        <v>68</v>
      </c>
      <c r="AA64" s="14" t="s">
        <v>69</v>
      </c>
      <c r="AB64" s="14"/>
      <c r="AC64" s="241">
        <v>6</v>
      </c>
      <c r="AD64" s="242"/>
      <c r="AE64" s="243"/>
      <c r="AF64" s="243"/>
      <c r="AG64" s="244">
        <f>AC64</f>
        <v>6</v>
      </c>
      <c r="AH64" s="244">
        <f>AC64</f>
        <v>6</v>
      </c>
      <c r="AI64" s="244">
        <f>AC64</f>
        <v>6</v>
      </c>
      <c r="AJ64" s="245">
        <f>AC64</f>
        <v>6</v>
      </c>
      <c r="AK64" s="245"/>
      <c r="AL64" s="245">
        <f>AC64</f>
        <v>6</v>
      </c>
      <c r="AM64" s="245"/>
      <c r="AN64" s="246"/>
      <c r="AO64" s="246"/>
      <c r="AP64" s="246"/>
      <c r="AQ64" s="246"/>
      <c r="AR64" s="247"/>
      <c r="AS64" s="193"/>
    </row>
    <row r="65" s="161" customFormat="1" spans="1:45">
      <c r="A65" s="65" t="s">
        <v>30</v>
      </c>
      <c r="B65" s="65">
        <v>8</v>
      </c>
      <c r="C65" s="65" t="s">
        <v>66</v>
      </c>
      <c r="D65" s="14" t="s">
        <v>67</v>
      </c>
      <c r="E65" s="14"/>
      <c r="F65" s="234">
        <v>6</v>
      </c>
      <c r="G65" s="235"/>
      <c r="H65" s="236"/>
      <c r="I65" s="237"/>
      <c r="J65" s="238"/>
      <c r="K65" s="238"/>
      <c r="L65" s="238"/>
      <c r="M65" s="239"/>
      <c r="N65" s="239"/>
      <c r="O65" s="239"/>
      <c r="P65" s="239"/>
      <c r="Q65" s="240"/>
      <c r="R65" s="240"/>
      <c r="S65" s="240"/>
      <c r="T65" s="240"/>
      <c r="U65" s="240"/>
      <c r="V65" s="249"/>
      <c r="W65" s="167"/>
      <c r="X65" s="161" t="s">
        <v>30</v>
      </c>
      <c r="Y65" s="65">
        <v>8</v>
      </c>
      <c r="Z65" s="65" t="s">
        <v>66</v>
      </c>
      <c r="AA65" s="14" t="s">
        <v>67</v>
      </c>
      <c r="AB65" s="14"/>
      <c r="AC65" s="241">
        <v>6</v>
      </c>
      <c r="AD65" s="242"/>
      <c r="AE65" s="243"/>
      <c r="AF65" s="243"/>
      <c r="AG65" s="244"/>
      <c r="AH65" s="244"/>
      <c r="AI65" s="244"/>
      <c r="AJ65" s="245"/>
      <c r="AK65" s="245"/>
      <c r="AL65" s="245"/>
      <c r="AM65" s="245"/>
      <c r="AN65" s="246"/>
      <c r="AO65" s="246"/>
      <c r="AP65" s="246"/>
      <c r="AQ65" s="246"/>
      <c r="AR65" s="247"/>
      <c r="AS65" s="194"/>
    </row>
    <row r="66" s="161" customFormat="1" spans="1:45">
      <c r="A66" s="65" t="s">
        <v>30</v>
      </c>
      <c r="B66" s="65">
        <v>9</v>
      </c>
      <c r="C66" s="65" t="s">
        <v>98</v>
      </c>
      <c r="D66" s="14" t="s">
        <v>98</v>
      </c>
      <c r="E66" s="14"/>
      <c r="F66" s="234">
        <v>6</v>
      </c>
      <c r="G66" s="235"/>
      <c r="H66" s="236"/>
      <c r="I66" s="237"/>
      <c r="J66" s="238"/>
      <c r="K66" s="238"/>
      <c r="L66" s="238"/>
      <c r="M66" s="239"/>
      <c r="N66" s="239"/>
      <c r="O66" s="239"/>
      <c r="P66" s="239"/>
      <c r="Q66" s="240"/>
      <c r="R66" s="240"/>
      <c r="S66" s="240"/>
      <c r="T66" s="240"/>
      <c r="U66" s="240"/>
      <c r="V66" s="161"/>
      <c r="W66" s="167"/>
      <c r="X66" s="161" t="s">
        <v>30</v>
      </c>
      <c r="Y66" s="305">
        <v>9</v>
      </c>
      <c r="Z66" s="305" t="s">
        <v>98</v>
      </c>
      <c r="AA66" s="306" t="s">
        <v>98</v>
      </c>
      <c r="AB66" s="306"/>
      <c r="AC66" s="241">
        <v>6</v>
      </c>
      <c r="AD66" s="242"/>
      <c r="AE66" s="243"/>
      <c r="AF66" s="243"/>
      <c r="AG66" s="244"/>
      <c r="AH66" s="244"/>
      <c r="AI66" s="244"/>
      <c r="AJ66" s="245"/>
      <c r="AK66" s="245"/>
      <c r="AL66" s="245"/>
      <c r="AM66" s="245"/>
      <c r="AN66" s="246"/>
      <c r="AO66" s="246"/>
      <c r="AP66" s="246"/>
      <c r="AQ66" s="246"/>
      <c r="AR66" s="247"/>
      <c r="AS66" s="193"/>
    </row>
    <row r="67" s="165" customFormat="1" spans="1:45">
      <c r="A67" s="253" t="s">
        <v>99</v>
      </c>
      <c r="B67" s="253"/>
      <c r="C67" s="253"/>
      <c r="D67" s="253"/>
      <c r="E67" s="253"/>
      <c r="F67" s="254">
        <f t="shared" ref="F67:U67" si="38">MAX(F58:F66)</f>
        <v>6</v>
      </c>
      <c r="G67" s="255">
        <f t="shared" si="38"/>
        <v>0</v>
      </c>
      <c r="H67" s="256">
        <f t="shared" si="38"/>
        <v>6</v>
      </c>
      <c r="I67" s="256">
        <f t="shared" si="38"/>
        <v>0</v>
      </c>
      <c r="J67" s="257">
        <f t="shared" si="38"/>
        <v>6</v>
      </c>
      <c r="K67" s="257">
        <f t="shared" si="38"/>
        <v>6</v>
      </c>
      <c r="L67" s="257">
        <f t="shared" si="38"/>
        <v>6</v>
      </c>
      <c r="M67" s="258">
        <f t="shared" si="38"/>
        <v>6</v>
      </c>
      <c r="N67" s="258">
        <f t="shared" si="38"/>
        <v>6</v>
      </c>
      <c r="O67" s="258">
        <f t="shared" si="38"/>
        <v>6</v>
      </c>
      <c r="P67" s="258">
        <f t="shared" si="38"/>
        <v>6</v>
      </c>
      <c r="Q67" s="259">
        <f t="shared" si="38"/>
        <v>6</v>
      </c>
      <c r="R67" s="259">
        <f t="shared" si="38"/>
        <v>18</v>
      </c>
      <c r="S67" s="259">
        <f t="shared" si="38"/>
        <v>18</v>
      </c>
      <c r="T67" s="259">
        <f t="shared" si="38"/>
        <v>18</v>
      </c>
      <c r="U67" s="259">
        <f t="shared" si="38"/>
        <v>18</v>
      </c>
      <c r="V67" s="260"/>
      <c r="W67" s="167"/>
      <c r="X67" s="261" t="s">
        <v>99</v>
      </c>
      <c r="Y67" s="253"/>
      <c r="Z67" s="253"/>
      <c r="AA67" s="262"/>
      <c r="AB67" s="262"/>
      <c r="AC67" s="263">
        <f t="shared" ref="AC67:AR67" si="39">MAX(AC58:AC66)</f>
        <v>6</v>
      </c>
      <c r="AD67" s="264">
        <f t="shared" si="39"/>
        <v>0</v>
      </c>
      <c r="AE67" s="265">
        <f t="shared" si="39"/>
        <v>6</v>
      </c>
      <c r="AF67" s="266">
        <f t="shared" si="39"/>
        <v>0</v>
      </c>
      <c r="AG67" s="267">
        <f t="shared" si="39"/>
        <v>6</v>
      </c>
      <c r="AH67" s="268">
        <f t="shared" si="39"/>
        <v>6</v>
      </c>
      <c r="AI67" s="269">
        <f t="shared" si="39"/>
        <v>6</v>
      </c>
      <c r="AJ67" s="270">
        <f t="shared" si="39"/>
        <v>6</v>
      </c>
      <c r="AK67" s="271">
        <f t="shared" si="39"/>
        <v>6</v>
      </c>
      <c r="AL67" s="271">
        <f t="shared" si="39"/>
        <v>6</v>
      </c>
      <c r="AM67" s="272">
        <f t="shared" si="39"/>
        <v>6</v>
      </c>
      <c r="AN67" s="273">
        <f t="shared" si="39"/>
        <v>6</v>
      </c>
      <c r="AO67" s="274">
        <f t="shared" si="39"/>
        <v>18</v>
      </c>
      <c r="AP67" s="274">
        <f t="shared" si="39"/>
        <v>18</v>
      </c>
      <c r="AQ67" s="274">
        <f t="shared" si="39"/>
        <v>18</v>
      </c>
      <c r="AR67" s="274">
        <f t="shared" si="39"/>
        <v>18</v>
      </c>
      <c r="AS67" s="275"/>
    </row>
    <row r="68" s="164" customFormat="1" spans="1:45">
      <c r="A68" s="211" t="s">
        <v>111</v>
      </c>
      <c r="B68" s="212"/>
      <c r="C68" s="212"/>
      <c r="D68" s="212"/>
      <c r="E68" s="212"/>
      <c r="F68" s="226" t="s">
        <v>4</v>
      </c>
      <c r="G68" s="226"/>
      <c r="H68" s="227" t="s">
        <v>5</v>
      </c>
      <c r="I68" s="228"/>
      <c r="J68" s="276" t="s">
        <v>6</v>
      </c>
      <c r="K68" s="276"/>
      <c r="L68" s="276"/>
      <c r="M68" s="277" t="s">
        <v>7</v>
      </c>
      <c r="N68" s="277"/>
      <c r="O68" s="277"/>
      <c r="P68" s="277"/>
      <c r="Q68" s="278" t="s">
        <v>51</v>
      </c>
      <c r="R68" s="278"/>
      <c r="S68" s="278"/>
      <c r="T68" s="278"/>
      <c r="U68" s="278"/>
      <c r="V68" s="219" t="s">
        <v>52</v>
      </c>
      <c r="W68" s="167"/>
      <c r="X68" s="279" t="s">
        <v>111</v>
      </c>
      <c r="Y68" s="212"/>
      <c r="Z68" s="212"/>
      <c r="AA68" s="212"/>
      <c r="AB68" s="212"/>
      <c r="AC68" s="280" t="s">
        <v>4</v>
      </c>
      <c r="AD68" s="281"/>
      <c r="AE68" s="282" t="s">
        <v>5</v>
      </c>
      <c r="AF68" s="283"/>
      <c r="AG68" s="284" t="s">
        <v>6</v>
      </c>
      <c r="AH68" s="285"/>
      <c r="AI68" s="285"/>
      <c r="AJ68" s="286" t="s">
        <v>7</v>
      </c>
      <c r="AK68" s="287"/>
      <c r="AL68" s="287"/>
      <c r="AM68" s="287"/>
      <c r="AN68" s="288" t="s">
        <v>51</v>
      </c>
      <c r="AO68" s="289"/>
      <c r="AP68" s="289"/>
      <c r="AQ68" s="289"/>
      <c r="AR68" s="289"/>
      <c r="AS68" s="224" t="s">
        <v>52</v>
      </c>
    </row>
    <row r="69" s="164" customFormat="1" ht="31" spans="1:45">
      <c r="A69" s="62" t="s">
        <v>53</v>
      </c>
      <c r="B69" s="62" t="s">
        <v>54</v>
      </c>
      <c r="C69" s="62" t="s">
        <v>55</v>
      </c>
      <c r="D69" s="78" t="s">
        <v>56</v>
      </c>
      <c r="E69" s="78"/>
      <c r="F69" s="225" t="s">
        <v>10</v>
      </c>
      <c r="G69" s="226" t="s">
        <v>11</v>
      </c>
      <c r="H69" s="227" t="s">
        <v>57</v>
      </c>
      <c r="I69" s="228" t="s">
        <v>13</v>
      </c>
      <c r="J69" s="229" t="s">
        <v>14</v>
      </c>
      <c r="K69" s="229" t="s">
        <v>15</v>
      </c>
      <c r="L69" s="229" t="s">
        <v>58</v>
      </c>
      <c r="M69" s="230" t="s">
        <v>59</v>
      </c>
      <c r="N69" s="230" t="s">
        <v>60</v>
      </c>
      <c r="O69" s="230" t="s">
        <v>61</v>
      </c>
      <c r="P69" s="230" t="s">
        <v>62</v>
      </c>
      <c r="Q69" s="231" t="s">
        <v>21</v>
      </c>
      <c r="R69" s="231" t="s">
        <v>22</v>
      </c>
      <c r="S69" s="231" t="s">
        <v>63</v>
      </c>
      <c r="T69" s="231" t="s">
        <v>64</v>
      </c>
      <c r="U69" s="231" t="s">
        <v>65</v>
      </c>
      <c r="V69" s="219"/>
      <c r="W69" s="167"/>
      <c r="X69" s="151" t="s">
        <v>53</v>
      </c>
      <c r="Y69" s="62" t="s">
        <v>54</v>
      </c>
      <c r="Z69" s="62" t="s">
        <v>55</v>
      </c>
      <c r="AA69" s="78" t="s">
        <v>56</v>
      </c>
      <c r="AB69" s="78"/>
      <c r="AC69" s="290" t="s">
        <v>10</v>
      </c>
      <c r="AD69" s="291" t="s">
        <v>11</v>
      </c>
      <c r="AE69" s="282" t="s">
        <v>57</v>
      </c>
      <c r="AF69" s="292" t="s">
        <v>13</v>
      </c>
      <c r="AG69" s="293" t="s">
        <v>14</v>
      </c>
      <c r="AH69" s="294" t="s">
        <v>15</v>
      </c>
      <c r="AI69" s="295" t="s">
        <v>58</v>
      </c>
      <c r="AJ69" s="296" t="s">
        <v>59</v>
      </c>
      <c r="AK69" s="297" t="s">
        <v>60</v>
      </c>
      <c r="AL69" s="297" t="s">
        <v>61</v>
      </c>
      <c r="AM69" s="298" t="s">
        <v>62</v>
      </c>
      <c r="AN69" s="299" t="s">
        <v>21</v>
      </c>
      <c r="AO69" s="300" t="s">
        <v>22</v>
      </c>
      <c r="AP69" s="300" t="s">
        <v>63</v>
      </c>
      <c r="AQ69" s="300" t="s">
        <v>64</v>
      </c>
      <c r="AR69" s="300" t="s">
        <v>65</v>
      </c>
      <c r="AS69" s="224"/>
    </row>
    <row r="70" s="161" customFormat="1" spans="1:45">
      <c r="A70" s="65" t="s">
        <v>31</v>
      </c>
      <c r="B70" s="65">
        <v>1</v>
      </c>
      <c r="C70" s="65" t="s">
        <v>66</v>
      </c>
      <c r="D70" s="14" t="s">
        <v>67</v>
      </c>
      <c r="E70" s="14"/>
      <c r="F70" s="234">
        <v>6</v>
      </c>
      <c r="G70" s="235"/>
      <c r="H70" s="236"/>
      <c r="I70" s="237"/>
      <c r="J70" s="238"/>
      <c r="K70" s="238"/>
      <c r="L70" s="238"/>
      <c r="M70" s="239"/>
      <c r="N70" s="239"/>
      <c r="O70" s="239"/>
      <c r="P70" s="239"/>
      <c r="Q70" s="240"/>
      <c r="R70" s="240"/>
      <c r="S70" s="240"/>
      <c r="T70" s="240"/>
      <c r="U70" s="240"/>
      <c r="V70" s="301"/>
      <c r="W70" s="167"/>
      <c r="X70" s="157" t="s">
        <v>31</v>
      </c>
      <c r="Y70" s="65">
        <v>1</v>
      </c>
      <c r="Z70" s="65" t="s">
        <v>66</v>
      </c>
      <c r="AA70" s="14" t="s">
        <v>67</v>
      </c>
      <c r="AB70" s="14"/>
      <c r="AC70" s="241">
        <v>6</v>
      </c>
      <c r="AD70" s="242"/>
      <c r="AE70" s="243"/>
      <c r="AF70" s="243"/>
      <c r="AG70" s="244"/>
      <c r="AH70" s="244"/>
      <c r="AI70" s="244"/>
      <c r="AJ70" s="245"/>
      <c r="AK70" s="245"/>
      <c r="AL70" s="245"/>
      <c r="AM70" s="245"/>
      <c r="AN70" s="246"/>
      <c r="AO70" s="246"/>
      <c r="AP70" s="246"/>
      <c r="AQ70" s="246"/>
      <c r="AR70" s="247"/>
      <c r="AS70" s="194"/>
    </row>
    <row r="71" s="161" customFormat="1" spans="1:45">
      <c r="A71" s="65" t="s">
        <v>31</v>
      </c>
      <c r="B71" s="65">
        <v>2</v>
      </c>
      <c r="C71" s="65" t="s">
        <v>68</v>
      </c>
      <c r="D71" s="14" t="s">
        <v>69</v>
      </c>
      <c r="E71" s="14"/>
      <c r="F71" s="234">
        <v>6</v>
      </c>
      <c r="G71" s="235"/>
      <c r="H71" s="236"/>
      <c r="I71" s="237"/>
      <c r="J71" s="238">
        <f>F71</f>
        <v>6</v>
      </c>
      <c r="K71" s="238">
        <f>F71</f>
        <v>6</v>
      </c>
      <c r="L71" s="238">
        <f>F71</f>
        <v>6</v>
      </c>
      <c r="M71" s="239">
        <f>F71</f>
        <v>6</v>
      </c>
      <c r="N71" s="239"/>
      <c r="O71" s="239">
        <f>F71</f>
        <v>6</v>
      </c>
      <c r="P71" s="239"/>
      <c r="Q71" s="240"/>
      <c r="R71" s="240"/>
      <c r="S71" s="240"/>
      <c r="T71" s="240"/>
      <c r="U71" s="240"/>
      <c r="V71" s="301"/>
      <c r="W71" s="167"/>
      <c r="X71" s="157" t="s">
        <v>31</v>
      </c>
      <c r="Y71" s="65">
        <v>2</v>
      </c>
      <c r="Z71" s="65" t="s">
        <v>68</v>
      </c>
      <c r="AA71" s="14" t="s">
        <v>69</v>
      </c>
      <c r="AB71" s="14"/>
      <c r="AC71" s="241">
        <v>6</v>
      </c>
      <c r="AD71" s="242"/>
      <c r="AE71" s="243"/>
      <c r="AF71" s="243"/>
      <c r="AG71" s="244">
        <f>AC71</f>
        <v>6</v>
      </c>
      <c r="AH71" s="244">
        <f>AC71</f>
        <v>6</v>
      </c>
      <c r="AI71" s="244">
        <f>AC71</f>
        <v>6</v>
      </c>
      <c r="AJ71" s="245">
        <f>AC71</f>
        <v>6</v>
      </c>
      <c r="AK71" s="245"/>
      <c r="AL71" s="245">
        <f>AC71</f>
        <v>6</v>
      </c>
      <c r="AM71" s="245"/>
      <c r="AN71" s="246"/>
      <c r="AO71" s="246"/>
      <c r="AP71" s="246"/>
      <c r="AQ71" s="246"/>
      <c r="AR71" s="247"/>
      <c r="AS71" s="194"/>
    </row>
    <row r="72" s="161" customFormat="1" spans="1:45">
      <c r="A72" s="65" t="s">
        <v>31</v>
      </c>
      <c r="B72" s="65">
        <v>3</v>
      </c>
      <c r="C72" s="251" t="s">
        <v>112</v>
      </c>
      <c r="D72" s="252" t="s">
        <v>113</v>
      </c>
      <c r="E72" s="252"/>
      <c r="F72" s="234">
        <v>6</v>
      </c>
      <c r="G72" s="235"/>
      <c r="H72" s="236"/>
      <c r="I72" s="237"/>
      <c r="J72" s="238">
        <f>IF(F72&gt;0,1,0)</f>
        <v>1</v>
      </c>
      <c r="K72" s="238">
        <f>IF(F72&gt;0,1,0)</f>
        <v>1</v>
      </c>
      <c r="L72" s="238">
        <f>IF(F72&gt;0,1,0)</f>
        <v>1</v>
      </c>
      <c r="M72" s="239">
        <f>IF(F72&gt;0,1,0)</f>
        <v>1</v>
      </c>
      <c r="N72" s="239"/>
      <c r="O72" s="239">
        <f>IF(F72&gt;0,1,0)</f>
        <v>1</v>
      </c>
      <c r="P72" s="239"/>
      <c r="Q72" s="240"/>
      <c r="R72" s="240"/>
      <c r="S72" s="240"/>
      <c r="T72" s="240"/>
      <c r="U72" s="240"/>
      <c r="V72" s="249"/>
      <c r="W72" s="167"/>
      <c r="X72" s="157" t="s">
        <v>31</v>
      </c>
      <c r="Y72" s="65">
        <v>3</v>
      </c>
      <c r="Z72" s="251" t="s">
        <v>112</v>
      </c>
      <c r="AA72" s="252" t="s">
        <v>113</v>
      </c>
      <c r="AB72" s="252"/>
      <c r="AC72" s="241">
        <v>6</v>
      </c>
      <c r="AD72" s="242"/>
      <c r="AE72" s="243"/>
      <c r="AF72" s="243"/>
      <c r="AG72" s="244">
        <f>IF(AC72&gt;0,1,0)</f>
        <v>1</v>
      </c>
      <c r="AH72" s="244">
        <f>IF(AC72&gt;0,1,0)</f>
        <v>1</v>
      </c>
      <c r="AI72" s="244">
        <f>IF(AC72&gt;0,1,0)</f>
        <v>1</v>
      </c>
      <c r="AJ72" s="245">
        <f>IF(AC72&gt;0,1,0)</f>
        <v>1</v>
      </c>
      <c r="AK72" s="245"/>
      <c r="AL72" s="245">
        <f>IF(AC72&gt;0,1,0)</f>
        <v>1</v>
      </c>
      <c r="AM72" s="245"/>
      <c r="AN72" s="246"/>
      <c r="AO72" s="246"/>
      <c r="AP72" s="246"/>
      <c r="AQ72" s="246"/>
      <c r="AR72" s="247"/>
      <c r="AS72" s="194"/>
    </row>
    <row r="73" s="161" customFormat="1" spans="1:45">
      <c r="A73" s="65" t="s">
        <v>31</v>
      </c>
      <c r="B73" s="65">
        <v>4</v>
      </c>
      <c r="C73" s="65" t="s">
        <v>68</v>
      </c>
      <c r="D73" s="14" t="s">
        <v>69</v>
      </c>
      <c r="E73" s="14"/>
      <c r="F73" s="234">
        <v>6</v>
      </c>
      <c r="G73" s="235"/>
      <c r="H73" s="236"/>
      <c r="I73" s="237"/>
      <c r="J73" s="238">
        <f>F73</f>
        <v>6</v>
      </c>
      <c r="K73" s="238">
        <f>F73</f>
        <v>6</v>
      </c>
      <c r="L73" s="238">
        <f>F73</f>
        <v>6</v>
      </c>
      <c r="M73" s="239">
        <f>F73</f>
        <v>6</v>
      </c>
      <c r="N73" s="239"/>
      <c r="O73" s="239">
        <f>F73</f>
        <v>6</v>
      </c>
      <c r="P73" s="239"/>
      <c r="Q73" s="240"/>
      <c r="R73" s="240"/>
      <c r="S73" s="240"/>
      <c r="T73" s="240"/>
      <c r="U73" s="240"/>
      <c r="V73" s="301"/>
      <c r="W73" s="167"/>
      <c r="X73" s="157" t="s">
        <v>31</v>
      </c>
      <c r="Y73" s="65">
        <v>4</v>
      </c>
      <c r="Z73" s="65" t="s">
        <v>68</v>
      </c>
      <c r="AA73" s="14" t="s">
        <v>69</v>
      </c>
      <c r="AB73" s="14"/>
      <c r="AC73" s="241">
        <v>6</v>
      </c>
      <c r="AD73" s="242"/>
      <c r="AE73" s="243"/>
      <c r="AF73" s="243"/>
      <c r="AG73" s="244">
        <f>AC73</f>
        <v>6</v>
      </c>
      <c r="AH73" s="244">
        <f>AC73</f>
        <v>6</v>
      </c>
      <c r="AI73" s="244">
        <f>AC73</f>
        <v>6</v>
      </c>
      <c r="AJ73" s="245">
        <f>AC73</f>
        <v>6</v>
      </c>
      <c r="AK73" s="245"/>
      <c r="AL73" s="245">
        <f>AC73</f>
        <v>6</v>
      </c>
      <c r="AM73" s="245"/>
      <c r="AN73" s="246"/>
      <c r="AO73" s="246"/>
      <c r="AP73" s="246"/>
      <c r="AQ73" s="246"/>
      <c r="AR73" s="247"/>
      <c r="AS73" s="194"/>
    </row>
    <row r="74" s="161" customFormat="1" spans="1:45">
      <c r="A74" s="65" t="s">
        <v>31</v>
      </c>
      <c r="B74" s="65">
        <v>5</v>
      </c>
      <c r="C74" s="65" t="s">
        <v>66</v>
      </c>
      <c r="D74" s="14" t="s">
        <v>67</v>
      </c>
      <c r="E74" s="14"/>
      <c r="F74" s="234">
        <v>6</v>
      </c>
      <c r="G74" s="235"/>
      <c r="H74" s="236"/>
      <c r="I74" s="237"/>
      <c r="J74" s="238"/>
      <c r="K74" s="238"/>
      <c r="L74" s="238"/>
      <c r="M74" s="239"/>
      <c r="N74" s="239"/>
      <c r="O74" s="239"/>
      <c r="P74" s="239"/>
      <c r="Q74" s="240"/>
      <c r="R74" s="240"/>
      <c r="S74" s="240"/>
      <c r="T74" s="240"/>
      <c r="U74" s="240"/>
      <c r="V74" s="249"/>
      <c r="W74" s="167"/>
      <c r="X74" s="157" t="s">
        <v>31</v>
      </c>
      <c r="Y74" s="65">
        <v>5</v>
      </c>
      <c r="Z74" s="65" t="s">
        <v>66</v>
      </c>
      <c r="AA74" s="14" t="s">
        <v>67</v>
      </c>
      <c r="AB74" s="14"/>
      <c r="AC74" s="241">
        <v>6</v>
      </c>
      <c r="AD74" s="242"/>
      <c r="AE74" s="243"/>
      <c r="AF74" s="243"/>
      <c r="AG74" s="244"/>
      <c r="AH74" s="244"/>
      <c r="AI74" s="244"/>
      <c r="AJ74" s="245"/>
      <c r="AK74" s="245"/>
      <c r="AL74" s="245"/>
      <c r="AM74" s="245"/>
      <c r="AN74" s="246"/>
      <c r="AO74" s="246"/>
      <c r="AP74" s="246"/>
      <c r="AQ74" s="246"/>
      <c r="AR74" s="247"/>
      <c r="AS74" s="194"/>
    </row>
    <row r="75" s="161" customFormat="1" spans="1:45">
      <c r="A75" s="65" t="s">
        <v>31</v>
      </c>
      <c r="B75" s="65">
        <v>6</v>
      </c>
      <c r="C75" s="65" t="s">
        <v>98</v>
      </c>
      <c r="D75" s="14" t="s">
        <v>98</v>
      </c>
      <c r="E75" s="14"/>
      <c r="F75" s="234">
        <v>6</v>
      </c>
      <c r="G75" s="235"/>
      <c r="H75" s="236"/>
      <c r="I75" s="237"/>
      <c r="J75" s="238"/>
      <c r="K75" s="238"/>
      <c r="L75" s="238"/>
      <c r="M75" s="239"/>
      <c r="N75" s="239"/>
      <c r="O75" s="239"/>
      <c r="P75" s="239"/>
      <c r="Q75" s="240"/>
      <c r="R75" s="240"/>
      <c r="S75" s="240"/>
      <c r="T75" s="240"/>
      <c r="U75" s="240"/>
      <c r="V75" s="249"/>
      <c r="W75" s="167"/>
      <c r="X75" s="157" t="s">
        <v>31</v>
      </c>
      <c r="Y75" s="65">
        <v>6</v>
      </c>
      <c r="Z75" s="65" t="s">
        <v>98</v>
      </c>
      <c r="AA75" s="14" t="s">
        <v>98</v>
      </c>
      <c r="AB75" s="14"/>
      <c r="AC75" s="241">
        <v>6</v>
      </c>
      <c r="AD75" s="242"/>
      <c r="AE75" s="243"/>
      <c r="AF75" s="243"/>
      <c r="AG75" s="244"/>
      <c r="AH75" s="244"/>
      <c r="AI75" s="244"/>
      <c r="AJ75" s="245"/>
      <c r="AK75" s="245"/>
      <c r="AL75" s="245"/>
      <c r="AM75" s="245"/>
      <c r="AN75" s="246"/>
      <c r="AO75" s="246"/>
      <c r="AP75" s="246"/>
      <c r="AQ75" s="246"/>
      <c r="AR75" s="247"/>
      <c r="AS75" s="194"/>
    </row>
    <row r="76" s="165" customFormat="1" spans="1:45">
      <c r="A76" s="253" t="s">
        <v>99</v>
      </c>
      <c r="B76" s="253"/>
      <c r="C76" s="253"/>
      <c r="D76" s="253"/>
      <c r="E76" s="253"/>
      <c r="F76" s="254">
        <f t="shared" ref="F76:U76" si="40">MAX(F70:F75)</f>
        <v>6</v>
      </c>
      <c r="G76" s="255">
        <f t="shared" si="40"/>
        <v>0</v>
      </c>
      <c r="H76" s="256">
        <f t="shared" si="40"/>
        <v>0</v>
      </c>
      <c r="I76" s="256">
        <f t="shared" si="40"/>
        <v>0</v>
      </c>
      <c r="J76" s="257">
        <f t="shared" si="40"/>
        <v>6</v>
      </c>
      <c r="K76" s="257">
        <f t="shared" si="40"/>
        <v>6</v>
      </c>
      <c r="L76" s="257">
        <f t="shared" si="40"/>
        <v>6</v>
      </c>
      <c r="M76" s="258">
        <f t="shared" si="40"/>
        <v>6</v>
      </c>
      <c r="N76" s="258">
        <f t="shared" si="40"/>
        <v>0</v>
      </c>
      <c r="O76" s="258">
        <f t="shared" si="40"/>
        <v>6</v>
      </c>
      <c r="P76" s="258">
        <f t="shared" si="40"/>
        <v>0</v>
      </c>
      <c r="Q76" s="259">
        <f t="shared" si="40"/>
        <v>0</v>
      </c>
      <c r="R76" s="259">
        <f t="shared" si="40"/>
        <v>0</v>
      </c>
      <c r="S76" s="259">
        <f t="shared" si="40"/>
        <v>0</v>
      </c>
      <c r="T76" s="259">
        <f t="shared" si="40"/>
        <v>0</v>
      </c>
      <c r="U76" s="259">
        <f t="shared" si="40"/>
        <v>0</v>
      </c>
      <c r="V76" s="260"/>
      <c r="W76" s="167"/>
      <c r="X76" s="261" t="s">
        <v>99</v>
      </c>
      <c r="Y76" s="253"/>
      <c r="Z76" s="253"/>
      <c r="AA76" s="262"/>
      <c r="AB76" s="262"/>
      <c r="AC76" s="263">
        <f>MAX(AC70:AC75)</f>
        <v>6</v>
      </c>
      <c r="AD76" s="264">
        <f>MAX(AD70:AD75)</f>
        <v>0</v>
      </c>
      <c r="AE76" s="265">
        <v>0</v>
      </c>
      <c r="AF76" s="266">
        <v>0</v>
      </c>
      <c r="AG76" s="267">
        <v>6</v>
      </c>
      <c r="AH76" s="268">
        <v>6</v>
      </c>
      <c r="AI76" s="269">
        <v>6</v>
      </c>
      <c r="AJ76" s="270">
        <v>6</v>
      </c>
      <c r="AK76" s="271">
        <v>0</v>
      </c>
      <c r="AL76" s="271">
        <v>6</v>
      </c>
      <c r="AM76" s="272">
        <v>0</v>
      </c>
      <c r="AN76" s="273">
        <v>0</v>
      </c>
      <c r="AO76" s="274">
        <v>0</v>
      </c>
      <c r="AP76" s="274">
        <v>0</v>
      </c>
      <c r="AQ76" s="274">
        <v>0</v>
      </c>
      <c r="AR76" s="274">
        <v>0</v>
      </c>
      <c r="AS76" s="275"/>
    </row>
    <row r="77" s="164" customFormat="1" spans="1:45">
      <c r="A77" s="211" t="s">
        <v>114</v>
      </c>
      <c r="B77" s="212"/>
      <c r="C77" s="212"/>
      <c r="D77" s="212"/>
      <c r="E77" s="212"/>
      <c r="F77" s="226" t="s">
        <v>4</v>
      </c>
      <c r="G77" s="226"/>
      <c r="H77" s="227" t="s">
        <v>5</v>
      </c>
      <c r="I77" s="228"/>
      <c r="J77" s="276" t="s">
        <v>6</v>
      </c>
      <c r="K77" s="276"/>
      <c r="L77" s="276"/>
      <c r="M77" s="277" t="s">
        <v>7</v>
      </c>
      <c r="N77" s="277"/>
      <c r="O77" s="277"/>
      <c r="P77" s="277"/>
      <c r="Q77" s="278" t="s">
        <v>51</v>
      </c>
      <c r="R77" s="278"/>
      <c r="S77" s="278"/>
      <c r="T77" s="278"/>
      <c r="U77" s="278"/>
      <c r="V77" s="219" t="s">
        <v>52</v>
      </c>
      <c r="W77" s="167"/>
      <c r="X77" s="279" t="s">
        <v>114</v>
      </c>
      <c r="Y77" s="212"/>
      <c r="Z77" s="212"/>
      <c r="AA77" s="212"/>
      <c r="AB77" s="212"/>
      <c r="AC77" s="280" t="s">
        <v>4</v>
      </c>
      <c r="AD77" s="281"/>
      <c r="AE77" s="282" t="s">
        <v>5</v>
      </c>
      <c r="AF77" s="283"/>
      <c r="AG77" s="284" t="s">
        <v>6</v>
      </c>
      <c r="AH77" s="285"/>
      <c r="AI77" s="285"/>
      <c r="AJ77" s="286" t="s">
        <v>7</v>
      </c>
      <c r="AK77" s="287"/>
      <c r="AL77" s="287"/>
      <c r="AM77" s="287"/>
      <c r="AN77" s="288" t="s">
        <v>51</v>
      </c>
      <c r="AO77" s="289"/>
      <c r="AP77" s="289"/>
      <c r="AQ77" s="289"/>
      <c r="AR77" s="289"/>
      <c r="AS77" s="224" t="s">
        <v>52</v>
      </c>
    </row>
    <row r="78" s="164" customFormat="1" ht="31" spans="1:45">
      <c r="A78" s="62" t="s">
        <v>53</v>
      </c>
      <c r="B78" s="62" t="s">
        <v>54</v>
      </c>
      <c r="C78" s="62" t="s">
        <v>55</v>
      </c>
      <c r="D78" s="78" t="s">
        <v>56</v>
      </c>
      <c r="E78" s="78"/>
      <c r="F78" s="225" t="s">
        <v>10</v>
      </c>
      <c r="G78" s="226" t="s">
        <v>11</v>
      </c>
      <c r="H78" s="227" t="s">
        <v>57</v>
      </c>
      <c r="I78" s="228" t="s">
        <v>13</v>
      </c>
      <c r="J78" s="229" t="s">
        <v>14</v>
      </c>
      <c r="K78" s="229" t="s">
        <v>15</v>
      </c>
      <c r="L78" s="229" t="s">
        <v>58</v>
      </c>
      <c r="M78" s="230" t="s">
        <v>59</v>
      </c>
      <c r="N78" s="230" t="s">
        <v>60</v>
      </c>
      <c r="O78" s="230" t="s">
        <v>61</v>
      </c>
      <c r="P78" s="230" t="s">
        <v>62</v>
      </c>
      <c r="Q78" s="231" t="s">
        <v>21</v>
      </c>
      <c r="R78" s="231" t="s">
        <v>22</v>
      </c>
      <c r="S78" s="231" t="s">
        <v>63</v>
      </c>
      <c r="T78" s="231" t="s">
        <v>64</v>
      </c>
      <c r="U78" s="231" t="s">
        <v>65</v>
      </c>
      <c r="V78" s="219"/>
      <c r="W78" s="167"/>
      <c r="X78" s="151" t="s">
        <v>53</v>
      </c>
      <c r="Y78" s="62" t="s">
        <v>54</v>
      </c>
      <c r="Z78" s="62" t="s">
        <v>55</v>
      </c>
      <c r="AA78" s="78" t="s">
        <v>56</v>
      </c>
      <c r="AB78" s="78"/>
      <c r="AC78" s="290" t="s">
        <v>10</v>
      </c>
      <c r="AD78" s="291" t="s">
        <v>11</v>
      </c>
      <c r="AE78" s="282" t="s">
        <v>57</v>
      </c>
      <c r="AF78" s="292" t="s">
        <v>13</v>
      </c>
      <c r="AG78" s="293" t="s">
        <v>14</v>
      </c>
      <c r="AH78" s="294" t="s">
        <v>15</v>
      </c>
      <c r="AI78" s="295" t="s">
        <v>58</v>
      </c>
      <c r="AJ78" s="296" t="s">
        <v>59</v>
      </c>
      <c r="AK78" s="297" t="s">
        <v>60</v>
      </c>
      <c r="AL78" s="297" t="s">
        <v>61</v>
      </c>
      <c r="AM78" s="298" t="s">
        <v>62</v>
      </c>
      <c r="AN78" s="299" t="s">
        <v>21</v>
      </c>
      <c r="AO78" s="300" t="s">
        <v>22</v>
      </c>
      <c r="AP78" s="300" t="s">
        <v>63</v>
      </c>
      <c r="AQ78" s="300" t="s">
        <v>64</v>
      </c>
      <c r="AR78" s="300" t="s">
        <v>65</v>
      </c>
      <c r="AS78" s="224"/>
    </row>
    <row r="79" s="161" customFormat="1" spans="1:45">
      <c r="A79" s="65" t="s">
        <v>32</v>
      </c>
      <c r="B79" s="65">
        <v>1</v>
      </c>
      <c r="C79" s="65" t="s">
        <v>66</v>
      </c>
      <c r="D79" s="14" t="s">
        <v>67</v>
      </c>
      <c r="E79" s="14"/>
      <c r="F79" s="234">
        <v>6</v>
      </c>
      <c r="G79" s="235"/>
      <c r="H79" s="236"/>
      <c r="I79" s="237"/>
      <c r="J79" s="238"/>
      <c r="K79" s="238"/>
      <c r="L79" s="238"/>
      <c r="M79" s="239"/>
      <c r="N79" s="239"/>
      <c r="O79" s="239"/>
      <c r="P79" s="239"/>
      <c r="Q79" s="240"/>
      <c r="R79" s="240"/>
      <c r="S79" s="240"/>
      <c r="T79" s="240"/>
      <c r="U79" s="240"/>
      <c r="V79" s="301"/>
      <c r="W79" s="167"/>
      <c r="X79" s="157" t="s">
        <v>32</v>
      </c>
      <c r="Y79" s="65">
        <v>1</v>
      </c>
      <c r="Z79" s="65" t="s">
        <v>66</v>
      </c>
      <c r="AA79" s="14" t="s">
        <v>67</v>
      </c>
      <c r="AB79" s="14"/>
      <c r="AC79" s="241">
        <v>6</v>
      </c>
      <c r="AD79" s="242"/>
      <c r="AE79" s="243"/>
      <c r="AF79" s="243"/>
      <c r="AG79" s="244"/>
      <c r="AH79" s="244"/>
      <c r="AI79" s="244"/>
      <c r="AJ79" s="245"/>
      <c r="AK79" s="245"/>
      <c r="AL79" s="245"/>
      <c r="AM79" s="245"/>
      <c r="AN79" s="246"/>
      <c r="AO79" s="246"/>
      <c r="AP79" s="246"/>
      <c r="AQ79" s="246"/>
      <c r="AR79" s="247"/>
      <c r="AS79" s="194"/>
    </row>
    <row r="80" s="161" customFormat="1" spans="1:45">
      <c r="A80" s="65" t="s">
        <v>32</v>
      </c>
      <c r="B80" s="65">
        <v>2</v>
      </c>
      <c r="C80" s="65" t="s">
        <v>68</v>
      </c>
      <c r="D80" s="14" t="s">
        <v>69</v>
      </c>
      <c r="E80" s="14"/>
      <c r="F80" s="234">
        <v>6</v>
      </c>
      <c r="G80" s="235"/>
      <c r="H80" s="236"/>
      <c r="I80" s="237"/>
      <c r="J80" s="238">
        <f>F80</f>
        <v>6</v>
      </c>
      <c r="K80" s="238">
        <f>F80</f>
        <v>6</v>
      </c>
      <c r="L80" s="238">
        <f>F80</f>
        <v>6</v>
      </c>
      <c r="M80" s="239">
        <f>F80</f>
        <v>6</v>
      </c>
      <c r="N80" s="239"/>
      <c r="O80" s="239">
        <f>F80</f>
        <v>6</v>
      </c>
      <c r="P80" s="239"/>
      <c r="Q80" s="240"/>
      <c r="R80" s="240"/>
      <c r="S80" s="240"/>
      <c r="T80" s="240"/>
      <c r="U80" s="240"/>
      <c r="V80" s="301"/>
      <c r="W80" s="167"/>
      <c r="X80" s="157" t="s">
        <v>32</v>
      </c>
      <c r="Y80" s="65">
        <v>2</v>
      </c>
      <c r="Z80" s="65" t="s">
        <v>68</v>
      </c>
      <c r="AA80" s="14" t="s">
        <v>69</v>
      </c>
      <c r="AB80" s="14"/>
      <c r="AC80" s="241">
        <v>6</v>
      </c>
      <c r="AD80" s="242"/>
      <c r="AE80" s="243"/>
      <c r="AF80" s="243"/>
      <c r="AG80" s="244">
        <f>AC80</f>
        <v>6</v>
      </c>
      <c r="AH80" s="244">
        <f>AC80</f>
        <v>6</v>
      </c>
      <c r="AI80" s="244">
        <f>AC80</f>
        <v>6</v>
      </c>
      <c r="AJ80" s="245">
        <f>AC80</f>
        <v>6</v>
      </c>
      <c r="AK80" s="245"/>
      <c r="AL80" s="245">
        <f>AC80</f>
        <v>6</v>
      </c>
      <c r="AM80" s="245"/>
      <c r="AN80" s="246"/>
      <c r="AO80" s="246"/>
      <c r="AP80" s="246"/>
      <c r="AQ80" s="246"/>
      <c r="AR80" s="247"/>
      <c r="AS80" s="194"/>
    </row>
    <row r="81" s="161" customFormat="1" spans="1:45">
      <c r="A81" s="65" t="s">
        <v>32</v>
      </c>
      <c r="B81" s="65">
        <v>3</v>
      </c>
      <c r="C81" s="251" t="s">
        <v>115</v>
      </c>
      <c r="D81" s="252" t="s">
        <v>116</v>
      </c>
      <c r="E81" s="252"/>
      <c r="F81" s="234">
        <v>6</v>
      </c>
      <c r="G81" s="235"/>
      <c r="H81" s="236"/>
      <c r="I81" s="237"/>
      <c r="J81" s="238">
        <f>IF(F81&gt;0,1,0)</f>
        <v>1</v>
      </c>
      <c r="K81" s="238">
        <f>IF(F81&gt;0,1,0)</f>
        <v>1</v>
      </c>
      <c r="L81" s="238">
        <f>IF(F81&gt;0,1,0)</f>
        <v>1</v>
      </c>
      <c r="M81" s="239">
        <f>IF(F81&gt;0,1,0)</f>
        <v>1</v>
      </c>
      <c r="N81" s="239"/>
      <c r="O81" s="239">
        <f>IF(F81&gt;0,1,0)</f>
        <v>1</v>
      </c>
      <c r="P81" s="239"/>
      <c r="Q81" s="240"/>
      <c r="R81" s="240"/>
      <c r="S81" s="240"/>
      <c r="T81" s="240"/>
      <c r="U81" s="240"/>
      <c r="V81" s="249"/>
      <c r="W81" s="167"/>
      <c r="X81" s="157" t="s">
        <v>32</v>
      </c>
      <c r="Y81" s="65">
        <v>3</v>
      </c>
      <c r="Z81" s="251" t="s">
        <v>115</v>
      </c>
      <c r="AA81" s="252" t="s">
        <v>116</v>
      </c>
      <c r="AB81" s="252"/>
      <c r="AC81" s="241">
        <v>6</v>
      </c>
      <c r="AD81" s="242"/>
      <c r="AE81" s="243"/>
      <c r="AF81" s="243"/>
      <c r="AG81" s="244">
        <f>IF(AC81&gt;0,1,0)</f>
        <v>1</v>
      </c>
      <c r="AH81" s="244">
        <f>IF(AC81&gt;0,1,0)</f>
        <v>1</v>
      </c>
      <c r="AI81" s="244">
        <f>IF(AC81&gt;0,1,0)</f>
        <v>1</v>
      </c>
      <c r="AJ81" s="245">
        <f>IF(AC81&gt;0,1,0)</f>
        <v>1</v>
      </c>
      <c r="AK81" s="245"/>
      <c r="AL81" s="245">
        <f>IF(AC81&gt;0,1,0)</f>
        <v>1</v>
      </c>
      <c r="AM81" s="245"/>
      <c r="AN81" s="246"/>
      <c r="AO81" s="246"/>
      <c r="AP81" s="246"/>
      <c r="AQ81" s="246"/>
      <c r="AR81" s="247"/>
      <c r="AS81" s="194"/>
    </row>
    <row r="82" s="161" customFormat="1" spans="1:45">
      <c r="A82" s="65" t="s">
        <v>32</v>
      </c>
      <c r="B82" s="65">
        <v>5</v>
      </c>
      <c r="C82" s="65" t="s">
        <v>68</v>
      </c>
      <c r="D82" s="14" t="s">
        <v>69</v>
      </c>
      <c r="E82" s="14"/>
      <c r="F82" s="234">
        <v>6</v>
      </c>
      <c r="G82" s="235"/>
      <c r="H82" s="236"/>
      <c r="I82" s="237"/>
      <c r="J82" s="238">
        <f>F82</f>
        <v>6</v>
      </c>
      <c r="K82" s="238">
        <f>F82</f>
        <v>6</v>
      </c>
      <c r="L82" s="238">
        <f>F82</f>
        <v>6</v>
      </c>
      <c r="M82" s="239">
        <f>F82</f>
        <v>6</v>
      </c>
      <c r="N82" s="239"/>
      <c r="O82" s="239">
        <f>F82</f>
        <v>6</v>
      </c>
      <c r="P82" s="239"/>
      <c r="Q82" s="240"/>
      <c r="R82" s="240"/>
      <c r="S82" s="240"/>
      <c r="T82" s="240"/>
      <c r="U82" s="240"/>
      <c r="V82" s="301"/>
      <c r="W82" s="167"/>
      <c r="X82" s="157" t="s">
        <v>32</v>
      </c>
      <c r="Y82" s="65">
        <v>5</v>
      </c>
      <c r="Z82" s="65" t="s">
        <v>68</v>
      </c>
      <c r="AA82" s="14" t="s">
        <v>69</v>
      </c>
      <c r="AB82" s="14"/>
      <c r="AC82" s="241">
        <v>6</v>
      </c>
      <c r="AD82" s="242"/>
      <c r="AE82" s="243"/>
      <c r="AF82" s="243"/>
      <c r="AG82" s="244">
        <f>AC82</f>
        <v>6</v>
      </c>
      <c r="AH82" s="244">
        <f>AC82</f>
        <v>6</v>
      </c>
      <c r="AI82" s="244">
        <f>AC82</f>
        <v>6</v>
      </c>
      <c r="AJ82" s="245">
        <f>AC82</f>
        <v>6</v>
      </c>
      <c r="AK82" s="245"/>
      <c r="AL82" s="245">
        <f>AC82</f>
        <v>6</v>
      </c>
      <c r="AM82" s="245"/>
      <c r="AN82" s="246"/>
      <c r="AO82" s="246"/>
      <c r="AP82" s="246"/>
      <c r="AQ82" s="246"/>
      <c r="AR82" s="247"/>
      <c r="AS82" s="194"/>
    </row>
    <row r="83" s="161" customFormat="1" spans="1:45">
      <c r="A83" s="65" t="s">
        <v>32</v>
      </c>
      <c r="B83" s="65">
        <v>6</v>
      </c>
      <c r="C83" s="65" t="s">
        <v>66</v>
      </c>
      <c r="D83" s="14" t="s">
        <v>67</v>
      </c>
      <c r="E83" s="14"/>
      <c r="F83" s="234">
        <v>6</v>
      </c>
      <c r="G83" s="235"/>
      <c r="H83" s="236"/>
      <c r="I83" s="237"/>
      <c r="J83" s="238"/>
      <c r="K83" s="238"/>
      <c r="L83" s="238"/>
      <c r="M83" s="239"/>
      <c r="N83" s="239"/>
      <c r="O83" s="239"/>
      <c r="P83" s="239"/>
      <c r="Q83" s="240"/>
      <c r="R83" s="240"/>
      <c r="S83" s="240"/>
      <c r="T83" s="240"/>
      <c r="U83" s="240"/>
      <c r="V83" s="249"/>
      <c r="W83" s="167"/>
      <c r="X83" s="157" t="s">
        <v>32</v>
      </c>
      <c r="Y83" s="65">
        <v>6</v>
      </c>
      <c r="Z83" s="65" t="s">
        <v>66</v>
      </c>
      <c r="AA83" s="14" t="s">
        <v>67</v>
      </c>
      <c r="AB83" s="14"/>
      <c r="AC83" s="241">
        <v>6</v>
      </c>
      <c r="AD83" s="242"/>
      <c r="AE83" s="243"/>
      <c r="AF83" s="243"/>
      <c r="AG83" s="244"/>
      <c r="AH83" s="244"/>
      <c r="AI83" s="244"/>
      <c r="AJ83" s="245"/>
      <c r="AK83" s="245"/>
      <c r="AL83" s="245"/>
      <c r="AM83" s="245"/>
      <c r="AN83" s="246"/>
      <c r="AO83" s="246"/>
      <c r="AP83" s="246"/>
      <c r="AQ83" s="246"/>
      <c r="AR83" s="247"/>
      <c r="AS83" s="194"/>
    </row>
    <row r="84" s="161" customFormat="1" spans="1:45">
      <c r="A84" s="65" t="s">
        <v>32</v>
      </c>
      <c r="B84" s="65">
        <v>7</v>
      </c>
      <c r="C84" s="65" t="s">
        <v>98</v>
      </c>
      <c r="D84" s="14" t="s">
        <v>98</v>
      </c>
      <c r="E84" s="14"/>
      <c r="F84" s="234">
        <v>6</v>
      </c>
      <c r="G84" s="235"/>
      <c r="H84" s="236"/>
      <c r="I84" s="237"/>
      <c r="J84" s="238"/>
      <c r="K84" s="238"/>
      <c r="L84" s="238"/>
      <c r="M84" s="239"/>
      <c r="N84" s="239"/>
      <c r="O84" s="239"/>
      <c r="P84" s="239"/>
      <c r="Q84" s="240"/>
      <c r="R84" s="240"/>
      <c r="S84" s="240"/>
      <c r="T84" s="240"/>
      <c r="U84" s="240"/>
      <c r="V84" s="249"/>
      <c r="W84" s="167"/>
      <c r="X84" s="157" t="s">
        <v>32</v>
      </c>
      <c r="Y84" s="65">
        <v>7</v>
      </c>
      <c r="Z84" s="65" t="s">
        <v>98</v>
      </c>
      <c r="AA84" s="14" t="s">
        <v>98</v>
      </c>
      <c r="AB84" s="14"/>
      <c r="AC84" s="241">
        <v>6</v>
      </c>
      <c r="AD84" s="242"/>
      <c r="AE84" s="243"/>
      <c r="AF84" s="243"/>
      <c r="AG84" s="244"/>
      <c r="AH84" s="244"/>
      <c r="AI84" s="244"/>
      <c r="AJ84" s="245"/>
      <c r="AK84" s="245"/>
      <c r="AL84" s="245"/>
      <c r="AM84" s="245"/>
      <c r="AN84" s="246"/>
      <c r="AO84" s="246"/>
      <c r="AP84" s="246"/>
      <c r="AQ84" s="246"/>
      <c r="AR84" s="247"/>
      <c r="AS84" s="194"/>
    </row>
    <row r="85" s="165" customFormat="1" spans="1:45">
      <c r="A85" s="253" t="s">
        <v>99</v>
      </c>
      <c r="B85" s="253"/>
      <c r="C85" s="253"/>
      <c r="D85" s="253"/>
      <c r="E85" s="253"/>
      <c r="F85" s="254">
        <f t="shared" ref="F85:U85" si="41">MAX(F79:F84)</f>
        <v>6</v>
      </c>
      <c r="G85" s="255">
        <f t="shared" si="41"/>
        <v>0</v>
      </c>
      <c r="H85" s="256">
        <f t="shared" si="41"/>
        <v>0</v>
      </c>
      <c r="I85" s="256">
        <f t="shared" si="41"/>
        <v>0</v>
      </c>
      <c r="J85" s="257">
        <f t="shared" si="41"/>
        <v>6</v>
      </c>
      <c r="K85" s="257">
        <f t="shared" si="41"/>
        <v>6</v>
      </c>
      <c r="L85" s="257">
        <f t="shared" si="41"/>
        <v>6</v>
      </c>
      <c r="M85" s="258">
        <f t="shared" si="41"/>
        <v>6</v>
      </c>
      <c r="N85" s="258">
        <f t="shared" si="41"/>
        <v>0</v>
      </c>
      <c r="O85" s="258">
        <f t="shared" si="41"/>
        <v>6</v>
      </c>
      <c r="P85" s="258">
        <f t="shared" si="41"/>
        <v>0</v>
      </c>
      <c r="Q85" s="259">
        <f t="shared" si="41"/>
        <v>0</v>
      </c>
      <c r="R85" s="259">
        <f t="shared" si="41"/>
        <v>0</v>
      </c>
      <c r="S85" s="259">
        <f t="shared" si="41"/>
        <v>0</v>
      </c>
      <c r="T85" s="259">
        <f t="shared" si="41"/>
        <v>0</v>
      </c>
      <c r="U85" s="259">
        <f t="shared" si="41"/>
        <v>0</v>
      </c>
      <c r="V85" s="260"/>
      <c r="W85" s="167"/>
      <c r="X85" s="261" t="s">
        <v>99</v>
      </c>
      <c r="Y85" s="253"/>
      <c r="Z85" s="253"/>
      <c r="AA85" s="262"/>
      <c r="AB85" s="262"/>
      <c r="AC85" s="263">
        <f>MAX(AC79:AC84)</f>
        <v>6</v>
      </c>
      <c r="AD85" s="264">
        <f>MAX(AD79:AD84)</f>
        <v>0</v>
      </c>
      <c r="AE85" s="265">
        <v>0</v>
      </c>
      <c r="AF85" s="266">
        <v>0</v>
      </c>
      <c r="AG85" s="267">
        <v>6</v>
      </c>
      <c r="AH85" s="268">
        <v>6</v>
      </c>
      <c r="AI85" s="269">
        <v>6</v>
      </c>
      <c r="AJ85" s="270">
        <v>6</v>
      </c>
      <c r="AK85" s="271">
        <v>0</v>
      </c>
      <c r="AL85" s="271">
        <v>6</v>
      </c>
      <c r="AM85" s="272">
        <v>0</v>
      </c>
      <c r="AN85" s="273">
        <v>0</v>
      </c>
      <c r="AO85" s="274">
        <v>0</v>
      </c>
      <c r="AP85" s="274">
        <v>0</v>
      </c>
      <c r="AQ85" s="274">
        <v>0</v>
      </c>
      <c r="AR85" s="274">
        <v>0</v>
      </c>
      <c r="AS85" s="275"/>
    </row>
    <row r="86" s="164" customFormat="1" spans="1:45">
      <c r="A86" s="211" t="s">
        <v>117</v>
      </c>
      <c r="B86" s="212"/>
      <c r="C86" s="212"/>
      <c r="D86" s="212"/>
      <c r="E86" s="212"/>
      <c r="F86" s="226" t="s">
        <v>4</v>
      </c>
      <c r="G86" s="226"/>
      <c r="H86" s="227" t="s">
        <v>5</v>
      </c>
      <c r="I86" s="228"/>
      <c r="J86" s="276" t="s">
        <v>6</v>
      </c>
      <c r="K86" s="276"/>
      <c r="L86" s="276"/>
      <c r="M86" s="277" t="s">
        <v>7</v>
      </c>
      <c r="N86" s="277"/>
      <c r="O86" s="277"/>
      <c r="P86" s="277"/>
      <c r="Q86" s="278" t="s">
        <v>51</v>
      </c>
      <c r="R86" s="278"/>
      <c r="S86" s="278"/>
      <c r="T86" s="278"/>
      <c r="U86" s="278"/>
      <c r="V86" s="219" t="s">
        <v>52</v>
      </c>
      <c r="W86" s="167"/>
      <c r="X86" s="279" t="s">
        <v>117</v>
      </c>
      <c r="Y86" s="212"/>
      <c r="Z86" s="212"/>
      <c r="AA86" s="212"/>
      <c r="AB86" s="212"/>
      <c r="AC86" s="280" t="s">
        <v>4</v>
      </c>
      <c r="AD86" s="281"/>
      <c r="AE86" s="282" t="s">
        <v>5</v>
      </c>
      <c r="AF86" s="283"/>
      <c r="AG86" s="284" t="s">
        <v>6</v>
      </c>
      <c r="AH86" s="285"/>
      <c r="AI86" s="285"/>
      <c r="AJ86" s="286" t="s">
        <v>7</v>
      </c>
      <c r="AK86" s="287"/>
      <c r="AL86" s="287"/>
      <c r="AM86" s="287"/>
      <c r="AN86" s="288" t="s">
        <v>51</v>
      </c>
      <c r="AO86" s="289"/>
      <c r="AP86" s="289"/>
      <c r="AQ86" s="289"/>
      <c r="AR86" s="289"/>
      <c r="AS86" s="224" t="s">
        <v>52</v>
      </c>
    </row>
    <row r="87" s="164" customFormat="1" ht="31" spans="1:45">
      <c r="A87" s="62" t="s">
        <v>53</v>
      </c>
      <c r="B87" s="62" t="s">
        <v>54</v>
      </c>
      <c r="C87" s="62" t="s">
        <v>55</v>
      </c>
      <c r="D87" s="78" t="s">
        <v>56</v>
      </c>
      <c r="E87" s="78"/>
      <c r="F87" s="225" t="s">
        <v>10</v>
      </c>
      <c r="G87" s="226" t="s">
        <v>11</v>
      </c>
      <c r="H87" s="227" t="s">
        <v>57</v>
      </c>
      <c r="I87" s="228" t="s">
        <v>13</v>
      </c>
      <c r="J87" s="229" t="s">
        <v>14</v>
      </c>
      <c r="K87" s="229" t="s">
        <v>15</v>
      </c>
      <c r="L87" s="229" t="s">
        <v>58</v>
      </c>
      <c r="M87" s="230" t="s">
        <v>59</v>
      </c>
      <c r="N87" s="230" t="s">
        <v>60</v>
      </c>
      <c r="O87" s="230" t="s">
        <v>61</v>
      </c>
      <c r="P87" s="230" t="s">
        <v>62</v>
      </c>
      <c r="Q87" s="231" t="s">
        <v>21</v>
      </c>
      <c r="R87" s="231" t="s">
        <v>22</v>
      </c>
      <c r="S87" s="231" t="s">
        <v>63</v>
      </c>
      <c r="T87" s="231" t="s">
        <v>64</v>
      </c>
      <c r="U87" s="231" t="s">
        <v>65</v>
      </c>
      <c r="V87" s="219"/>
      <c r="W87" s="167"/>
      <c r="X87" s="151" t="s">
        <v>53</v>
      </c>
      <c r="Y87" s="62" t="s">
        <v>54</v>
      </c>
      <c r="Z87" s="62" t="s">
        <v>55</v>
      </c>
      <c r="AA87" s="78" t="s">
        <v>56</v>
      </c>
      <c r="AB87" s="78"/>
      <c r="AC87" s="290" t="s">
        <v>10</v>
      </c>
      <c r="AD87" s="291" t="s">
        <v>11</v>
      </c>
      <c r="AE87" s="282" t="s">
        <v>57</v>
      </c>
      <c r="AF87" s="292" t="s">
        <v>13</v>
      </c>
      <c r="AG87" s="293" t="s">
        <v>14</v>
      </c>
      <c r="AH87" s="294" t="s">
        <v>15</v>
      </c>
      <c r="AI87" s="295" t="s">
        <v>58</v>
      </c>
      <c r="AJ87" s="296" t="s">
        <v>59</v>
      </c>
      <c r="AK87" s="297" t="s">
        <v>60</v>
      </c>
      <c r="AL87" s="297" t="s">
        <v>61</v>
      </c>
      <c r="AM87" s="298" t="s">
        <v>62</v>
      </c>
      <c r="AN87" s="299" t="s">
        <v>21</v>
      </c>
      <c r="AO87" s="300" t="s">
        <v>22</v>
      </c>
      <c r="AP87" s="300" t="s">
        <v>63</v>
      </c>
      <c r="AQ87" s="300" t="s">
        <v>64</v>
      </c>
      <c r="AR87" s="300" t="s">
        <v>65</v>
      </c>
      <c r="AS87" s="224"/>
    </row>
    <row r="88" s="161" customFormat="1" spans="1:45">
      <c r="A88" s="65" t="s">
        <v>33</v>
      </c>
      <c r="B88" s="65">
        <v>1</v>
      </c>
      <c r="C88" s="65" t="s">
        <v>68</v>
      </c>
      <c r="D88" s="14" t="s">
        <v>69</v>
      </c>
      <c r="E88" s="14"/>
      <c r="F88" s="234"/>
      <c r="G88" s="235">
        <v>8</v>
      </c>
      <c r="H88" s="236"/>
      <c r="I88" s="237"/>
      <c r="J88" s="238">
        <f>G88</f>
        <v>8</v>
      </c>
      <c r="K88" s="238">
        <f>G88</f>
        <v>8</v>
      </c>
      <c r="L88" s="238">
        <f>G88</f>
        <v>8</v>
      </c>
      <c r="M88" s="239">
        <f>G88</f>
        <v>8</v>
      </c>
      <c r="N88" s="239"/>
      <c r="O88" s="239">
        <f t="shared" ref="O88:O90" si="42">G88</f>
        <v>8</v>
      </c>
      <c r="P88" s="239"/>
      <c r="Q88" s="240"/>
      <c r="R88" s="240"/>
      <c r="S88" s="240"/>
      <c r="T88" s="240"/>
      <c r="U88" s="240"/>
      <c r="V88" s="301"/>
      <c r="W88" s="167"/>
      <c r="X88" s="157" t="s">
        <v>33</v>
      </c>
      <c r="Y88" s="65">
        <v>1</v>
      </c>
      <c r="Z88" s="65" t="s">
        <v>68</v>
      </c>
      <c r="AA88" s="14" t="s">
        <v>69</v>
      </c>
      <c r="AB88" s="14"/>
      <c r="AC88" s="241"/>
      <c r="AD88" s="242">
        <v>8</v>
      </c>
      <c r="AE88" s="243"/>
      <c r="AF88" s="243"/>
      <c r="AG88" s="244">
        <f>AD88</f>
        <v>8</v>
      </c>
      <c r="AH88" s="244">
        <f>AD88</f>
        <v>8</v>
      </c>
      <c r="AI88" s="244">
        <f>AD88</f>
        <v>8</v>
      </c>
      <c r="AJ88" s="245">
        <f>AD88</f>
        <v>8</v>
      </c>
      <c r="AK88" s="245"/>
      <c r="AL88" s="245">
        <f>AD88</f>
        <v>8</v>
      </c>
      <c r="AM88" s="245"/>
      <c r="AN88" s="246"/>
      <c r="AO88" s="246"/>
      <c r="AP88" s="246"/>
      <c r="AQ88" s="246"/>
      <c r="AR88" s="247"/>
      <c r="AS88" s="194"/>
    </row>
    <row r="89" s="161" customFormat="1" ht="61" spans="1:45">
      <c r="A89" s="65" t="s">
        <v>33</v>
      </c>
      <c r="B89" s="65">
        <v>2</v>
      </c>
      <c r="C89" s="251" t="s">
        <v>118</v>
      </c>
      <c r="D89" s="252" t="s">
        <v>119</v>
      </c>
      <c r="E89" s="252"/>
      <c r="F89" s="234"/>
      <c r="G89" s="235">
        <v>8</v>
      </c>
      <c r="H89" s="236"/>
      <c r="I89" s="237"/>
      <c r="J89" s="238">
        <f>IF(G89&gt;0,1,0)</f>
        <v>1</v>
      </c>
      <c r="K89" s="238">
        <f>IF(G89&gt;0,1,0)</f>
        <v>1</v>
      </c>
      <c r="L89" s="238">
        <f>IF(G89&gt;0,1,0)</f>
        <v>1</v>
      </c>
      <c r="M89" s="239">
        <f>IF(G89&gt;0,1,0)</f>
        <v>1</v>
      </c>
      <c r="N89" s="239"/>
      <c r="O89" s="239">
        <f t="shared" si="42"/>
        <v>8</v>
      </c>
      <c r="P89" s="239"/>
      <c r="Q89" s="240"/>
      <c r="R89" s="240"/>
      <c r="S89" s="240"/>
      <c r="T89" s="240"/>
      <c r="U89" s="240"/>
      <c r="V89" s="249" t="s">
        <v>120</v>
      </c>
      <c r="W89" s="167"/>
      <c r="X89" s="157" t="s">
        <v>33</v>
      </c>
      <c r="Y89" s="65">
        <v>2</v>
      </c>
      <c r="Z89" s="251" t="s">
        <v>118</v>
      </c>
      <c r="AA89" s="252" t="s">
        <v>119</v>
      </c>
      <c r="AB89" s="252"/>
      <c r="AC89" s="241"/>
      <c r="AD89" s="242">
        <v>8</v>
      </c>
      <c r="AE89" s="243"/>
      <c r="AF89" s="243"/>
      <c r="AG89" s="244">
        <f>IF(AD89&gt;0,1,0)</f>
        <v>1</v>
      </c>
      <c r="AH89" s="244">
        <f>IF(AD89&gt;0,1,0)</f>
        <v>1</v>
      </c>
      <c r="AI89" s="244">
        <f>IF(AD89&gt;0,1,0)</f>
        <v>1</v>
      </c>
      <c r="AJ89" s="245">
        <f>IF(AD89&gt;0,1,0)</f>
        <v>1</v>
      </c>
      <c r="AK89" s="245"/>
      <c r="AL89" s="245">
        <f>IF(AD89&gt;0,1,0)</f>
        <v>1</v>
      </c>
      <c r="AM89" s="245"/>
      <c r="AN89" s="246"/>
      <c r="AO89" s="246"/>
      <c r="AP89" s="246"/>
      <c r="AQ89" s="246"/>
      <c r="AR89" s="247"/>
      <c r="AS89" s="183" t="s">
        <v>120</v>
      </c>
    </row>
    <row r="90" s="161" customFormat="1" spans="1:45">
      <c r="A90" s="65" t="s">
        <v>33</v>
      </c>
      <c r="B90" s="65">
        <v>3</v>
      </c>
      <c r="C90" s="65" t="s">
        <v>68</v>
      </c>
      <c r="D90" s="14" t="s">
        <v>69</v>
      </c>
      <c r="E90" s="14"/>
      <c r="F90" s="234"/>
      <c r="G90" s="235">
        <v>8</v>
      </c>
      <c r="H90" s="236"/>
      <c r="I90" s="237"/>
      <c r="J90" s="238">
        <f>G90</f>
        <v>8</v>
      </c>
      <c r="K90" s="238">
        <f>G90</f>
        <v>8</v>
      </c>
      <c r="L90" s="238">
        <f>G90</f>
        <v>8</v>
      </c>
      <c r="M90" s="239">
        <f>G90</f>
        <v>8</v>
      </c>
      <c r="N90" s="239"/>
      <c r="O90" s="239">
        <f t="shared" si="42"/>
        <v>8</v>
      </c>
      <c r="P90" s="239"/>
      <c r="Q90" s="240"/>
      <c r="R90" s="240"/>
      <c r="S90" s="240"/>
      <c r="T90" s="240"/>
      <c r="U90" s="240"/>
      <c r="V90" s="301"/>
      <c r="W90" s="167"/>
      <c r="X90" s="157" t="s">
        <v>33</v>
      </c>
      <c r="Y90" s="65">
        <v>3</v>
      </c>
      <c r="Z90" s="65" t="s">
        <v>68</v>
      </c>
      <c r="AA90" s="14" t="s">
        <v>69</v>
      </c>
      <c r="AB90" s="14"/>
      <c r="AC90" s="241"/>
      <c r="AD90" s="242">
        <v>8</v>
      </c>
      <c r="AE90" s="243"/>
      <c r="AF90" s="243"/>
      <c r="AG90" s="244">
        <f>AD90</f>
        <v>8</v>
      </c>
      <c r="AH90" s="244">
        <f>AD90</f>
        <v>8</v>
      </c>
      <c r="AI90" s="244">
        <f>AD90</f>
        <v>8</v>
      </c>
      <c r="AJ90" s="245">
        <f>AD90</f>
        <v>8</v>
      </c>
      <c r="AK90" s="245"/>
      <c r="AL90" s="245">
        <f>AD90</f>
        <v>8</v>
      </c>
      <c r="AM90" s="245"/>
      <c r="AN90" s="246"/>
      <c r="AO90" s="246"/>
      <c r="AP90" s="246"/>
      <c r="AQ90" s="246"/>
      <c r="AR90" s="247"/>
      <c r="AS90" s="194"/>
    </row>
    <row r="91" s="161" customFormat="1" spans="1:45">
      <c r="A91" s="65" t="s">
        <v>33</v>
      </c>
      <c r="B91" s="65">
        <v>4</v>
      </c>
      <c r="C91" s="65" t="s">
        <v>98</v>
      </c>
      <c r="D91" s="14" t="s">
        <v>98</v>
      </c>
      <c r="E91" s="14"/>
      <c r="F91" s="234"/>
      <c r="G91" s="235">
        <v>8</v>
      </c>
      <c r="H91" s="236"/>
      <c r="I91" s="237"/>
      <c r="J91" s="238"/>
      <c r="K91" s="238"/>
      <c r="L91" s="238"/>
      <c r="M91" s="239"/>
      <c r="N91" s="239"/>
      <c r="O91" s="239"/>
      <c r="P91" s="239"/>
      <c r="Q91" s="240"/>
      <c r="R91" s="240"/>
      <c r="S91" s="240"/>
      <c r="T91" s="240"/>
      <c r="U91" s="240"/>
      <c r="V91" s="249"/>
      <c r="W91" s="167"/>
      <c r="X91" s="157" t="s">
        <v>33</v>
      </c>
      <c r="Y91" s="65">
        <v>4</v>
      </c>
      <c r="Z91" s="65" t="s">
        <v>98</v>
      </c>
      <c r="AA91" s="14" t="s">
        <v>98</v>
      </c>
      <c r="AB91" s="14"/>
      <c r="AC91" s="241"/>
      <c r="AD91" s="242">
        <v>8</v>
      </c>
      <c r="AE91" s="243"/>
      <c r="AF91" s="243"/>
      <c r="AG91" s="244"/>
      <c r="AH91" s="244"/>
      <c r="AI91" s="244"/>
      <c r="AJ91" s="245"/>
      <c r="AK91" s="245"/>
      <c r="AL91" s="245"/>
      <c r="AM91" s="245"/>
      <c r="AN91" s="246"/>
      <c r="AO91" s="246"/>
      <c r="AP91" s="246"/>
      <c r="AQ91" s="246"/>
      <c r="AR91" s="247"/>
      <c r="AS91" s="194"/>
    </row>
    <row r="92" s="161" customFormat="1" spans="1:45">
      <c r="A92" s="65" t="s">
        <v>33</v>
      </c>
      <c r="B92" s="65">
        <v>5</v>
      </c>
      <c r="C92" s="65" t="s">
        <v>121</v>
      </c>
      <c r="D92" s="14" t="s">
        <v>121</v>
      </c>
      <c r="E92" s="14"/>
      <c r="F92" s="234"/>
      <c r="G92" s="235">
        <v>3</v>
      </c>
      <c r="H92" s="236"/>
      <c r="I92" s="237"/>
      <c r="J92" s="238"/>
      <c r="K92" s="238"/>
      <c r="L92" s="238"/>
      <c r="M92" s="239"/>
      <c r="N92" s="239"/>
      <c r="O92" s="239"/>
      <c r="P92" s="239"/>
      <c r="Q92" s="240"/>
      <c r="R92" s="240"/>
      <c r="S92" s="240"/>
      <c r="T92" s="240"/>
      <c r="U92" s="240"/>
      <c r="V92" s="249"/>
      <c r="W92" s="167"/>
      <c r="X92" s="157" t="s">
        <v>33</v>
      </c>
      <c r="Y92" s="65">
        <v>5</v>
      </c>
      <c r="Z92" s="65" t="s">
        <v>121</v>
      </c>
      <c r="AA92" s="14" t="s">
        <v>121</v>
      </c>
      <c r="AB92" s="14"/>
      <c r="AC92" s="241"/>
      <c r="AD92" s="242">
        <v>3</v>
      </c>
      <c r="AE92" s="243"/>
      <c r="AF92" s="243"/>
      <c r="AG92" s="244"/>
      <c r="AH92" s="244"/>
      <c r="AI92" s="244"/>
      <c r="AJ92" s="245"/>
      <c r="AK92" s="245"/>
      <c r="AL92" s="245"/>
      <c r="AM92" s="245"/>
      <c r="AN92" s="246"/>
      <c r="AO92" s="246"/>
      <c r="AP92" s="246"/>
      <c r="AQ92" s="246"/>
      <c r="AR92" s="247"/>
      <c r="AS92" s="194"/>
    </row>
    <row r="93" s="165" customFormat="1" spans="1:45">
      <c r="A93" s="253" t="s">
        <v>99</v>
      </c>
      <c r="B93" s="253"/>
      <c r="C93" s="253"/>
      <c r="D93" s="253"/>
      <c r="E93" s="253"/>
      <c r="F93" s="254">
        <f t="shared" ref="F93:U93" si="43">MAX(F88:F92)</f>
        <v>0</v>
      </c>
      <c r="G93" s="255">
        <f t="shared" si="43"/>
        <v>8</v>
      </c>
      <c r="H93" s="256">
        <f t="shared" si="43"/>
        <v>0</v>
      </c>
      <c r="I93" s="256">
        <f t="shared" si="43"/>
        <v>0</v>
      </c>
      <c r="J93" s="257">
        <f t="shared" si="43"/>
        <v>8</v>
      </c>
      <c r="K93" s="257">
        <f t="shared" si="43"/>
        <v>8</v>
      </c>
      <c r="L93" s="257">
        <f t="shared" si="43"/>
        <v>8</v>
      </c>
      <c r="M93" s="258">
        <f t="shared" si="43"/>
        <v>8</v>
      </c>
      <c r="N93" s="258">
        <f t="shared" si="43"/>
        <v>0</v>
      </c>
      <c r="O93" s="258">
        <f t="shared" si="43"/>
        <v>8</v>
      </c>
      <c r="P93" s="258">
        <f t="shared" si="43"/>
        <v>0</v>
      </c>
      <c r="Q93" s="259">
        <f t="shared" si="43"/>
        <v>0</v>
      </c>
      <c r="R93" s="259">
        <f t="shared" si="43"/>
        <v>0</v>
      </c>
      <c r="S93" s="259">
        <f t="shared" si="43"/>
        <v>0</v>
      </c>
      <c r="T93" s="259">
        <f t="shared" si="43"/>
        <v>0</v>
      </c>
      <c r="U93" s="259">
        <f t="shared" si="43"/>
        <v>0</v>
      </c>
      <c r="V93" s="260"/>
      <c r="W93" s="167"/>
      <c r="X93" s="261" t="s">
        <v>99</v>
      </c>
      <c r="Y93" s="253"/>
      <c r="Z93" s="253"/>
      <c r="AA93" s="262"/>
      <c r="AB93" s="262"/>
      <c r="AC93" s="263">
        <f>MAX(AC88:AC92)</f>
        <v>0</v>
      </c>
      <c r="AD93" s="264">
        <v>8</v>
      </c>
      <c r="AE93" s="265">
        <v>0</v>
      </c>
      <c r="AF93" s="266">
        <v>0</v>
      </c>
      <c r="AG93" s="267">
        <v>8</v>
      </c>
      <c r="AH93" s="268">
        <v>8</v>
      </c>
      <c r="AI93" s="269">
        <v>8</v>
      </c>
      <c r="AJ93" s="270">
        <v>1</v>
      </c>
      <c r="AK93" s="271">
        <v>0</v>
      </c>
      <c r="AL93" s="271">
        <v>1</v>
      </c>
      <c r="AM93" s="272">
        <v>0</v>
      </c>
      <c r="AN93" s="273">
        <v>0</v>
      </c>
      <c r="AO93" s="274">
        <v>0</v>
      </c>
      <c r="AP93" s="274">
        <v>0</v>
      </c>
      <c r="AQ93" s="274">
        <v>0</v>
      </c>
      <c r="AR93" s="274">
        <v>0</v>
      </c>
      <c r="AS93" s="275"/>
    </row>
    <row r="94" s="164" customFormat="1" spans="1:45">
      <c r="A94" s="211" t="s">
        <v>122</v>
      </c>
      <c r="B94" s="212"/>
      <c r="C94" s="212"/>
      <c r="D94" s="212"/>
      <c r="E94" s="212"/>
      <c r="F94" s="226" t="s">
        <v>4</v>
      </c>
      <c r="G94" s="226"/>
      <c r="H94" s="227" t="s">
        <v>5</v>
      </c>
      <c r="I94" s="228"/>
      <c r="J94" s="276" t="s">
        <v>6</v>
      </c>
      <c r="K94" s="276"/>
      <c r="L94" s="276"/>
      <c r="M94" s="277" t="s">
        <v>7</v>
      </c>
      <c r="N94" s="277"/>
      <c r="O94" s="277"/>
      <c r="P94" s="277"/>
      <c r="Q94" s="278" t="s">
        <v>51</v>
      </c>
      <c r="R94" s="278"/>
      <c r="S94" s="278"/>
      <c r="T94" s="278"/>
      <c r="U94" s="278"/>
      <c r="V94" s="219" t="s">
        <v>52</v>
      </c>
      <c r="W94" s="167"/>
      <c r="X94" s="279" t="s">
        <v>122</v>
      </c>
      <c r="Y94" s="212"/>
      <c r="Z94" s="212"/>
      <c r="AA94" s="212"/>
      <c r="AB94" s="212"/>
      <c r="AC94" s="280" t="s">
        <v>4</v>
      </c>
      <c r="AD94" s="281"/>
      <c r="AE94" s="282" t="s">
        <v>5</v>
      </c>
      <c r="AF94" s="283"/>
      <c r="AG94" s="284" t="s">
        <v>6</v>
      </c>
      <c r="AH94" s="285"/>
      <c r="AI94" s="285"/>
      <c r="AJ94" s="286" t="s">
        <v>7</v>
      </c>
      <c r="AK94" s="287"/>
      <c r="AL94" s="287"/>
      <c r="AM94" s="287"/>
      <c r="AN94" s="288" t="s">
        <v>51</v>
      </c>
      <c r="AO94" s="289"/>
      <c r="AP94" s="289"/>
      <c r="AQ94" s="289"/>
      <c r="AR94" s="289"/>
      <c r="AS94" s="224" t="s">
        <v>52</v>
      </c>
    </row>
    <row r="95" s="164" customFormat="1" ht="31" spans="1:45">
      <c r="A95" s="62" t="s">
        <v>53</v>
      </c>
      <c r="B95" s="62" t="s">
        <v>54</v>
      </c>
      <c r="C95" s="62" t="s">
        <v>55</v>
      </c>
      <c r="D95" s="78" t="s">
        <v>56</v>
      </c>
      <c r="E95" s="78"/>
      <c r="F95" s="225" t="s">
        <v>10</v>
      </c>
      <c r="G95" s="226" t="s">
        <v>11</v>
      </c>
      <c r="H95" s="227" t="s">
        <v>57</v>
      </c>
      <c r="I95" s="228" t="s">
        <v>13</v>
      </c>
      <c r="J95" s="229" t="s">
        <v>14</v>
      </c>
      <c r="K95" s="229" t="s">
        <v>15</v>
      </c>
      <c r="L95" s="229" t="s">
        <v>58</v>
      </c>
      <c r="M95" s="230" t="s">
        <v>59</v>
      </c>
      <c r="N95" s="230" t="s">
        <v>60</v>
      </c>
      <c r="O95" s="230" t="s">
        <v>61</v>
      </c>
      <c r="P95" s="230" t="s">
        <v>62</v>
      </c>
      <c r="Q95" s="231" t="s">
        <v>21</v>
      </c>
      <c r="R95" s="231" t="s">
        <v>22</v>
      </c>
      <c r="S95" s="231" t="s">
        <v>63</v>
      </c>
      <c r="T95" s="231" t="s">
        <v>64</v>
      </c>
      <c r="U95" s="231" t="s">
        <v>65</v>
      </c>
      <c r="V95" s="219"/>
      <c r="W95" s="167"/>
      <c r="X95" s="151" t="s">
        <v>53</v>
      </c>
      <c r="Y95" s="62" t="s">
        <v>54</v>
      </c>
      <c r="Z95" s="62" t="s">
        <v>55</v>
      </c>
      <c r="AA95" s="78" t="s">
        <v>56</v>
      </c>
      <c r="AB95" s="78"/>
      <c r="AC95" s="290" t="s">
        <v>10</v>
      </c>
      <c r="AD95" s="291" t="s">
        <v>11</v>
      </c>
      <c r="AE95" s="282" t="s">
        <v>57</v>
      </c>
      <c r="AF95" s="292" t="s">
        <v>13</v>
      </c>
      <c r="AG95" s="293" t="s">
        <v>14</v>
      </c>
      <c r="AH95" s="294" t="s">
        <v>15</v>
      </c>
      <c r="AI95" s="295" t="s">
        <v>58</v>
      </c>
      <c r="AJ95" s="296" t="s">
        <v>59</v>
      </c>
      <c r="AK95" s="297" t="s">
        <v>60</v>
      </c>
      <c r="AL95" s="297" t="s">
        <v>61</v>
      </c>
      <c r="AM95" s="298" t="s">
        <v>62</v>
      </c>
      <c r="AN95" s="299" t="s">
        <v>21</v>
      </c>
      <c r="AO95" s="300" t="s">
        <v>22</v>
      </c>
      <c r="AP95" s="300" t="s">
        <v>63</v>
      </c>
      <c r="AQ95" s="300" t="s">
        <v>64</v>
      </c>
      <c r="AR95" s="300" t="s">
        <v>65</v>
      </c>
      <c r="AS95" s="224"/>
    </row>
    <row r="96" s="161" customFormat="1" spans="1:45">
      <c r="A96" s="65" t="s">
        <v>35</v>
      </c>
      <c r="B96" s="65">
        <v>1</v>
      </c>
      <c r="C96" s="65" t="s">
        <v>68</v>
      </c>
      <c r="D96" s="14" t="s">
        <v>69</v>
      </c>
      <c r="E96" s="14"/>
      <c r="F96" s="234"/>
      <c r="G96" s="235">
        <v>6</v>
      </c>
      <c r="H96" s="236"/>
      <c r="I96" s="237"/>
      <c r="J96" s="238">
        <f t="shared" ref="J96:J98" si="44">G96</f>
        <v>6</v>
      </c>
      <c r="K96" s="238">
        <f t="shared" ref="K96:K98" si="45">G96</f>
        <v>6</v>
      </c>
      <c r="L96" s="238">
        <f t="shared" ref="L96:L98" si="46">G96</f>
        <v>6</v>
      </c>
      <c r="M96" s="239">
        <f t="shared" ref="M96:M98" si="47">G96</f>
        <v>6</v>
      </c>
      <c r="N96" s="239"/>
      <c r="O96" s="239">
        <f t="shared" ref="O96:O98" si="48">G96</f>
        <v>6</v>
      </c>
      <c r="P96" s="239"/>
      <c r="Q96" s="240"/>
      <c r="R96" s="240"/>
      <c r="S96" s="240"/>
      <c r="T96" s="240"/>
      <c r="U96" s="240"/>
      <c r="V96" s="249"/>
      <c r="W96" s="167"/>
      <c r="X96" s="157" t="s">
        <v>35</v>
      </c>
      <c r="Y96" s="65">
        <v>1</v>
      </c>
      <c r="Z96" s="65" t="s">
        <v>68</v>
      </c>
      <c r="AA96" s="14" t="s">
        <v>69</v>
      </c>
      <c r="AB96" s="302"/>
      <c r="AC96" s="241"/>
      <c r="AD96" s="242">
        <v>6</v>
      </c>
      <c r="AE96" s="243"/>
      <c r="AF96" s="243"/>
      <c r="AG96" s="244">
        <f t="shared" ref="AG96:AG98" si="49">AD96</f>
        <v>6</v>
      </c>
      <c r="AH96" s="244">
        <f t="shared" ref="AH96:AH98" si="50">AD96</f>
        <v>6</v>
      </c>
      <c r="AI96" s="244">
        <f t="shared" ref="AI96:AI98" si="51">AD96</f>
        <v>6</v>
      </c>
      <c r="AJ96" s="245">
        <f t="shared" ref="AJ96:AJ98" si="52">AD96</f>
        <v>6</v>
      </c>
      <c r="AK96" s="245"/>
      <c r="AL96" s="245">
        <f t="shared" ref="AL96:AL98" si="53">AD96</f>
        <v>6</v>
      </c>
      <c r="AM96" s="245"/>
      <c r="AN96" s="246"/>
      <c r="AO96" s="246"/>
      <c r="AP96" s="246"/>
      <c r="AQ96" s="246"/>
      <c r="AR96" s="247"/>
      <c r="AS96" s="194"/>
    </row>
    <row r="97" s="161" customFormat="1" ht="46" spans="1:45">
      <c r="A97" s="65" t="s">
        <v>35</v>
      </c>
      <c r="B97" s="65">
        <v>2</v>
      </c>
      <c r="C97" s="65" t="s">
        <v>123</v>
      </c>
      <c r="D97" s="14" t="s">
        <v>124</v>
      </c>
      <c r="E97" s="14"/>
      <c r="F97" s="234"/>
      <c r="G97" s="235">
        <v>6</v>
      </c>
      <c r="H97" s="236"/>
      <c r="I97" s="237"/>
      <c r="J97" s="238">
        <f t="shared" si="44"/>
        <v>6</v>
      </c>
      <c r="K97" s="238">
        <f t="shared" si="45"/>
        <v>6</v>
      </c>
      <c r="L97" s="238">
        <f t="shared" si="46"/>
        <v>6</v>
      </c>
      <c r="M97" s="239">
        <f t="shared" si="47"/>
        <v>6</v>
      </c>
      <c r="N97" s="239"/>
      <c r="O97" s="239">
        <f t="shared" si="48"/>
        <v>6</v>
      </c>
      <c r="P97" s="239"/>
      <c r="Q97" s="240"/>
      <c r="R97" s="240"/>
      <c r="S97" s="240"/>
      <c r="T97" s="240"/>
      <c r="U97" s="240"/>
      <c r="V97" s="249" t="s">
        <v>125</v>
      </c>
      <c r="W97" s="167"/>
      <c r="X97" s="157" t="s">
        <v>35</v>
      </c>
      <c r="Y97" s="65">
        <v>2</v>
      </c>
      <c r="Z97" s="65" t="s">
        <v>123</v>
      </c>
      <c r="AA97" s="14" t="s">
        <v>124</v>
      </c>
      <c r="AB97" s="302"/>
      <c r="AC97" s="241"/>
      <c r="AD97" s="242">
        <v>6</v>
      </c>
      <c r="AE97" s="243"/>
      <c r="AF97" s="243"/>
      <c r="AG97" s="244">
        <f t="shared" si="49"/>
        <v>6</v>
      </c>
      <c r="AH97" s="244">
        <f t="shared" si="50"/>
        <v>6</v>
      </c>
      <c r="AI97" s="244">
        <f t="shared" si="51"/>
        <v>6</v>
      </c>
      <c r="AJ97" s="245">
        <f t="shared" si="52"/>
        <v>6</v>
      </c>
      <c r="AK97" s="245"/>
      <c r="AL97" s="245">
        <f t="shared" si="53"/>
        <v>6</v>
      </c>
      <c r="AM97" s="245"/>
      <c r="AN97" s="246"/>
      <c r="AO97" s="246"/>
      <c r="AP97" s="246"/>
      <c r="AQ97" s="246"/>
      <c r="AR97" s="247"/>
      <c r="AS97" s="183" t="s">
        <v>125</v>
      </c>
    </row>
    <row r="98" s="161" customFormat="1" spans="1:45">
      <c r="A98" s="65" t="s">
        <v>35</v>
      </c>
      <c r="B98" s="65">
        <v>3</v>
      </c>
      <c r="C98" s="65" t="s">
        <v>68</v>
      </c>
      <c r="D98" s="14" t="s">
        <v>69</v>
      </c>
      <c r="E98" s="14"/>
      <c r="F98" s="234"/>
      <c r="G98" s="235">
        <v>6</v>
      </c>
      <c r="H98" s="236"/>
      <c r="I98" s="237"/>
      <c r="J98" s="238">
        <f t="shared" si="44"/>
        <v>6</v>
      </c>
      <c r="K98" s="238">
        <f t="shared" si="45"/>
        <v>6</v>
      </c>
      <c r="L98" s="238">
        <f t="shared" si="46"/>
        <v>6</v>
      </c>
      <c r="M98" s="239">
        <f t="shared" si="47"/>
        <v>6</v>
      </c>
      <c r="N98" s="239"/>
      <c r="O98" s="239">
        <f t="shared" si="48"/>
        <v>6</v>
      </c>
      <c r="P98" s="239"/>
      <c r="Q98" s="240"/>
      <c r="R98" s="240"/>
      <c r="S98" s="240"/>
      <c r="T98" s="240"/>
      <c r="U98" s="240"/>
      <c r="V98" s="249"/>
      <c r="W98" s="167"/>
      <c r="X98" s="157" t="s">
        <v>35</v>
      </c>
      <c r="Y98" s="65">
        <v>3</v>
      </c>
      <c r="Z98" s="65" t="s">
        <v>68</v>
      </c>
      <c r="AA98" s="14" t="s">
        <v>69</v>
      </c>
      <c r="AB98" s="302"/>
      <c r="AC98" s="241"/>
      <c r="AD98" s="242">
        <v>6</v>
      </c>
      <c r="AE98" s="243"/>
      <c r="AF98" s="243"/>
      <c r="AG98" s="244">
        <f t="shared" si="49"/>
        <v>6</v>
      </c>
      <c r="AH98" s="244">
        <f t="shared" si="50"/>
        <v>6</v>
      </c>
      <c r="AI98" s="244">
        <f t="shared" si="51"/>
        <v>6</v>
      </c>
      <c r="AJ98" s="245">
        <f t="shared" si="52"/>
        <v>6</v>
      </c>
      <c r="AK98" s="245"/>
      <c r="AL98" s="245">
        <f t="shared" si="53"/>
        <v>6</v>
      </c>
      <c r="AM98" s="245"/>
      <c r="AN98" s="246"/>
      <c r="AO98" s="246"/>
      <c r="AP98" s="246"/>
      <c r="AQ98" s="246"/>
      <c r="AR98" s="247"/>
      <c r="AS98" s="194"/>
    </row>
    <row r="99" s="161" customFormat="1" spans="1:45">
      <c r="A99" s="65" t="s">
        <v>35</v>
      </c>
      <c r="B99" s="65">
        <v>4</v>
      </c>
      <c r="C99" s="65" t="s">
        <v>98</v>
      </c>
      <c r="D99" s="14" t="s">
        <v>98</v>
      </c>
      <c r="E99" s="14"/>
      <c r="F99" s="234"/>
      <c r="G99" s="235">
        <v>6</v>
      </c>
      <c r="H99" s="236"/>
      <c r="I99" s="237"/>
      <c r="J99" s="238"/>
      <c r="K99" s="238"/>
      <c r="L99" s="238"/>
      <c r="M99" s="239"/>
      <c r="N99" s="239"/>
      <c r="O99" s="239"/>
      <c r="P99" s="239"/>
      <c r="Q99" s="240"/>
      <c r="R99" s="240"/>
      <c r="S99" s="240"/>
      <c r="T99" s="240"/>
      <c r="U99" s="240"/>
      <c r="V99" s="249"/>
      <c r="W99" s="167"/>
      <c r="X99" s="157" t="s">
        <v>35</v>
      </c>
      <c r="Y99" s="65">
        <v>4</v>
      </c>
      <c r="Z99" s="65" t="s">
        <v>98</v>
      </c>
      <c r="AA99" s="14" t="s">
        <v>98</v>
      </c>
      <c r="AB99" s="302"/>
      <c r="AC99" s="241"/>
      <c r="AD99" s="242">
        <v>6</v>
      </c>
      <c r="AE99" s="243"/>
      <c r="AF99" s="243"/>
      <c r="AG99" s="244"/>
      <c r="AH99" s="244"/>
      <c r="AI99" s="244"/>
      <c r="AJ99" s="245"/>
      <c r="AK99" s="245"/>
      <c r="AL99" s="245"/>
      <c r="AM99" s="245"/>
      <c r="AN99" s="246"/>
      <c r="AO99" s="246"/>
      <c r="AP99" s="246"/>
      <c r="AQ99" s="246"/>
      <c r="AR99" s="247"/>
      <c r="AS99" s="194"/>
    </row>
    <row r="100" s="165" customFormat="1" spans="1:45">
      <c r="A100" s="253" t="s">
        <v>99</v>
      </c>
      <c r="B100" s="253"/>
      <c r="C100" s="253"/>
      <c r="D100" s="253"/>
      <c r="E100" s="253"/>
      <c r="F100" s="254">
        <f t="shared" ref="F100:U100" si="54">MAX(F96:F99)</f>
        <v>0</v>
      </c>
      <c r="G100" s="255">
        <f t="shared" si="54"/>
        <v>6</v>
      </c>
      <c r="H100" s="256">
        <f t="shared" si="54"/>
        <v>0</v>
      </c>
      <c r="I100" s="256">
        <f t="shared" si="54"/>
        <v>0</v>
      </c>
      <c r="J100" s="257">
        <f t="shared" si="54"/>
        <v>6</v>
      </c>
      <c r="K100" s="257">
        <f t="shared" si="54"/>
        <v>6</v>
      </c>
      <c r="L100" s="257">
        <f t="shared" si="54"/>
        <v>6</v>
      </c>
      <c r="M100" s="258">
        <f t="shared" si="54"/>
        <v>6</v>
      </c>
      <c r="N100" s="258">
        <f t="shared" si="54"/>
        <v>0</v>
      </c>
      <c r="O100" s="258">
        <f t="shared" si="54"/>
        <v>6</v>
      </c>
      <c r="P100" s="258">
        <f t="shared" si="54"/>
        <v>0</v>
      </c>
      <c r="Q100" s="259">
        <f t="shared" si="54"/>
        <v>0</v>
      </c>
      <c r="R100" s="259">
        <f t="shared" si="54"/>
        <v>0</v>
      </c>
      <c r="S100" s="259">
        <f t="shared" si="54"/>
        <v>0</v>
      </c>
      <c r="T100" s="259">
        <f t="shared" si="54"/>
        <v>0</v>
      </c>
      <c r="U100" s="259">
        <f t="shared" si="54"/>
        <v>0</v>
      </c>
      <c r="V100" s="260"/>
      <c r="W100" s="167"/>
      <c r="X100" s="261" t="s">
        <v>99</v>
      </c>
      <c r="Y100" s="253"/>
      <c r="Z100" s="253"/>
      <c r="AA100" s="262"/>
      <c r="AB100" s="262"/>
      <c r="AC100" s="263">
        <f>MAX(AC96:AC99)</f>
        <v>0</v>
      </c>
      <c r="AD100" s="264">
        <f>MAX(AD96:AD99)</f>
        <v>6</v>
      </c>
      <c r="AE100" s="265">
        <v>0</v>
      </c>
      <c r="AF100" s="266">
        <v>0</v>
      </c>
      <c r="AG100" s="267">
        <v>6</v>
      </c>
      <c r="AH100" s="268">
        <v>6</v>
      </c>
      <c r="AI100" s="269">
        <v>6</v>
      </c>
      <c r="AJ100" s="270">
        <v>0</v>
      </c>
      <c r="AK100" s="271">
        <v>0</v>
      </c>
      <c r="AL100" s="271">
        <v>0</v>
      </c>
      <c r="AM100" s="272">
        <f>MAX(AM96:AM99)</f>
        <v>0</v>
      </c>
      <c r="AN100" s="273">
        <v>0</v>
      </c>
      <c r="AO100" s="274">
        <v>0</v>
      </c>
      <c r="AP100" s="274">
        <v>0</v>
      </c>
      <c r="AQ100" s="274">
        <v>0</v>
      </c>
      <c r="AR100" s="274">
        <v>0</v>
      </c>
      <c r="AS100" s="275"/>
    </row>
    <row r="101" s="164" customFormat="1" spans="1:45">
      <c r="A101" s="211" t="s">
        <v>126</v>
      </c>
      <c r="B101" s="212"/>
      <c r="C101" s="212"/>
      <c r="D101" s="212"/>
      <c r="E101" s="212"/>
      <c r="F101" s="226" t="s">
        <v>4</v>
      </c>
      <c r="G101" s="226"/>
      <c r="H101" s="227" t="s">
        <v>5</v>
      </c>
      <c r="I101" s="228"/>
      <c r="J101" s="276" t="s">
        <v>6</v>
      </c>
      <c r="K101" s="276"/>
      <c r="L101" s="276"/>
      <c r="M101" s="277" t="s">
        <v>7</v>
      </c>
      <c r="N101" s="277"/>
      <c r="O101" s="277"/>
      <c r="P101" s="277"/>
      <c r="Q101" s="278" t="s">
        <v>51</v>
      </c>
      <c r="R101" s="278"/>
      <c r="S101" s="278"/>
      <c r="T101" s="278"/>
      <c r="U101" s="278"/>
      <c r="V101" s="219" t="s">
        <v>52</v>
      </c>
      <c r="W101" s="167"/>
      <c r="X101" s="279" t="s">
        <v>126</v>
      </c>
      <c r="Y101" s="212"/>
      <c r="Z101" s="212"/>
      <c r="AA101" s="212"/>
      <c r="AB101" s="212"/>
      <c r="AC101" s="280" t="s">
        <v>4</v>
      </c>
      <c r="AD101" s="281"/>
      <c r="AE101" s="282" t="s">
        <v>5</v>
      </c>
      <c r="AF101" s="283"/>
      <c r="AG101" s="284" t="s">
        <v>6</v>
      </c>
      <c r="AH101" s="285"/>
      <c r="AI101" s="285"/>
      <c r="AJ101" s="286" t="s">
        <v>7</v>
      </c>
      <c r="AK101" s="287"/>
      <c r="AL101" s="287"/>
      <c r="AM101" s="287"/>
      <c r="AN101" s="288" t="s">
        <v>51</v>
      </c>
      <c r="AO101" s="289"/>
      <c r="AP101" s="289"/>
      <c r="AQ101" s="289"/>
      <c r="AR101" s="289"/>
      <c r="AS101" s="224" t="s">
        <v>52</v>
      </c>
    </row>
    <row r="102" s="164" customFormat="1" ht="31" spans="1:45">
      <c r="A102" s="62" t="s">
        <v>53</v>
      </c>
      <c r="B102" s="62" t="s">
        <v>54</v>
      </c>
      <c r="C102" s="62" t="s">
        <v>55</v>
      </c>
      <c r="D102" s="78" t="s">
        <v>56</v>
      </c>
      <c r="E102" s="78"/>
      <c r="F102" s="225" t="s">
        <v>10</v>
      </c>
      <c r="G102" s="226" t="s">
        <v>11</v>
      </c>
      <c r="H102" s="227" t="s">
        <v>57</v>
      </c>
      <c r="I102" s="228" t="s">
        <v>13</v>
      </c>
      <c r="J102" s="229" t="s">
        <v>14</v>
      </c>
      <c r="K102" s="229" t="s">
        <v>15</v>
      </c>
      <c r="L102" s="229" t="s">
        <v>58</v>
      </c>
      <c r="M102" s="230" t="s">
        <v>59</v>
      </c>
      <c r="N102" s="230" t="s">
        <v>60</v>
      </c>
      <c r="O102" s="230" t="s">
        <v>61</v>
      </c>
      <c r="P102" s="230" t="s">
        <v>62</v>
      </c>
      <c r="Q102" s="231" t="s">
        <v>21</v>
      </c>
      <c r="R102" s="231" t="s">
        <v>22</v>
      </c>
      <c r="S102" s="231" t="s">
        <v>63</v>
      </c>
      <c r="T102" s="231" t="s">
        <v>64</v>
      </c>
      <c r="U102" s="231" t="s">
        <v>65</v>
      </c>
      <c r="V102" s="219"/>
      <c r="W102" s="167"/>
      <c r="X102" s="151" t="s">
        <v>53</v>
      </c>
      <c r="Y102" s="62" t="s">
        <v>54</v>
      </c>
      <c r="Z102" s="62" t="s">
        <v>55</v>
      </c>
      <c r="AA102" s="78" t="s">
        <v>56</v>
      </c>
      <c r="AB102" s="78"/>
      <c r="AC102" s="290" t="s">
        <v>10</v>
      </c>
      <c r="AD102" s="291" t="s">
        <v>11</v>
      </c>
      <c r="AE102" s="282" t="s">
        <v>57</v>
      </c>
      <c r="AF102" s="292" t="s">
        <v>13</v>
      </c>
      <c r="AG102" s="293" t="s">
        <v>14</v>
      </c>
      <c r="AH102" s="294" t="s">
        <v>15</v>
      </c>
      <c r="AI102" s="295" t="s">
        <v>58</v>
      </c>
      <c r="AJ102" s="296" t="s">
        <v>59</v>
      </c>
      <c r="AK102" s="297" t="s">
        <v>60</v>
      </c>
      <c r="AL102" s="297" t="s">
        <v>61</v>
      </c>
      <c r="AM102" s="298" t="s">
        <v>62</v>
      </c>
      <c r="AN102" s="299" t="s">
        <v>21</v>
      </c>
      <c r="AO102" s="300" t="s">
        <v>22</v>
      </c>
      <c r="AP102" s="300" t="s">
        <v>63</v>
      </c>
      <c r="AQ102" s="300" t="s">
        <v>64</v>
      </c>
      <c r="AR102" s="300" t="s">
        <v>65</v>
      </c>
      <c r="AS102" s="224"/>
    </row>
    <row r="103" s="161" customFormat="1" spans="1:45">
      <c r="A103" s="233" t="s">
        <v>37</v>
      </c>
      <c r="B103" s="305">
        <v>1</v>
      </c>
      <c r="C103" s="305" t="s">
        <v>66</v>
      </c>
      <c r="D103" s="14" t="s">
        <v>67</v>
      </c>
      <c r="E103" s="14"/>
      <c r="F103" s="234">
        <v>6</v>
      </c>
      <c r="G103" s="235"/>
      <c r="H103" s="236"/>
      <c r="I103" s="237"/>
      <c r="J103" s="238"/>
      <c r="K103" s="238"/>
      <c r="L103" s="238"/>
      <c r="M103" s="239"/>
      <c r="N103" s="239"/>
      <c r="O103" s="239"/>
      <c r="P103" s="239"/>
      <c r="Q103" s="240"/>
      <c r="R103" s="240"/>
      <c r="S103" s="240"/>
      <c r="T103" s="240"/>
      <c r="U103" s="240"/>
      <c r="V103" s="249"/>
      <c r="W103" s="167"/>
      <c r="X103" s="307" t="s">
        <v>37</v>
      </c>
      <c r="Y103" s="305">
        <v>1</v>
      </c>
      <c r="Z103" s="305" t="s">
        <v>66</v>
      </c>
      <c r="AA103" s="14" t="s">
        <v>67</v>
      </c>
      <c r="AB103" s="14"/>
      <c r="AC103" s="241">
        <v>6</v>
      </c>
      <c r="AD103" s="242"/>
      <c r="AE103" s="243"/>
      <c r="AF103" s="243"/>
      <c r="AG103" s="244"/>
      <c r="AH103" s="244"/>
      <c r="AI103" s="244"/>
      <c r="AJ103" s="245"/>
      <c r="AK103" s="245"/>
      <c r="AL103" s="245"/>
      <c r="AM103" s="245"/>
      <c r="AN103" s="246"/>
      <c r="AO103" s="246"/>
      <c r="AP103" s="246"/>
      <c r="AQ103" s="246"/>
      <c r="AR103" s="247"/>
      <c r="AS103" s="194"/>
    </row>
    <row r="104" s="161" customFormat="1" spans="1:45">
      <c r="A104" s="65" t="s">
        <v>37</v>
      </c>
      <c r="B104" s="65">
        <v>2</v>
      </c>
      <c r="C104" s="65" t="s">
        <v>68</v>
      </c>
      <c r="D104" s="14" t="s">
        <v>69</v>
      </c>
      <c r="E104" s="14"/>
      <c r="F104" s="234">
        <v>6</v>
      </c>
      <c r="G104" s="235"/>
      <c r="H104" s="236"/>
      <c r="I104" s="237"/>
      <c r="J104" s="238">
        <f t="shared" ref="J104:J106" si="55">F104</f>
        <v>6</v>
      </c>
      <c r="K104" s="238">
        <f t="shared" ref="K104:K106" si="56">F104</f>
        <v>6</v>
      </c>
      <c r="L104" s="238">
        <f t="shared" ref="L104:L106" si="57">F104</f>
        <v>6</v>
      </c>
      <c r="M104" s="239">
        <f t="shared" ref="M104:M106" si="58">F104</f>
        <v>6</v>
      </c>
      <c r="N104" s="239"/>
      <c r="O104" s="239">
        <f t="shared" ref="O104:O106" si="59">F104</f>
        <v>6</v>
      </c>
      <c r="P104" s="239"/>
      <c r="Q104" s="240"/>
      <c r="R104" s="240"/>
      <c r="S104" s="240"/>
      <c r="T104" s="240"/>
      <c r="U104" s="240"/>
      <c r="V104" s="249"/>
      <c r="W104" s="167"/>
      <c r="X104" s="157" t="s">
        <v>37</v>
      </c>
      <c r="Y104" s="65">
        <v>2</v>
      </c>
      <c r="Z104" s="65" t="s">
        <v>68</v>
      </c>
      <c r="AA104" s="14" t="s">
        <v>69</v>
      </c>
      <c r="AB104" s="14"/>
      <c r="AC104" s="241">
        <v>6</v>
      </c>
      <c r="AD104" s="242"/>
      <c r="AE104" s="243"/>
      <c r="AF104" s="243"/>
      <c r="AG104" s="244">
        <f t="shared" ref="AG104:AG106" si="60">AC104</f>
        <v>6</v>
      </c>
      <c r="AH104" s="244">
        <f t="shared" ref="AH104:AH106" si="61">AC104</f>
        <v>6</v>
      </c>
      <c r="AI104" s="244">
        <f t="shared" ref="AI104:AI106" si="62">AC104</f>
        <v>6</v>
      </c>
      <c r="AJ104" s="245">
        <f t="shared" ref="AJ104:AJ106" si="63">AC104</f>
        <v>6</v>
      </c>
      <c r="AK104" s="245"/>
      <c r="AL104" s="245">
        <f t="shared" ref="AL104:AL106" si="64">AC104</f>
        <v>6</v>
      </c>
      <c r="AM104" s="245"/>
      <c r="AN104" s="246"/>
      <c r="AO104" s="246"/>
      <c r="AP104" s="246"/>
      <c r="AQ104" s="246"/>
      <c r="AR104" s="247"/>
      <c r="AS104" s="194"/>
    </row>
    <row r="105" s="161" customFormat="1" spans="1:45">
      <c r="A105" s="65" t="s">
        <v>37</v>
      </c>
      <c r="B105" s="65">
        <v>3</v>
      </c>
      <c r="C105" s="65" t="s">
        <v>127</v>
      </c>
      <c r="D105" s="248" t="s">
        <v>128</v>
      </c>
      <c r="E105" s="248"/>
      <c r="F105" s="234">
        <v>6</v>
      </c>
      <c r="G105" s="235"/>
      <c r="H105" s="236"/>
      <c r="I105" s="237"/>
      <c r="J105" s="238">
        <f t="shared" si="55"/>
        <v>6</v>
      </c>
      <c r="K105" s="238">
        <f t="shared" si="56"/>
        <v>6</v>
      </c>
      <c r="L105" s="238">
        <f t="shared" si="57"/>
        <v>6</v>
      </c>
      <c r="M105" s="239">
        <f t="shared" si="58"/>
        <v>6</v>
      </c>
      <c r="N105" s="239"/>
      <c r="O105" s="239">
        <f t="shared" si="59"/>
        <v>6</v>
      </c>
      <c r="P105" s="239"/>
      <c r="Q105" s="240">
        <f>F105</f>
        <v>6</v>
      </c>
      <c r="R105" s="240">
        <f>F105*3</f>
        <v>18</v>
      </c>
      <c r="S105" s="240">
        <f>F105*3</f>
        <v>18</v>
      </c>
      <c r="T105" s="240">
        <f>F105*3</f>
        <v>18</v>
      </c>
      <c r="U105" s="240">
        <f>F105*3</f>
        <v>18</v>
      </c>
      <c r="V105" s="249"/>
      <c r="W105" s="167"/>
      <c r="X105" s="157" t="s">
        <v>37</v>
      </c>
      <c r="Y105" s="65">
        <v>3</v>
      </c>
      <c r="Z105" s="65" t="s">
        <v>127</v>
      </c>
      <c r="AA105" s="248" t="s">
        <v>128</v>
      </c>
      <c r="AB105" s="248"/>
      <c r="AC105" s="241">
        <v>6</v>
      </c>
      <c r="AD105" s="242"/>
      <c r="AE105" s="243"/>
      <c r="AF105" s="243"/>
      <c r="AG105" s="244">
        <f t="shared" si="60"/>
        <v>6</v>
      </c>
      <c r="AH105" s="244">
        <f t="shared" si="61"/>
        <v>6</v>
      </c>
      <c r="AI105" s="244">
        <f t="shared" si="62"/>
        <v>6</v>
      </c>
      <c r="AJ105" s="245">
        <f t="shared" si="63"/>
        <v>6</v>
      </c>
      <c r="AK105" s="245"/>
      <c r="AL105" s="245">
        <f t="shared" si="64"/>
        <v>6</v>
      </c>
      <c r="AM105" s="245"/>
      <c r="AN105" s="246">
        <f>AC105</f>
        <v>6</v>
      </c>
      <c r="AO105" s="246">
        <f>AC105*3</f>
        <v>18</v>
      </c>
      <c r="AP105" s="246">
        <f>AC105*3</f>
        <v>18</v>
      </c>
      <c r="AQ105" s="246">
        <f>AC105*3</f>
        <v>18</v>
      </c>
      <c r="AR105" s="247">
        <f>AC105*3</f>
        <v>18</v>
      </c>
      <c r="AS105" s="194"/>
    </row>
    <row r="106" s="161" customFormat="1" spans="1:45">
      <c r="A106" s="65" t="s">
        <v>37</v>
      </c>
      <c r="B106" s="65">
        <v>4</v>
      </c>
      <c r="C106" s="65" t="s">
        <v>68</v>
      </c>
      <c r="D106" s="14" t="s">
        <v>69</v>
      </c>
      <c r="E106" s="14"/>
      <c r="F106" s="234">
        <v>6</v>
      </c>
      <c r="G106" s="235"/>
      <c r="H106" s="236"/>
      <c r="I106" s="237"/>
      <c r="J106" s="238">
        <f t="shared" si="55"/>
        <v>6</v>
      </c>
      <c r="K106" s="238">
        <f t="shared" si="56"/>
        <v>6</v>
      </c>
      <c r="L106" s="238">
        <f t="shared" si="57"/>
        <v>6</v>
      </c>
      <c r="M106" s="239">
        <f t="shared" si="58"/>
        <v>6</v>
      </c>
      <c r="N106" s="239"/>
      <c r="O106" s="239">
        <f t="shared" si="59"/>
        <v>6</v>
      </c>
      <c r="P106" s="239"/>
      <c r="Q106" s="240"/>
      <c r="R106" s="240"/>
      <c r="S106" s="240"/>
      <c r="T106" s="240"/>
      <c r="U106" s="240"/>
      <c r="V106" s="249"/>
      <c r="W106" s="167"/>
      <c r="X106" s="157" t="s">
        <v>37</v>
      </c>
      <c r="Y106" s="65">
        <v>4</v>
      </c>
      <c r="Z106" s="65" t="s">
        <v>68</v>
      </c>
      <c r="AA106" s="14" t="s">
        <v>69</v>
      </c>
      <c r="AB106" s="14"/>
      <c r="AC106" s="241">
        <v>6</v>
      </c>
      <c r="AD106" s="242"/>
      <c r="AE106" s="243"/>
      <c r="AF106" s="243"/>
      <c r="AG106" s="244">
        <f t="shared" si="60"/>
        <v>6</v>
      </c>
      <c r="AH106" s="244">
        <f t="shared" si="61"/>
        <v>6</v>
      </c>
      <c r="AI106" s="244">
        <f t="shared" si="62"/>
        <v>6</v>
      </c>
      <c r="AJ106" s="245">
        <f t="shared" si="63"/>
        <v>6</v>
      </c>
      <c r="AK106" s="245"/>
      <c r="AL106" s="245">
        <f t="shared" si="64"/>
        <v>6</v>
      </c>
      <c r="AM106" s="245"/>
      <c r="AN106" s="246"/>
      <c r="AO106" s="246"/>
      <c r="AP106" s="246"/>
      <c r="AQ106" s="246"/>
      <c r="AR106" s="247"/>
      <c r="AS106" s="194"/>
    </row>
    <row r="107" s="161" customFormat="1" spans="1:45">
      <c r="A107" s="65" t="s">
        <v>37</v>
      </c>
      <c r="B107" s="65">
        <v>5</v>
      </c>
      <c r="C107" s="65" t="s">
        <v>66</v>
      </c>
      <c r="D107" s="14" t="s">
        <v>67</v>
      </c>
      <c r="E107" s="14"/>
      <c r="F107" s="234">
        <v>6</v>
      </c>
      <c r="G107" s="235"/>
      <c r="H107" s="236"/>
      <c r="I107" s="237"/>
      <c r="J107" s="238"/>
      <c r="K107" s="238"/>
      <c r="L107" s="238"/>
      <c r="M107" s="239"/>
      <c r="N107" s="239"/>
      <c r="O107" s="239"/>
      <c r="P107" s="239"/>
      <c r="Q107" s="240"/>
      <c r="R107" s="240"/>
      <c r="S107" s="240"/>
      <c r="T107" s="240"/>
      <c r="U107" s="240"/>
      <c r="V107" s="249"/>
      <c r="W107" s="167"/>
      <c r="X107" s="157" t="s">
        <v>37</v>
      </c>
      <c r="Y107" s="65">
        <v>5</v>
      </c>
      <c r="Z107" s="65" t="s">
        <v>66</v>
      </c>
      <c r="AA107" s="14" t="s">
        <v>67</v>
      </c>
      <c r="AB107" s="14"/>
      <c r="AC107" s="241">
        <v>6</v>
      </c>
      <c r="AD107" s="242"/>
      <c r="AE107" s="243"/>
      <c r="AF107" s="243"/>
      <c r="AG107" s="244"/>
      <c r="AH107" s="244"/>
      <c r="AI107" s="244"/>
      <c r="AJ107" s="245"/>
      <c r="AK107" s="245"/>
      <c r="AL107" s="245"/>
      <c r="AM107" s="245"/>
      <c r="AN107" s="246"/>
      <c r="AO107" s="246"/>
      <c r="AP107" s="246"/>
      <c r="AQ107" s="246"/>
      <c r="AR107" s="247"/>
      <c r="AS107" s="194"/>
    </row>
    <row r="108" s="161" customFormat="1" spans="1:45">
      <c r="A108" s="65" t="s">
        <v>37</v>
      </c>
      <c r="B108" s="65">
        <v>6</v>
      </c>
      <c r="C108" s="65" t="s">
        <v>98</v>
      </c>
      <c r="D108" s="14" t="s">
        <v>98</v>
      </c>
      <c r="E108" s="14"/>
      <c r="F108" s="234">
        <v>6</v>
      </c>
      <c r="G108" s="235"/>
      <c r="H108" s="236"/>
      <c r="I108" s="237"/>
      <c r="J108" s="238"/>
      <c r="K108" s="238"/>
      <c r="L108" s="238"/>
      <c r="M108" s="239"/>
      <c r="N108" s="239"/>
      <c r="O108" s="239"/>
      <c r="P108" s="239"/>
      <c r="Q108" s="240"/>
      <c r="R108" s="240"/>
      <c r="S108" s="240"/>
      <c r="T108" s="240"/>
      <c r="U108" s="240"/>
      <c r="V108" s="249"/>
      <c r="W108" s="167"/>
      <c r="X108" s="157" t="s">
        <v>37</v>
      </c>
      <c r="Y108" s="65">
        <v>6</v>
      </c>
      <c r="Z108" s="65" t="s">
        <v>98</v>
      </c>
      <c r="AA108" s="14" t="s">
        <v>98</v>
      </c>
      <c r="AB108" s="14"/>
      <c r="AC108" s="241">
        <v>6</v>
      </c>
      <c r="AD108" s="242"/>
      <c r="AE108" s="243"/>
      <c r="AF108" s="243"/>
      <c r="AG108" s="244"/>
      <c r="AH108" s="244"/>
      <c r="AI108" s="244"/>
      <c r="AJ108" s="245"/>
      <c r="AK108" s="245"/>
      <c r="AL108" s="245"/>
      <c r="AM108" s="245"/>
      <c r="AN108" s="246"/>
      <c r="AO108" s="246"/>
      <c r="AP108" s="246"/>
      <c r="AQ108" s="246"/>
      <c r="AR108" s="247"/>
      <c r="AS108" s="194"/>
    </row>
    <row r="109" s="165" customFormat="1" spans="1:45">
      <c r="A109" s="253" t="s">
        <v>99</v>
      </c>
      <c r="B109" s="253"/>
      <c r="C109" s="253"/>
      <c r="D109" s="253"/>
      <c r="E109" s="253"/>
      <c r="F109" s="254">
        <f t="shared" ref="F109:U109" si="65">MAX(F103:F108)</f>
        <v>6</v>
      </c>
      <c r="G109" s="255">
        <f t="shared" si="65"/>
        <v>0</v>
      </c>
      <c r="H109" s="256">
        <f t="shared" si="65"/>
        <v>0</v>
      </c>
      <c r="I109" s="256">
        <f t="shared" si="65"/>
        <v>0</v>
      </c>
      <c r="J109" s="257">
        <f t="shared" si="65"/>
        <v>6</v>
      </c>
      <c r="K109" s="257">
        <f t="shared" si="65"/>
        <v>6</v>
      </c>
      <c r="L109" s="257">
        <f t="shared" si="65"/>
        <v>6</v>
      </c>
      <c r="M109" s="258">
        <f t="shared" si="65"/>
        <v>6</v>
      </c>
      <c r="N109" s="258">
        <f t="shared" si="65"/>
        <v>0</v>
      </c>
      <c r="O109" s="258">
        <f t="shared" si="65"/>
        <v>6</v>
      </c>
      <c r="P109" s="258">
        <f t="shared" si="65"/>
        <v>0</v>
      </c>
      <c r="Q109" s="259">
        <f t="shared" si="65"/>
        <v>6</v>
      </c>
      <c r="R109" s="259">
        <f t="shared" si="65"/>
        <v>18</v>
      </c>
      <c r="S109" s="259">
        <f t="shared" si="65"/>
        <v>18</v>
      </c>
      <c r="T109" s="259">
        <f t="shared" si="65"/>
        <v>18</v>
      </c>
      <c r="U109" s="259">
        <f t="shared" si="65"/>
        <v>18</v>
      </c>
      <c r="V109" s="260"/>
      <c r="W109" s="167"/>
      <c r="X109" s="261" t="s">
        <v>99</v>
      </c>
      <c r="Y109" s="253"/>
      <c r="Z109" s="253"/>
      <c r="AA109" s="262"/>
      <c r="AB109" s="262"/>
      <c r="AC109" s="263">
        <f>MAX(AC103:AC108)</f>
        <v>6</v>
      </c>
      <c r="AD109" s="264">
        <f>MAX(AD103:AD108)</f>
        <v>0</v>
      </c>
      <c r="AE109" s="265">
        <v>0</v>
      </c>
      <c r="AF109" s="266">
        <v>0</v>
      </c>
      <c r="AG109" s="267">
        <v>6</v>
      </c>
      <c r="AH109" s="268">
        <v>6</v>
      </c>
      <c r="AI109" s="269">
        <v>6</v>
      </c>
      <c r="AJ109" s="270">
        <v>6</v>
      </c>
      <c r="AK109" s="271">
        <v>0</v>
      </c>
      <c r="AL109" s="271">
        <v>6</v>
      </c>
      <c r="AM109" s="272">
        <v>0</v>
      </c>
      <c r="AN109" s="273">
        <v>6</v>
      </c>
      <c r="AO109" s="274">
        <v>18</v>
      </c>
      <c r="AP109" s="274">
        <v>18</v>
      </c>
      <c r="AQ109" s="274">
        <v>18</v>
      </c>
      <c r="AR109" s="274">
        <v>18</v>
      </c>
      <c r="AS109" s="275"/>
    </row>
    <row r="110" s="164" customFormat="1" spans="1:45">
      <c r="A110" s="211" t="s">
        <v>129</v>
      </c>
      <c r="B110" s="212"/>
      <c r="C110" s="212"/>
      <c r="D110" s="212"/>
      <c r="E110" s="212"/>
      <c r="F110" s="226" t="s">
        <v>4</v>
      </c>
      <c r="G110" s="226"/>
      <c r="H110" s="227" t="s">
        <v>5</v>
      </c>
      <c r="I110" s="228"/>
      <c r="J110" s="276" t="s">
        <v>6</v>
      </c>
      <c r="K110" s="276"/>
      <c r="L110" s="276"/>
      <c r="M110" s="277" t="s">
        <v>7</v>
      </c>
      <c r="N110" s="277"/>
      <c r="O110" s="277"/>
      <c r="P110" s="277"/>
      <c r="Q110" s="278" t="s">
        <v>51</v>
      </c>
      <c r="R110" s="278"/>
      <c r="S110" s="278"/>
      <c r="T110" s="278"/>
      <c r="U110" s="278"/>
      <c r="V110" s="219" t="s">
        <v>52</v>
      </c>
      <c r="W110" s="167"/>
      <c r="X110" s="279" t="s">
        <v>129</v>
      </c>
      <c r="Y110" s="212"/>
      <c r="Z110" s="212"/>
      <c r="AA110" s="212"/>
      <c r="AB110" s="212"/>
      <c r="AC110" s="280" t="s">
        <v>4</v>
      </c>
      <c r="AD110" s="281"/>
      <c r="AE110" s="282" t="s">
        <v>5</v>
      </c>
      <c r="AF110" s="283"/>
      <c r="AG110" s="284" t="s">
        <v>6</v>
      </c>
      <c r="AH110" s="285"/>
      <c r="AI110" s="285"/>
      <c r="AJ110" s="286" t="s">
        <v>7</v>
      </c>
      <c r="AK110" s="287"/>
      <c r="AL110" s="287"/>
      <c r="AM110" s="287"/>
      <c r="AN110" s="288" t="s">
        <v>51</v>
      </c>
      <c r="AO110" s="289"/>
      <c r="AP110" s="289"/>
      <c r="AQ110" s="289"/>
      <c r="AR110" s="289"/>
      <c r="AS110" s="224" t="s">
        <v>52</v>
      </c>
    </row>
    <row r="111" s="164" customFormat="1" ht="31" spans="1:45">
      <c r="A111" s="62" t="s">
        <v>53</v>
      </c>
      <c r="B111" s="62" t="s">
        <v>54</v>
      </c>
      <c r="C111" s="62" t="s">
        <v>55</v>
      </c>
      <c r="D111" s="78" t="s">
        <v>56</v>
      </c>
      <c r="E111" s="78"/>
      <c r="F111" s="225" t="s">
        <v>10</v>
      </c>
      <c r="G111" s="226" t="s">
        <v>11</v>
      </c>
      <c r="H111" s="227" t="s">
        <v>57</v>
      </c>
      <c r="I111" s="228" t="s">
        <v>13</v>
      </c>
      <c r="J111" s="229" t="s">
        <v>14</v>
      </c>
      <c r="K111" s="229" t="s">
        <v>15</v>
      </c>
      <c r="L111" s="229" t="s">
        <v>58</v>
      </c>
      <c r="M111" s="230" t="s">
        <v>59</v>
      </c>
      <c r="N111" s="230" t="s">
        <v>60</v>
      </c>
      <c r="O111" s="230" t="s">
        <v>61</v>
      </c>
      <c r="P111" s="230" t="s">
        <v>62</v>
      </c>
      <c r="Q111" s="231" t="s">
        <v>21</v>
      </c>
      <c r="R111" s="231" t="s">
        <v>22</v>
      </c>
      <c r="S111" s="231" t="s">
        <v>63</v>
      </c>
      <c r="T111" s="231" t="s">
        <v>64</v>
      </c>
      <c r="U111" s="231" t="s">
        <v>65</v>
      </c>
      <c r="V111" s="219"/>
      <c r="W111" s="167"/>
      <c r="X111" s="151" t="s">
        <v>53</v>
      </c>
      <c r="Y111" s="62" t="s">
        <v>54</v>
      </c>
      <c r="Z111" s="62" t="s">
        <v>55</v>
      </c>
      <c r="AA111" s="78" t="s">
        <v>56</v>
      </c>
      <c r="AB111" s="78"/>
      <c r="AC111" s="290" t="s">
        <v>10</v>
      </c>
      <c r="AD111" s="291" t="s">
        <v>11</v>
      </c>
      <c r="AE111" s="282" t="s">
        <v>57</v>
      </c>
      <c r="AF111" s="292" t="s">
        <v>13</v>
      </c>
      <c r="AG111" s="293" t="s">
        <v>14</v>
      </c>
      <c r="AH111" s="294" t="s">
        <v>15</v>
      </c>
      <c r="AI111" s="295" t="s">
        <v>58</v>
      </c>
      <c r="AJ111" s="296" t="s">
        <v>59</v>
      </c>
      <c r="AK111" s="297" t="s">
        <v>60</v>
      </c>
      <c r="AL111" s="297" t="s">
        <v>61</v>
      </c>
      <c r="AM111" s="298" t="s">
        <v>62</v>
      </c>
      <c r="AN111" s="299" t="s">
        <v>21</v>
      </c>
      <c r="AO111" s="300" t="s">
        <v>22</v>
      </c>
      <c r="AP111" s="300" t="s">
        <v>63</v>
      </c>
      <c r="AQ111" s="300" t="s">
        <v>64</v>
      </c>
      <c r="AR111" s="300" t="s">
        <v>65</v>
      </c>
      <c r="AS111" s="224"/>
    </row>
    <row r="112" s="161" customFormat="1" spans="1:45">
      <c r="A112" s="65" t="s">
        <v>38</v>
      </c>
      <c r="B112" s="65">
        <v>1</v>
      </c>
      <c r="C112" s="65" t="s">
        <v>66</v>
      </c>
      <c r="D112" s="14" t="s">
        <v>67</v>
      </c>
      <c r="E112" s="14"/>
      <c r="F112" s="234">
        <v>6</v>
      </c>
      <c r="G112" s="235"/>
      <c r="H112" s="236"/>
      <c r="I112" s="237"/>
      <c r="J112" s="238"/>
      <c r="K112" s="238"/>
      <c r="L112" s="238"/>
      <c r="M112" s="239"/>
      <c r="N112" s="239"/>
      <c r="O112" s="239"/>
      <c r="P112" s="239"/>
      <c r="Q112" s="240"/>
      <c r="R112" s="240"/>
      <c r="S112" s="240"/>
      <c r="T112" s="240"/>
      <c r="U112" s="240"/>
      <c r="V112" s="249"/>
      <c r="W112" s="167"/>
      <c r="X112" s="157" t="s">
        <v>38</v>
      </c>
      <c r="Y112" s="65">
        <v>1</v>
      </c>
      <c r="Z112" s="65" t="s">
        <v>66</v>
      </c>
      <c r="AA112" s="14" t="s">
        <v>67</v>
      </c>
      <c r="AB112" s="302"/>
      <c r="AC112" s="241">
        <v>6</v>
      </c>
      <c r="AD112" s="242"/>
      <c r="AE112" s="243"/>
      <c r="AF112" s="243"/>
      <c r="AG112" s="244"/>
      <c r="AH112" s="244"/>
      <c r="AI112" s="244"/>
      <c r="AJ112" s="245"/>
      <c r="AK112" s="245"/>
      <c r="AL112" s="245"/>
      <c r="AM112" s="245"/>
      <c r="AN112" s="246"/>
      <c r="AO112" s="246"/>
      <c r="AP112" s="246"/>
      <c r="AQ112" s="246"/>
      <c r="AR112" s="247"/>
      <c r="AS112" s="194"/>
    </row>
    <row r="113" s="161" customFormat="1" spans="1:45">
      <c r="A113" s="65" t="s">
        <v>38</v>
      </c>
      <c r="B113" s="65">
        <v>2</v>
      </c>
      <c r="C113" s="65" t="s">
        <v>68</v>
      </c>
      <c r="D113" s="14" t="s">
        <v>69</v>
      </c>
      <c r="E113" s="14"/>
      <c r="F113" s="234">
        <v>6</v>
      </c>
      <c r="G113" s="235"/>
      <c r="H113" s="236"/>
      <c r="I113" s="237"/>
      <c r="J113" s="238">
        <f t="shared" ref="J113:J115" si="66">F113</f>
        <v>6</v>
      </c>
      <c r="K113" s="238">
        <f t="shared" ref="K113:K115" si="67">F113</f>
        <v>6</v>
      </c>
      <c r="L113" s="238">
        <f t="shared" ref="L113:L115" si="68">F113</f>
        <v>6</v>
      </c>
      <c r="M113" s="239">
        <f t="shared" ref="M113:M115" si="69">F113</f>
        <v>6</v>
      </c>
      <c r="N113" s="239"/>
      <c r="O113" s="239">
        <f t="shared" ref="O113:O115" si="70">F113</f>
        <v>6</v>
      </c>
      <c r="P113" s="239"/>
      <c r="Q113" s="240"/>
      <c r="R113" s="240"/>
      <c r="S113" s="240"/>
      <c r="T113" s="240"/>
      <c r="U113" s="240"/>
      <c r="V113" s="249"/>
      <c r="W113" s="167"/>
      <c r="X113" s="157" t="s">
        <v>38</v>
      </c>
      <c r="Y113" s="65">
        <v>2</v>
      </c>
      <c r="Z113" s="65" t="s">
        <v>68</v>
      </c>
      <c r="AA113" s="14" t="s">
        <v>69</v>
      </c>
      <c r="AB113" s="302"/>
      <c r="AC113" s="241">
        <v>6</v>
      </c>
      <c r="AD113" s="242"/>
      <c r="AE113" s="243"/>
      <c r="AF113" s="243"/>
      <c r="AG113" s="244">
        <f t="shared" ref="AG113:AG115" si="71">AC113</f>
        <v>6</v>
      </c>
      <c r="AH113" s="244">
        <f t="shared" ref="AH113:AH115" si="72">AC113</f>
        <v>6</v>
      </c>
      <c r="AI113" s="244">
        <f t="shared" ref="AI113:AI115" si="73">AC113</f>
        <v>6</v>
      </c>
      <c r="AJ113" s="245">
        <f t="shared" ref="AJ113:AJ115" si="74">AC113</f>
        <v>6</v>
      </c>
      <c r="AK113" s="245"/>
      <c r="AL113" s="245">
        <f t="shared" ref="AL113:AL115" si="75">AC113</f>
        <v>6</v>
      </c>
      <c r="AM113" s="245"/>
      <c r="AN113" s="246"/>
      <c r="AO113" s="246"/>
      <c r="AP113" s="246"/>
      <c r="AQ113" s="246"/>
      <c r="AR113" s="247"/>
      <c r="AS113" s="194"/>
    </row>
    <row r="114" s="161" customFormat="1" spans="1:45">
      <c r="A114" s="65" t="s">
        <v>38</v>
      </c>
      <c r="B114" s="65">
        <v>3</v>
      </c>
      <c r="C114" s="65" t="s">
        <v>130</v>
      </c>
      <c r="D114" s="14" t="s">
        <v>131</v>
      </c>
      <c r="E114" s="14"/>
      <c r="F114" s="234">
        <v>6</v>
      </c>
      <c r="G114" s="235"/>
      <c r="H114" s="236"/>
      <c r="I114" s="237"/>
      <c r="J114" s="238">
        <f t="shared" si="66"/>
        <v>6</v>
      </c>
      <c r="K114" s="238">
        <f t="shared" si="67"/>
        <v>6</v>
      </c>
      <c r="L114" s="238">
        <f t="shared" si="68"/>
        <v>6</v>
      </c>
      <c r="M114" s="239">
        <f t="shared" si="69"/>
        <v>6</v>
      </c>
      <c r="N114" s="239"/>
      <c r="O114" s="239">
        <f t="shared" si="70"/>
        <v>6</v>
      </c>
      <c r="P114" s="239"/>
      <c r="Q114" s="240">
        <f>F114</f>
        <v>6</v>
      </c>
      <c r="R114" s="240">
        <f>F114*3</f>
        <v>18</v>
      </c>
      <c r="S114" s="240">
        <f>F114*3</f>
        <v>18</v>
      </c>
      <c r="T114" s="240">
        <f>F114*3</f>
        <v>18</v>
      </c>
      <c r="U114" s="240">
        <f>F114*3</f>
        <v>18</v>
      </c>
      <c r="V114" s="249"/>
      <c r="W114" s="167"/>
      <c r="X114" s="157" t="s">
        <v>38</v>
      </c>
      <c r="Y114" s="65">
        <v>3</v>
      </c>
      <c r="Z114" s="65" t="s">
        <v>130</v>
      </c>
      <c r="AA114" s="14" t="s">
        <v>131</v>
      </c>
      <c r="AB114" s="302"/>
      <c r="AC114" s="241">
        <v>6</v>
      </c>
      <c r="AD114" s="242"/>
      <c r="AE114" s="243"/>
      <c r="AF114" s="243"/>
      <c r="AG114" s="244">
        <f t="shared" si="71"/>
        <v>6</v>
      </c>
      <c r="AH114" s="244">
        <f t="shared" si="72"/>
        <v>6</v>
      </c>
      <c r="AI114" s="244">
        <f t="shared" si="73"/>
        <v>6</v>
      </c>
      <c r="AJ114" s="245">
        <f t="shared" si="74"/>
        <v>6</v>
      </c>
      <c r="AK114" s="245"/>
      <c r="AL114" s="245">
        <f t="shared" si="75"/>
        <v>6</v>
      </c>
      <c r="AM114" s="245"/>
      <c r="AN114" s="246">
        <f>AC114</f>
        <v>6</v>
      </c>
      <c r="AO114" s="246">
        <f>AC114*3</f>
        <v>18</v>
      </c>
      <c r="AP114" s="246">
        <f>AC114*3</f>
        <v>18</v>
      </c>
      <c r="AQ114" s="246">
        <f>AC114*3</f>
        <v>18</v>
      </c>
      <c r="AR114" s="247">
        <f>AC114*3</f>
        <v>18</v>
      </c>
      <c r="AS114" s="194"/>
    </row>
    <row r="115" s="161" customFormat="1" spans="1:45">
      <c r="A115" s="65" t="s">
        <v>38</v>
      </c>
      <c r="B115" s="65">
        <v>4</v>
      </c>
      <c r="C115" s="65" t="s">
        <v>68</v>
      </c>
      <c r="D115" s="14" t="s">
        <v>69</v>
      </c>
      <c r="E115" s="14"/>
      <c r="F115" s="234">
        <v>6</v>
      </c>
      <c r="G115" s="235"/>
      <c r="H115" s="236"/>
      <c r="I115" s="237"/>
      <c r="J115" s="238">
        <f t="shared" si="66"/>
        <v>6</v>
      </c>
      <c r="K115" s="238">
        <f t="shared" si="67"/>
        <v>6</v>
      </c>
      <c r="L115" s="238">
        <f t="shared" si="68"/>
        <v>6</v>
      </c>
      <c r="M115" s="239">
        <f t="shared" si="69"/>
        <v>6</v>
      </c>
      <c r="N115" s="239"/>
      <c r="O115" s="239">
        <f t="shared" si="70"/>
        <v>6</v>
      </c>
      <c r="P115" s="239"/>
      <c r="Q115" s="240"/>
      <c r="R115" s="240"/>
      <c r="S115" s="240"/>
      <c r="T115" s="240"/>
      <c r="U115" s="240"/>
      <c r="V115" s="249"/>
      <c r="W115" s="167"/>
      <c r="X115" s="157" t="s">
        <v>38</v>
      </c>
      <c r="Y115" s="65">
        <v>4</v>
      </c>
      <c r="Z115" s="65" t="s">
        <v>68</v>
      </c>
      <c r="AA115" s="14" t="s">
        <v>69</v>
      </c>
      <c r="AB115" s="302"/>
      <c r="AC115" s="241">
        <v>6</v>
      </c>
      <c r="AD115" s="242"/>
      <c r="AE115" s="243"/>
      <c r="AF115" s="243"/>
      <c r="AG115" s="244">
        <f t="shared" si="71"/>
        <v>6</v>
      </c>
      <c r="AH115" s="244">
        <f t="shared" si="72"/>
        <v>6</v>
      </c>
      <c r="AI115" s="244">
        <f t="shared" si="73"/>
        <v>6</v>
      </c>
      <c r="AJ115" s="245">
        <f t="shared" si="74"/>
        <v>6</v>
      </c>
      <c r="AK115" s="245"/>
      <c r="AL115" s="245">
        <f t="shared" si="75"/>
        <v>6</v>
      </c>
      <c r="AM115" s="245"/>
      <c r="AN115" s="246"/>
      <c r="AO115" s="246"/>
      <c r="AP115" s="246"/>
      <c r="AQ115" s="246"/>
      <c r="AR115" s="247"/>
      <c r="AS115" s="194"/>
    </row>
    <row r="116" s="161" customFormat="1" spans="1:45">
      <c r="A116" s="65" t="s">
        <v>38</v>
      </c>
      <c r="B116" s="65">
        <v>5</v>
      </c>
      <c r="C116" s="65" t="s">
        <v>98</v>
      </c>
      <c r="D116" s="14" t="s">
        <v>98</v>
      </c>
      <c r="E116" s="14"/>
      <c r="F116" s="234">
        <v>6</v>
      </c>
      <c r="G116" s="235"/>
      <c r="H116" s="236"/>
      <c r="I116" s="237"/>
      <c r="J116" s="238"/>
      <c r="K116" s="238"/>
      <c r="L116" s="238"/>
      <c r="M116" s="239"/>
      <c r="N116" s="239"/>
      <c r="O116" s="239"/>
      <c r="P116" s="239"/>
      <c r="Q116" s="240"/>
      <c r="R116" s="240"/>
      <c r="S116" s="240"/>
      <c r="T116" s="240"/>
      <c r="U116" s="240"/>
      <c r="V116" s="249"/>
      <c r="W116" s="167"/>
      <c r="X116" s="157" t="s">
        <v>38</v>
      </c>
      <c r="Y116" s="65">
        <v>5</v>
      </c>
      <c r="Z116" s="65" t="s">
        <v>98</v>
      </c>
      <c r="AA116" s="14" t="s">
        <v>98</v>
      </c>
      <c r="AB116" s="302"/>
      <c r="AC116" s="241">
        <v>6</v>
      </c>
      <c r="AD116" s="242"/>
      <c r="AE116" s="243"/>
      <c r="AF116" s="243"/>
      <c r="AG116" s="244"/>
      <c r="AH116" s="244"/>
      <c r="AI116" s="244"/>
      <c r="AJ116" s="245"/>
      <c r="AK116" s="245"/>
      <c r="AL116" s="245"/>
      <c r="AM116" s="245"/>
      <c r="AN116" s="246"/>
      <c r="AO116" s="246"/>
      <c r="AP116" s="246"/>
      <c r="AQ116" s="246"/>
      <c r="AR116" s="247"/>
      <c r="AS116" s="194"/>
    </row>
    <row r="117" s="165" customFormat="1" spans="1:45">
      <c r="A117" s="253" t="s">
        <v>99</v>
      </c>
      <c r="B117" s="253"/>
      <c r="C117" s="253"/>
      <c r="D117" s="253"/>
      <c r="E117" s="253"/>
      <c r="F117" s="254">
        <f t="shared" ref="F117:U117" si="76">MAX(F112:F116)</f>
        <v>6</v>
      </c>
      <c r="G117" s="255">
        <f t="shared" si="76"/>
        <v>0</v>
      </c>
      <c r="H117" s="256">
        <f t="shared" si="76"/>
        <v>0</v>
      </c>
      <c r="I117" s="256">
        <f t="shared" si="76"/>
        <v>0</v>
      </c>
      <c r="J117" s="257">
        <f t="shared" si="76"/>
        <v>6</v>
      </c>
      <c r="K117" s="257">
        <f t="shared" si="76"/>
        <v>6</v>
      </c>
      <c r="L117" s="257">
        <f t="shared" si="76"/>
        <v>6</v>
      </c>
      <c r="M117" s="258">
        <f t="shared" si="76"/>
        <v>6</v>
      </c>
      <c r="N117" s="258">
        <f t="shared" si="76"/>
        <v>0</v>
      </c>
      <c r="O117" s="258">
        <f t="shared" si="76"/>
        <v>6</v>
      </c>
      <c r="P117" s="258">
        <f t="shared" si="76"/>
        <v>0</v>
      </c>
      <c r="Q117" s="259">
        <f t="shared" si="76"/>
        <v>6</v>
      </c>
      <c r="R117" s="259">
        <f t="shared" si="76"/>
        <v>18</v>
      </c>
      <c r="S117" s="259">
        <f t="shared" si="76"/>
        <v>18</v>
      </c>
      <c r="T117" s="259">
        <f t="shared" si="76"/>
        <v>18</v>
      </c>
      <c r="U117" s="259">
        <f t="shared" si="76"/>
        <v>18</v>
      </c>
      <c r="V117" s="260"/>
      <c r="W117" s="167"/>
      <c r="X117" s="261" t="s">
        <v>99</v>
      </c>
      <c r="Y117" s="253"/>
      <c r="Z117" s="253"/>
      <c r="AA117" s="262"/>
      <c r="AB117" s="262"/>
      <c r="AC117" s="263">
        <f>MAX(AC112:AC116)</f>
        <v>6</v>
      </c>
      <c r="AD117" s="264">
        <f>MAX(AD112:AD116)</f>
        <v>0</v>
      </c>
      <c r="AE117" s="265">
        <v>0</v>
      </c>
      <c r="AF117" s="266">
        <v>0</v>
      </c>
      <c r="AG117" s="267">
        <v>6</v>
      </c>
      <c r="AH117" s="268">
        <v>6</v>
      </c>
      <c r="AI117" s="269">
        <v>6</v>
      </c>
      <c r="AJ117" s="270">
        <v>6</v>
      </c>
      <c r="AK117" s="271">
        <v>0</v>
      </c>
      <c r="AL117" s="271">
        <v>6</v>
      </c>
      <c r="AM117" s="272">
        <v>0</v>
      </c>
      <c r="AN117" s="273">
        <v>6</v>
      </c>
      <c r="AO117" s="274">
        <v>18</v>
      </c>
      <c r="AP117" s="274">
        <v>18</v>
      </c>
      <c r="AQ117" s="274">
        <v>18</v>
      </c>
      <c r="AR117" s="274">
        <v>18</v>
      </c>
      <c r="AS117" s="275"/>
    </row>
    <row r="118" s="164" customFormat="1" spans="1:45">
      <c r="A118" s="211" t="s">
        <v>132</v>
      </c>
      <c r="B118" s="212"/>
      <c r="C118" s="212"/>
      <c r="D118" s="212"/>
      <c r="E118" s="212"/>
      <c r="F118" s="226" t="s">
        <v>4</v>
      </c>
      <c r="G118" s="226"/>
      <c r="H118" s="227" t="s">
        <v>5</v>
      </c>
      <c r="I118" s="228"/>
      <c r="J118" s="276" t="s">
        <v>6</v>
      </c>
      <c r="K118" s="276"/>
      <c r="L118" s="276"/>
      <c r="M118" s="277" t="s">
        <v>7</v>
      </c>
      <c r="N118" s="277"/>
      <c r="O118" s="277"/>
      <c r="P118" s="277"/>
      <c r="Q118" s="278" t="s">
        <v>51</v>
      </c>
      <c r="R118" s="278"/>
      <c r="S118" s="278"/>
      <c r="T118" s="278"/>
      <c r="U118" s="278"/>
      <c r="V118" s="219" t="s">
        <v>52</v>
      </c>
      <c r="W118" s="167"/>
      <c r="X118" s="279" t="s">
        <v>132</v>
      </c>
      <c r="Y118" s="212"/>
      <c r="Z118" s="212"/>
      <c r="AA118" s="212"/>
      <c r="AB118" s="212"/>
      <c r="AC118" s="280" t="s">
        <v>4</v>
      </c>
      <c r="AD118" s="281"/>
      <c r="AE118" s="282" t="s">
        <v>5</v>
      </c>
      <c r="AF118" s="283"/>
      <c r="AG118" s="284" t="s">
        <v>6</v>
      </c>
      <c r="AH118" s="285"/>
      <c r="AI118" s="285"/>
      <c r="AJ118" s="286" t="s">
        <v>7</v>
      </c>
      <c r="AK118" s="287"/>
      <c r="AL118" s="287"/>
      <c r="AM118" s="287"/>
      <c r="AN118" s="288" t="s">
        <v>51</v>
      </c>
      <c r="AO118" s="289"/>
      <c r="AP118" s="289"/>
      <c r="AQ118" s="289"/>
      <c r="AR118" s="289"/>
      <c r="AS118" s="224" t="s">
        <v>52</v>
      </c>
    </row>
    <row r="119" s="164" customFormat="1" ht="31" spans="1:45">
      <c r="A119" s="62" t="s">
        <v>53</v>
      </c>
      <c r="B119" s="62" t="s">
        <v>54</v>
      </c>
      <c r="C119" s="62" t="s">
        <v>55</v>
      </c>
      <c r="D119" s="78" t="s">
        <v>56</v>
      </c>
      <c r="E119" s="78"/>
      <c r="F119" s="225" t="s">
        <v>10</v>
      </c>
      <c r="G119" s="226" t="s">
        <v>11</v>
      </c>
      <c r="H119" s="227" t="s">
        <v>57</v>
      </c>
      <c r="I119" s="228" t="s">
        <v>13</v>
      </c>
      <c r="J119" s="229" t="s">
        <v>14</v>
      </c>
      <c r="K119" s="229" t="s">
        <v>15</v>
      </c>
      <c r="L119" s="229" t="s">
        <v>58</v>
      </c>
      <c r="M119" s="230" t="s">
        <v>59</v>
      </c>
      <c r="N119" s="230" t="s">
        <v>60</v>
      </c>
      <c r="O119" s="230" t="s">
        <v>61</v>
      </c>
      <c r="P119" s="230" t="s">
        <v>62</v>
      </c>
      <c r="Q119" s="231" t="s">
        <v>21</v>
      </c>
      <c r="R119" s="231" t="s">
        <v>22</v>
      </c>
      <c r="S119" s="231" t="s">
        <v>63</v>
      </c>
      <c r="T119" s="231" t="s">
        <v>64</v>
      </c>
      <c r="U119" s="231" t="s">
        <v>65</v>
      </c>
      <c r="V119" s="219"/>
      <c r="W119" s="167"/>
      <c r="X119" s="151" t="s">
        <v>53</v>
      </c>
      <c r="Y119" s="62" t="s">
        <v>54</v>
      </c>
      <c r="Z119" s="62" t="s">
        <v>55</v>
      </c>
      <c r="AA119" s="78" t="s">
        <v>56</v>
      </c>
      <c r="AB119" s="78"/>
      <c r="AC119" s="290" t="s">
        <v>10</v>
      </c>
      <c r="AD119" s="291" t="s">
        <v>11</v>
      </c>
      <c r="AE119" s="282" t="s">
        <v>57</v>
      </c>
      <c r="AF119" s="292" t="s">
        <v>13</v>
      </c>
      <c r="AG119" s="293" t="s">
        <v>14</v>
      </c>
      <c r="AH119" s="294" t="s">
        <v>15</v>
      </c>
      <c r="AI119" s="295" t="s">
        <v>58</v>
      </c>
      <c r="AJ119" s="296" t="s">
        <v>59</v>
      </c>
      <c r="AK119" s="297" t="s">
        <v>60</v>
      </c>
      <c r="AL119" s="297" t="s">
        <v>61</v>
      </c>
      <c r="AM119" s="298" t="s">
        <v>62</v>
      </c>
      <c r="AN119" s="299" t="s">
        <v>21</v>
      </c>
      <c r="AO119" s="300" t="s">
        <v>22</v>
      </c>
      <c r="AP119" s="300" t="s">
        <v>63</v>
      </c>
      <c r="AQ119" s="300" t="s">
        <v>64</v>
      </c>
      <c r="AR119" s="300" t="s">
        <v>65</v>
      </c>
      <c r="AS119" s="224"/>
    </row>
    <row r="120" s="161" customFormat="1" spans="1:45">
      <c r="A120" s="118" t="s">
        <v>39</v>
      </c>
      <c r="B120" s="65">
        <v>1</v>
      </c>
      <c r="C120" s="65" t="s">
        <v>66</v>
      </c>
      <c r="D120" s="14" t="s">
        <v>67</v>
      </c>
      <c r="E120" s="14"/>
      <c r="F120" s="234">
        <v>6</v>
      </c>
      <c r="G120" s="235"/>
      <c r="H120" s="236"/>
      <c r="I120" s="237"/>
      <c r="J120" s="238"/>
      <c r="K120" s="238"/>
      <c r="L120" s="238"/>
      <c r="M120" s="239"/>
      <c r="N120" s="239"/>
      <c r="O120" s="239"/>
      <c r="P120" s="239"/>
      <c r="Q120" s="240"/>
      <c r="R120" s="240"/>
      <c r="S120" s="240"/>
      <c r="T120" s="240"/>
      <c r="U120" s="240"/>
      <c r="V120" s="249"/>
      <c r="W120" s="167"/>
      <c r="X120" s="157" t="s">
        <v>39</v>
      </c>
      <c r="Y120" s="65">
        <v>1</v>
      </c>
      <c r="Z120" s="65" t="s">
        <v>66</v>
      </c>
      <c r="AA120" s="14" t="s">
        <v>67</v>
      </c>
      <c r="AB120" s="302"/>
      <c r="AC120" s="241">
        <v>6</v>
      </c>
      <c r="AD120" s="242"/>
      <c r="AE120" s="243"/>
      <c r="AF120" s="243"/>
      <c r="AG120" s="244"/>
      <c r="AH120" s="244"/>
      <c r="AI120" s="244"/>
      <c r="AJ120" s="245"/>
      <c r="AK120" s="245"/>
      <c r="AL120" s="245"/>
      <c r="AM120" s="245"/>
      <c r="AN120" s="246"/>
      <c r="AO120" s="246"/>
      <c r="AP120" s="246"/>
      <c r="AQ120" s="246"/>
      <c r="AR120" s="247"/>
      <c r="AS120" s="194"/>
    </row>
    <row r="121" s="161" customFormat="1" spans="1:45">
      <c r="A121" s="118" t="s">
        <v>39</v>
      </c>
      <c r="B121" s="65">
        <v>2</v>
      </c>
      <c r="C121" s="65" t="s">
        <v>68</v>
      </c>
      <c r="D121" s="14" t="s">
        <v>69</v>
      </c>
      <c r="E121" s="14"/>
      <c r="F121" s="234">
        <v>6</v>
      </c>
      <c r="G121" s="235"/>
      <c r="H121" s="236"/>
      <c r="I121" s="237"/>
      <c r="J121" s="238">
        <f t="shared" ref="J121:J123" si="77">F121</f>
        <v>6</v>
      </c>
      <c r="K121" s="238">
        <f t="shared" ref="K121:K123" si="78">F121</f>
        <v>6</v>
      </c>
      <c r="L121" s="238">
        <f t="shared" ref="L121:L123" si="79">F121</f>
        <v>6</v>
      </c>
      <c r="M121" s="239">
        <f t="shared" ref="M121:M123" si="80">F121</f>
        <v>6</v>
      </c>
      <c r="N121" s="239"/>
      <c r="O121" s="239">
        <f t="shared" ref="O121:O123" si="81">F121</f>
        <v>6</v>
      </c>
      <c r="P121" s="239"/>
      <c r="Q121" s="240"/>
      <c r="R121" s="240"/>
      <c r="S121" s="240"/>
      <c r="T121" s="240"/>
      <c r="U121" s="240"/>
      <c r="V121" s="249"/>
      <c r="W121" s="167"/>
      <c r="X121" s="157" t="s">
        <v>39</v>
      </c>
      <c r="Y121" s="65">
        <v>2</v>
      </c>
      <c r="Z121" s="65" t="s">
        <v>68</v>
      </c>
      <c r="AA121" s="14" t="s">
        <v>69</v>
      </c>
      <c r="AB121" s="302"/>
      <c r="AC121" s="241">
        <v>6</v>
      </c>
      <c r="AD121" s="242"/>
      <c r="AE121" s="243"/>
      <c r="AF121" s="243"/>
      <c r="AG121" s="244">
        <f t="shared" ref="AG121:AG123" si="82">AC121</f>
        <v>6</v>
      </c>
      <c r="AH121" s="244">
        <f t="shared" ref="AH121:AH123" si="83">AC121</f>
        <v>6</v>
      </c>
      <c r="AI121" s="244">
        <f t="shared" ref="AI121:AI123" si="84">AC121</f>
        <v>6</v>
      </c>
      <c r="AJ121" s="245">
        <f t="shared" ref="AJ121:AJ123" si="85">AC121</f>
        <v>6</v>
      </c>
      <c r="AK121" s="245"/>
      <c r="AL121" s="245">
        <f t="shared" ref="AL121:AL123" si="86">AC121</f>
        <v>6</v>
      </c>
      <c r="AM121" s="245"/>
      <c r="AN121" s="246"/>
      <c r="AO121" s="246"/>
      <c r="AP121" s="246"/>
      <c r="AQ121" s="246"/>
      <c r="AR121" s="247"/>
      <c r="AS121" s="194"/>
    </row>
    <row r="122" s="161" customFormat="1" spans="1:45">
      <c r="A122" s="118" t="s">
        <v>39</v>
      </c>
      <c r="B122" s="65">
        <v>3</v>
      </c>
      <c r="C122" s="65" t="s">
        <v>130</v>
      </c>
      <c r="D122" s="248" t="s">
        <v>133</v>
      </c>
      <c r="E122" s="248"/>
      <c r="F122" s="234">
        <v>6</v>
      </c>
      <c r="G122" s="235"/>
      <c r="H122" s="236"/>
      <c r="I122" s="237"/>
      <c r="J122" s="238">
        <f t="shared" si="77"/>
        <v>6</v>
      </c>
      <c r="K122" s="238">
        <f t="shared" si="78"/>
        <v>6</v>
      </c>
      <c r="L122" s="238">
        <f t="shared" si="79"/>
        <v>6</v>
      </c>
      <c r="M122" s="239">
        <f t="shared" si="80"/>
        <v>6</v>
      </c>
      <c r="N122" s="239"/>
      <c r="O122" s="239">
        <f t="shared" si="81"/>
        <v>6</v>
      </c>
      <c r="P122" s="239"/>
      <c r="Q122" s="240">
        <f>F122</f>
        <v>6</v>
      </c>
      <c r="R122" s="240">
        <f>F122*3</f>
        <v>18</v>
      </c>
      <c r="S122" s="240">
        <f>F122*3</f>
        <v>18</v>
      </c>
      <c r="T122" s="240">
        <f>F122*3</f>
        <v>18</v>
      </c>
      <c r="U122" s="240">
        <f>F122*3</f>
        <v>18</v>
      </c>
      <c r="V122" s="249"/>
      <c r="W122" s="167"/>
      <c r="X122" s="157" t="s">
        <v>39</v>
      </c>
      <c r="Y122" s="65">
        <v>3</v>
      </c>
      <c r="Z122" s="65" t="s">
        <v>130</v>
      </c>
      <c r="AA122" s="248" t="s">
        <v>133</v>
      </c>
      <c r="AB122" s="308"/>
      <c r="AC122" s="241">
        <v>6</v>
      </c>
      <c r="AD122" s="242"/>
      <c r="AE122" s="243"/>
      <c r="AF122" s="243"/>
      <c r="AG122" s="244">
        <f t="shared" si="82"/>
        <v>6</v>
      </c>
      <c r="AH122" s="244">
        <f t="shared" si="83"/>
        <v>6</v>
      </c>
      <c r="AI122" s="244">
        <f t="shared" si="84"/>
        <v>6</v>
      </c>
      <c r="AJ122" s="245">
        <f t="shared" si="85"/>
        <v>6</v>
      </c>
      <c r="AK122" s="245"/>
      <c r="AL122" s="245">
        <f t="shared" si="86"/>
        <v>6</v>
      </c>
      <c r="AM122" s="245"/>
      <c r="AN122" s="246">
        <f>AC122</f>
        <v>6</v>
      </c>
      <c r="AO122" s="246">
        <f>AC122*3</f>
        <v>18</v>
      </c>
      <c r="AP122" s="246">
        <f>AC122*3</f>
        <v>18</v>
      </c>
      <c r="AQ122" s="246">
        <f>AC122*3</f>
        <v>18</v>
      </c>
      <c r="AR122" s="247">
        <f>AC122*3</f>
        <v>18</v>
      </c>
      <c r="AS122" s="194"/>
    </row>
    <row r="123" s="161" customFormat="1" spans="1:45">
      <c r="A123" s="118" t="s">
        <v>39</v>
      </c>
      <c r="B123" s="65">
        <v>4</v>
      </c>
      <c r="C123" s="65" t="s">
        <v>68</v>
      </c>
      <c r="D123" s="14" t="s">
        <v>69</v>
      </c>
      <c r="E123" s="14"/>
      <c r="F123" s="234">
        <v>6</v>
      </c>
      <c r="G123" s="235"/>
      <c r="H123" s="236"/>
      <c r="I123" s="237"/>
      <c r="J123" s="238">
        <f t="shared" si="77"/>
        <v>6</v>
      </c>
      <c r="K123" s="238">
        <f t="shared" si="78"/>
        <v>6</v>
      </c>
      <c r="L123" s="238">
        <f t="shared" si="79"/>
        <v>6</v>
      </c>
      <c r="M123" s="239">
        <f t="shared" si="80"/>
        <v>6</v>
      </c>
      <c r="N123" s="239"/>
      <c r="O123" s="239">
        <f t="shared" si="81"/>
        <v>6</v>
      </c>
      <c r="P123" s="239"/>
      <c r="Q123" s="240"/>
      <c r="R123" s="240"/>
      <c r="S123" s="240"/>
      <c r="T123" s="240"/>
      <c r="U123" s="240"/>
      <c r="V123" s="249"/>
      <c r="W123" s="167"/>
      <c r="X123" s="157" t="s">
        <v>39</v>
      </c>
      <c r="Y123" s="65">
        <v>4</v>
      </c>
      <c r="Z123" s="65" t="s">
        <v>68</v>
      </c>
      <c r="AA123" s="14" t="s">
        <v>69</v>
      </c>
      <c r="AB123" s="302"/>
      <c r="AC123" s="241">
        <v>6</v>
      </c>
      <c r="AD123" s="242"/>
      <c r="AE123" s="243"/>
      <c r="AF123" s="243"/>
      <c r="AG123" s="244">
        <f t="shared" si="82"/>
        <v>6</v>
      </c>
      <c r="AH123" s="244">
        <f t="shared" si="83"/>
        <v>6</v>
      </c>
      <c r="AI123" s="244">
        <f t="shared" si="84"/>
        <v>6</v>
      </c>
      <c r="AJ123" s="245">
        <f t="shared" si="85"/>
        <v>6</v>
      </c>
      <c r="AK123" s="245"/>
      <c r="AL123" s="245">
        <f t="shared" si="86"/>
        <v>6</v>
      </c>
      <c r="AM123" s="245"/>
      <c r="AN123" s="246"/>
      <c r="AO123" s="246"/>
      <c r="AP123" s="246"/>
      <c r="AQ123" s="246"/>
      <c r="AR123" s="247"/>
      <c r="AS123" s="194"/>
    </row>
    <row r="124" s="161" customFormat="1" spans="1:45">
      <c r="A124" s="118" t="s">
        <v>39</v>
      </c>
      <c r="B124" s="65">
        <v>5</v>
      </c>
      <c r="C124" s="65" t="s">
        <v>66</v>
      </c>
      <c r="D124" s="14" t="s">
        <v>67</v>
      </c>
      <c r="E124" s="14"/>
      <c r="F124" s="234">
        <v>6</v>
      </c>
      <c r="G124" s="235"/>
      <c r="H124" s="236"/>
      <c r="I124" s="237"/>
      <c r="J124" s="238"/>
      <c r="K124" s="238"/>
      <c r="L124" s="238"/>
      <c r="M124" s="239"/>
      <c r="N124" s="239"/>
      <c r="O124" s="239"/>
      <c r="P124" s="239"/>
      <c r="Q124" s="240"/>
      <c r="R124" s="240"/>
      <c r="S124" s="240"/>
      <c r="T124" s="240"/>
      <c r="U124" s="240"/>
      <c r="V124" s="249"/>
      <c r="W124" s="167"/>
      <c r="X124" s="157" t="s">
        <v>39</v>
      </c>
      <c r="Y124" s="65">
        <v>5</v>
      </c>
      <c r="Z124" s="65" t="s">
        <v>66</v>
      </c>
      <c r="AA124" s="14" t="s">
        <v>67</v>
      </c>
      <c r="AB124" s="302"/>
      <c r="AC124" s="241">
        <v>6</v>
      </c>
      <c r="AD124" s="242"/>
      <c r="AE124" s="243"/>
      <c r="AF124" s="243"/>
      <c r="AG124" s="244"/>
      <c r="AH124" s="244"/>
      <c r="AI124" s="244"/>
      <c r="AJ124" s="245"/>
      <c r="AK124" s="245"/>
      <c r="AL124" s="245"/>
      <c r="AM124" s="245"/>
      <c r="AN124" s="246"/>
      <c r="AO124" s="246"/>
      <c r="AP124" s="246"/>
      <c r="AQ124" s="246"/>
      <c r="AR124" s="247"/>
      <c r="AS124" s="194"/>
    </row>
    <row r="125" s="161" customFormat="1" spans="1:45">
      <c r="A125" s="233" t="s">
        <v>39</v>
      </c>
      <c r="B125" s="305">
        <v>6</v>
      </c>
      <c r="C125" s="305" t="s">
        <v>98</v>
      </c>
      <c r="D125" s="304" t="s">
        <v>98</v>
      </c>
      <c r="E125" s="2"/>
      <c r="F125" s="234">
        <v>6</v>
      </c>
      <c r="G125" s="235"/>
      <c r="H125" s="236"/>
      <c r="I125" s="237"/>
      <c r="J125" s="238"/>
      <c r="K125" s="238"/>
      <c r="L125" s="238"/>
      <c r="M125" s="239"/>
      <c r="N125" s="239"/>
      <c r="O125" s="239"/>
      <c r="P125" s="239"/>
      <c r="Q125" s="240"/>
      <c r="R125" s="240"/>
      <c r="S125" s="240"/>
      <c r="T125" s="240"/>
      <c r="U125" s="240"/>
      <c r="V125" s="249"/>
      <c r="W125" s="167"/>
      <c r="X125" s="157" t="s">
        <v>39</v>
      </c>
      <c r="Y125" s="65">
        <v>6</v>
      </c>
      <c r="Z125" s="65" t="s">
        <v>98</v>
      </c>
      <c r="AA125" s="14" t="s">
        <v>98</v>
      </c>
      <c r="AB125" s="302"/>
      <c r="AC125" s="241">
        <v>6</v>
      </c>
      <c r="AD125" s="242"/>
      <c r="AE125" s="243"/>
      <c r="AF125" s="243"/>
      <c r="AG125" s="244"/>
      <c r="AH125" s="244"/>
      <c r="AI125" s="244"/>
      <c r="AJ125" s="245"/>
      <c r="AK125" s="245"/>
      <c r="AL125" s="245"/>
      <c r="AM125" s="245"/>
      <c r="AN125" s="246"/>
      <c r="AO125" s="246"/>
      <c r="AP125" s="246"/>
      <c r="AQ125" s="246"/>
      <c r="AR125" s="247"/>
      <c r="AS125" s="194"/>
    </row>
    <row r="126" s="165" customFormat="1" spans="1:45">
      <c r="A126" s="253" t="s">
        <v>99</v>
      </c>
      <c r="B126" s="253"/>
      <c r="C126" s="253"/>
      <c r="D126" s="253"/>
      <c r="E126" s="253"/>
      <c r="F126" s="254">
        <f t="shared" ref="F126:U126" si="87">MAX(F120:F125)</f>
        <v>6</v>
      </c>
      <c r="G126" s="255">
        <f t="shared" si="87"/>
        <v>0</v>
      </c>
      <c r="H126" s="256">
        <f t="shared" si="87"/>
        <v>0</v>
      </c>
      <c r="I126" s="256">
        <f t="shared" si="87"/>
        <v>0</v>
      </c>
      <c r="J126" s="257">
        <f t="shared" si="87"/>
        <v>6</v>
      </c>
      <c r="K126" s="257">
        <f t="shared" si="87"/>
        <v>6</v>
      </c>
      <c r="L126" s="257">
        <f t="shared" si="87"/>
        <v>6</v>
      </c>
      <c r="M126" s="258">
        <f t="shared" si="87"/>
        <v>6</v>
      </c>
      <c r="N126" s="258">
        <f t="shared" si="87"/>
        <v>0</v>
      </c>
      <c r="O126" s="258">
        <f t="shared" si="87"/>
        <v>6</v>
      </c>
      <c r="P126" s="258">
        <f t="shared" si="87"/>
        <v>0</v>
      </c>
      <c r="Q126" s="259">
        <f t="shared" si="87"/>
        <v>6</v>
      </c>
      <c r="R126" s="259">
        <f t="shared" si="87"/>
        <v>18</v>
      </c>
      <c r="S126" s="259">
        <f t="shared" si="87"/>
        <v>18</v>
      </c>
      <c r="T126" s="259">
        <f t="shared" si="87"/>
        <v>18</v>
      </c>
      <c r="U126" s="259">
        <f t="shared" si="87"/>
        <v>18</v>
      </c>
      <c r="V126" s="260"/>
      <c r="W126" s="167"/>
      <c r="X126" s="261" t="s">
        <v>99</v>
      </c>
      <c r="Y126" s="253"/>
      <c r="Z126" s="253"/>
      <c r="AA126" s="262"/>
      <c r="AB126" s="262"/>
      <c r="AC126" s="263">
        <f>MAX(AC120:AC125)</f>
        <v>6</v>
      </c>
      <c r="AD126" s="264">
        <f>MAX(AD120:AD125)</f>
        <v>0</v>
      </c>
      <c r="AE126" s="265">
        <v>0</v>
      </c>
      <c r="AF126" s="266">
        <v>0</v>
      </c>
      <c r="AG126" s="267">
        <v>6</v>
      </c>
      <c r="AH126" s="268">
        <v>6</v>
      </c>
      <c r="AI126" s="269">
        <v>6</v>
      </c>
      <c r="AJ126" s="270">
        <v>6</v>
      </c>
      <c r="AK126" s="271">
        <v>0</v>
      </c>
      <c r="AL126" s="271">
        <v>6</v>
      </c>
      <c r="AM126" s="272">
        <v>0</v>
      </c>
      <c r="AN126" s="273">
        <v>6</v>
      </c>
      <c r="AO126" s="274">
        <v>18</v>
      </c>
      <c r="AP126" s="274">
        <v>18</v>
      </c>
      <c r="AQ126" s="274">
        <v>18</v>
      </c>
      <c r="AR126" s="274">
        <v>18</v>
      </c>
      <c r="AS126" s="275"/>
    </row>
    <row r="127" s="164" customFormat="1" spans="1:45">
      <c r="A127" s="211" t="s">
        <v>134</v>
      </c>
      <c r="B127" s="212"/>
      <c r="C127" s="212"/>
      <c r="D127" s="212"/>
      <c r="E127" s="212"/>
      <c r="F127" s="226" t="s">
        <v>4</v>
      </c>
      <c r="G127" s="226"/>
      <c r="H127" s="227" t="s">
        <v>5</v>
      </c>
      <c r="I127" s="228"/>
      <c r="J127" s="276" t="s">
        <v>6</v>
      </c>
      <c r="K127" s="276"/>
      <c r="L127" s="276"/>
      <c r="M127" s="277" t="s">
        <v>7</v>
      </c>
      <c r="N127" s="277"/>
      <c r="O127" s="277"/>
      <c r="P127" s="277"/>
      <c r="Q127" s="278" t="s">
        <v>51</v>
      </c>
      <c r="R127" s="278"/>
      <c r="S127" s="278"/>
      <c r="T127" s="278"/>
      <c r="U127" s="278"/>
      <c r="V127" s="219" t="s">
        <v>52</v>
      </c>
      <c r="W127" s="167"/>
      <c r="X127" s="279" t="s">
        <v>135</v>
      </c>
      <c r="Y127" s="212"/>
      <c r="Z127" s="212"/>
      <c r="AA127" s="212"/>
      <c r="AB127" s="212"/>
      <c r="AC127" s="280" t="s">
        <v>4</v>
      </c>
      <c r="AD127" s="281"/>
      <c r="AE127" s="282" t="s">
        <v>5</v>
      </c>
      <c r="AF127" s="283"/>
      <c r="AG127" s="284" t="s">
        <v>6</v>
      </c>
      <c r="AH127" s="285"/>
      <c r="AI127" s="285"/>
      <c r="AJ127" s="286" t="s">
        <v>7</v>
      </c>
      <c r="AK127" s="287"/>
      <c r="AL127" s="287"/>
      <c r="AM127" s="287"/>
      <c r="AN127" s="288" t="s">
        <v>51</v>
      </c>
      <c r="AO127" s="289"/>
      <c r="AP127" s="289"/>
      <c r="AQ127" s="289"/>
      <c r="AR127" s="289"/>
      <c r="AS127" s="224" t="s">
        <v>52</v>
      </c>
    </row>
    <row r="128" s="164" customFormat="1" ht="31" spans="1:45">
      <c r="A128" s="62" t="s">
        <v>53</v>
      </c>
      <c r="B128" s="62" t="s">
        <v>54</v>
      </c>
      <c r="C128" s="62" t="s">
        <v>55</v>
      </c>
      <c r="D128" s="78" t="s">
        <v>56</v>
      </c>
      <c r="E128" s="78"/>
      <c r="F128" s="225" t="s">
        <v>10</v>
      </c>
      <c r="G128" s="226" t="s">
        <v>11</v>
      </c>
      <c r="H128" s="227" t="s">
        <v>57</v>
      </c>
      <c r="I128" s="228" t="s">
        <v>13</v>
      </c>
      <c r="J128" s="229" t="s">
        <v>14</v>
      </c>
      <c r="K128" s="229" t="s">
        <v>15</v>
      </c>
      <c r="L128" s="229" t="s">
        <v>58</v>
      </c>
      <c r="M128" s="230" t="s">
        <v>59</v>
      </c>
      <c r="N128" s="230" t="s">
        <v>60</v>
      </c>
      <c r="O128" s="230" t="s">
        <v>61</v>
      </c>
      <c r="P128" s="230" t="s">
        <v>62</v>
      </c>
      <c r="Q128" s="231" t="s">
        <v>21</v>
      </c>
      <c r="R128" s="231" t="s">
        <v>22</v>
      </c>
      <c r="S128" s="231" t="s">
        <v>63</v>
      </c>
      <c r="T128" s="231" t="s">
        <v>64</v>
      </c>
      <c r="U128" s="231" t="s">
        <v>65</v>
      </c>
      <c r="V128" s="219"/>
      <c r="W128" s="167"/>
      <c r="X128" s="151" t="s">
        <v>53</v>
      </c>
      <c r="Y128" s="62" t="s">
        <v>54</v>
      </c>
      <c r="Z128" s="62" t="s">
        <v>55</v>
      </c>
      <c r="AA128" s="78" t="s">
        <v>56</v>
      </c>
      <c r="AB128" s="78"/>
      <c r="AC128" s="290" t="s">
        <v>10</v>
      </c>
      <c r="AD128" s="291" t="s">
        <v>11</v>
      </c>
      <c r="AE128" s="282" t="s">
        <v>57</v>
      </c>
      <c r="AF128" s="292" t="s">
        <v>13</v>
      </c>
      <c r="AG128" s="293" t="s">
        <v>14</v>
      </c>
      <c r="AH128" s="294" t="s">
        <v>15</v>
      </c>
      <c r="AI128" s="295" t="s">
        <v>58</v>
      </c>
      <c r="AJ128" s="296" t="s">
        <v>59</v>
      </c>
      <c r="AK128" s="297" t="s">
        <v>60</v>
      </c>
      <c r="AL128" s="297" t="s">
        <v>61</v>
      </c>
      <c r="AM128" s="298" t="s">
        <v>62</v>
      </c>
      <c r="AN128" s="299" t="s">
        <v>21</v>
      </c>
      <c r="AO128" s="300" t="s">
        <v>22</v>
      </c>
      <c r="AP128" s="300" t="s">
        <v>63</v>
      </c>
      <c r="AQ128" s="300" t="s">
        <v>64</v>
      </c>
      <c r="AR128" s="300" t="s">
        <v>65</v>
      </c>
      <c r="AS128" s="224"/>
    </row>
    <row r="129" s="161" customFormat="1" ht="16" spans="1:45">
      <c r="A129" s="233" t="s">
        <v>40</v>
      </c>
      <c r="B129" s="305">
        <v>1</v>
      </c>
      <c r="C129" s="305" t="s">
        <v>136</v>
      </c>
      <c r="D129" s="304" t="s">
        <v>137</v>
      </c>
      <c r="E129" s="2"/>
      <c r="F129" s="234">
        <v>1</v>
      </c>
      <c r="G129" s="235"/>
      <c r="H129" s="236"/>
      <c r="I129" s="237"/>
      <c r="J129" s="238"/>
      <c r="K129" s="238"/>
      <c r="L129" s="238"/>
      <c r="M129" s="239"/>
      <c r="N129" s="239"/>
      <c r="O129" s="239"/>
      <c r="P129" s="239"/>
      <c r="Q129" s="240"/>
      <c r="R129" s="240"/>
      <c r="S129" s="240"/>
      <c r="T129" s="240"/>
      <c r="U129" s="240"/>
      <c r="V129" s="249" t="s">
        <v>41</v>
      </c>
      <c r="W129" s="167"/>
      <c r="X129" s="309" t="s">
        <v>42</v>
      </c>
      <c r="Y129" s="310">
        <v>1</v>
      </c>
      <c r="Z129" s="310" t="s">
        <v>66</v>
      </c>
      <c r="AA129" s="187" t="s">
        <v>67</v>
      </c>
      <c r="AB129" s="187"/>
      <c r="AC129" s="241">
        <v>12</v>
      </c>
      <c r="AD129" s="242"/>
      <c r="AE129" s="243"/>
      <c r="AF129" s="243"/>
      <c r="AG129" s="244"/>
      <c r="AH129" s="244"/>
      <c r="AI129" s="244"/>
      <c r="AJ129" s="245"/>
      <c r="AK129" s="245"/>
      <c r="AL129" s="245"/>
      <c r="AM129" s="245"/>
      <c r="AN129" s="246"/>
      <c r="AO129" s="246"/>
      <c r="AP129" s="246"/>
      <c r="AQ129" s="246"/>
      <c r="AR129" s="247"/>
      <c r="AS129" s="311"/>
    </row>
    <row r="130" s="164" customFormat="1" spans="1:45">
      <c r="A130" s="211" t="s">
        <v>138</v>
      </c>
      <c r="B130" s="212"/>
      <c r="C130" s="212"/>
      <c r="D130" s="212"/>
      <c r="E130" s="212"/>
      <c r="F130" s="226" t="s">
        <v>4</v>
      </c>
      <c r="G130" s="226"/>
      <c r="H130" s="227" t="s">
        <v>5</v>
      </c>
      <c r="I130" s="228"/>
      <c r="J130" s="276" t="s">
        <v>6</v>
      </c>
      <c r="K130" s="276"/>
      <c r="L130" s="276"/>
      <c r="M130" s="277" t="s">
        <v>7</v>
      </c>
      <c r="N130" s="277"/>
      <c r="O130" s="277"/>
      <c r="P130" s="277"/>
      <c r="Q130" s="278" t="s">
        <v>51</v>
      </c>
      <c r="R130" s="278"/>
      <c r="S130" s="278"/>
      <c r="T130" s="278"/>
      <c r="U130" s="278"/>
      <c r="V130" s="219" t="s">
        <v>52</v>
      </c>
      <c r="W130" s="167"/>
      <c r="X130" s="279" t="s">
        <v>42</v>
      </c>
      <c r="Y130" s="212">
        <v>2</v>
      </c>
      <c r="Z130" s="212" t="s">
        <v>68</v>
      </c>
      <c r="AA130" s="212" t="s">
        <v>69</v>
      </c>
      <c r="AB130" s="212"/>
      <c r="AC130" s="241">
        <v>12</v>
      </c>
      <c r="AD130" s="242"/>
      <c r="AE130" s="243"/>
      <c r="AF130" s="243"/>
      <c r="AG130" s="244">
        <f>AC130</f>
        <v>12</v>
      </c>
      <c r="AH130" s="244">
        <f>AC130</f>
        <v>12</v>
      </c>
      <c r="AI130" s="244">
        <f>AC130</f>
        <v>12</v>
      </c>
      <c r="AJ130" s="245">
        <f>AC130</f>
        <v>12</v>
      </c>
      <c r="AK130" s="245"/>
      <c r="AL130" s="245">
        <f>AC130</f>
        <v>12</v>
      </c>
      <c r="AM130" s="245"/>
      <c r="AN130" s="246"/>
      <c r="AO130" s="246"/>
      <c r="AP130" s="246"/>
      <c r="AQ130" s="246"/>
      <c r="AR130" s="247"/>
      <c r="AS130" s="224"/>
    </row>
    <row r="131" s="165" customFormat="1" ht="31" spans="1:45">
      <c r="A131" s="62" t="s">
        <v>53</v>
      </c>
      <c r="B131" s="62" t="s">
        <v>54</v>
      </c>
      <c r="C131" s="62" t="s">
        <v>55</v>
      </c>
      <c r="D131" s="78" t="s">
        <v>56</v>
      </c>
      <c r="E131" s="78"/>
      <c r="F131" s="225" t="s">
        <v>10</v>
      </c>
      <c r="G131" s="226" t="s">
        <v>11</v>
      </c>
      <c r="H131" s="227" t="s">
        <v>57</v>
      </c>
      <c r="I131" s="228" t="s">
        <v>13</v>
      </c>
      <c r="J131" s="229" t="s">
        <v>14</v>
      </c>
      <c r="K131" s="229" t="s">
        <v>15</v>
      </c>
      <c r="L131" s="229" t="s">
        <v>58</v>
      </c>
      <c r="M131" s="230" t="s">
        <v>59</v>
      </c>
      <c r="N131" s="230" t="s">
        <v>60</v>
      </c>
      <c r="O131" s="230" t="s">
        <v>61</v>
      </c>
      <c r="P131" s="230" t="s">
        <v>62</v>
      </c>
      <c r="Q131" s="231" t="s">
        <v>21</v>
      </c>
      <c r="R131" s="231" t="s">
        <v>22</v>
      </c>
      <c r="S131" s="231" t="s">
        <v>63</v>
      </c>
      <c r="T131" s="231" t="s">
        <v>64</v>
      </c>
      <c r="U131" s="231" t="s">
        <v>65</v>
      </c>
      <c r="V131" s="219"/>
      <c r="W131" s="167"/>
      <c r="X131" s="151" t="s">
        <v>42</v>
      </c>
      <c r="Y131" s="62">
        <v>3</v>
      </c>
      <c r="Z131" s="62" t="s">
        <v>139</v>
      </c>
      <c r="AA131" s="78" t="s">
        <v>140</v>
      </c>
      <c r="AB131" s="78"/>
      <c r="AC131" s="241">
        <v>3</v>
      </c>
      <c r="AD131" s="242"/>
      <c r="AE131" s="243"/>
      <c r="AF131" s="243"/>
      <c r="AG131" s="244">
        <f>IF(MAX(AC129:AC138)&gt;0,3,0)</f>
        <v>3</v>
      </c>
      <c r="AH131" s="244">
        <f>IF(MAX(AC129:AC138)&gt;0,3,0)</f>
        <v>3</v>
      </c>
      <c r="AI131" s="244">
        <f>IF(MAX(AC129:AC138)&gt;0,3,0)</f>
        <v>3</v>
      </c>
      <c r="AJ131" s="245">
        <f>IF(MAX(AC129:AC138)&gt;0,3,0)</f>
        <v>3</v>
      </c>
      <c r="AK131" s="245"/>
      <c r="AL131" s="245">
        <f>IF(MAX(AC129:AC138)&gt;0,3,0)</f>
        <v>3</v>
      </c>
      <c r="AM131" s="245"/>
      <c r="AN131" s="246"/>
      <c r="AO131" s="246"/>
      <c r="AP131" s="246"/>
      <c r="AQ131" s="246"/>
      <c r="AR131" s="247"/>
      <c r="AS131" s="224"/>
    </row>
    <row r="132" s="161" customFormat="1" ht="16" spans="1:45">
      <c r="A132" s="65" t="s">
        <v>43</v>
      </c>
      <c r="B132" s="65">
        <v>1</v>
      </c>
      <c r="C132" s="65" t="s">
        <v>141</v>
      </c>
      <c r="D132" s="14" t="s">
        <v>142</v>
      </c>
      <c r="E132" s="14"/>
      <c r="F132" s="234">
        <v>25</v>
      </c>
      <c r="G132" s="235"/>
      <c r="H132" s="236"/>
      <c r="I132" s="237"/>
      <c r="J132" s="238"/>
      <c r="K132" s="238"/>
      <c r="L132" s="238"/>
      <c r="M132" s="239"/>
      <c r="N132" s="239"/>
      <c r="O132" s="239"/>
      <c r="P132" s="239"/>
      <c r="Q132" s="240"/>
      <c r="R132" s="240"/>
      <c r="S132" s="240"/>
      <c r="T132" s="240"/>
      <c r="U132" s="240"/>
      <c r="V132" s="312" t="s">
        <v>44</v>
      </c>
      <c r="W132" s="167"/>
      <c r="X132" s="309" t="s">
        <v>42</v>
      </c>
      <c r="Y132" s="310">
        <v>4</v>
      </c>
      <c r="Z132" s="310" t="s">
        <v>139</v>
      </c>
      <c r="AA132" s="187" t="s">
        <v>143</v>
      </c>
      <c r="AB132" s="187"/>
      <c r="AC132" s="241"/>
      <c r="AD132" s="242"/>
      <c r="AE132" s="243"/>
      <c r="AF132" s="243"/>
      <c r="AG132" s="244">
        <f>IF(MAX(AC129:AC138)&gt;0,3,0)</f>
        <v>3</v>
      </c>
      <c r="AH132" s="244">
        <f>IF(MAX(AC129:AC138)&gt;0,3,0)</f>
        <v>3</v>
      </c>
      <c r="AI132" s="244">
        <f>IF(MAX(AC129:AC138)&gt;0,3,0)</f>
        <v>3</v>
      </c>
      <c r="AJ132" s="245">
        <f>IF(MAX(AC129:AC138)&gt;0,3,0)</f>
        <v>3</v>
      </c>
      <c r="AK132" s="245"/>
      <c r="AL132" s="245">
        <f>IF(MAX(AC129:AC138)&gt;0,3,0)</f>
        <v>3</v>
      </c>
      <c r="AM132" s="245"/>
      <c r="AN132" s="246"/>
      <c r="AO132" s="246"/>
      <c r="AP132" s="246"/>
      <c r="AQ132" s="246"/>
      <c r="AR132" s="247"/>
      <c r="AS132" s="311"/>
    </row>
    <row r="133" s="161" customFormat="1" ht="17.6" spans="1:45">
      <c r="A133" s="313"/>
      <c r="B133" s="314"/>
      <c r="C133" s="314"/>
      <c r="D133" s="315"/>
      <c r="E133" s="315"/>
      <c r="F133" s="316"/>
      <c r="G133" s="317"/>
      <c r="H133" s="316"/>
      <c r="I133" s="316"/>
      <c r="J133" s="316"/>
      <c r="K133" s="316"/>
      <c r="L133" s="316"/>
      <c r="M133" s="318"/>
      <c r="N133" s="318"/>
      <c r="O133" s="318"/>
      <c r="P133" s="318"/>
      <c r="Q133" s="318"/>
      <c r="R133" s="318"/>
      <c r="S133" s="318"/>
      <c r="T133" s="318"/>
      <c r="U133" s="318"/>
      <c r="V133" s="205"/>
      <c r="W133" s="167"/>
      <c r="X133" s="309" t="s">
        <v>42</v>
      </c>
      <c r="Y133" s="310">
        <v>5</v>
      </c>
      <c r="Z133" s="310" t="s">
        <v>139</v>
      </c>
      <c r="AA133" s="187" t="s">
        <v>144</v>
      </c>
      <c r="AB133" s="187"/>
      <c r="AC133" s="241"/>
      <c r="AD133" s="242"/>
      <c r="AE133" s="243"/>
      <c r="AF133" s="243"/>
      <c r="AG133" s="244">
        <f>IF(MAX(AC129:AC138)&gt;0,3,0)</f>
        <v>3</v>
      </c>
      <c r="AH133" s="244">
        <f>IF(MAX(AC129:AC138)&gt;0,3,0)</f>
        <v>3</v>
      </c>
      <c r="AI133" s="244">
        <f>IF(MAX(AC129:AC138)&gt;0,3,0)</f>
        <v>3</v>
      </c>
      <c r="AJ133" s="245">
        <f>IF(MAX(AC129:AC138)&gt;0,3,0)</f>
        <v>3</v>
      </c>
      <c r="AK133" s="245"/>
      <c r="AL133" s="245">
        <f>IF(MAX(AC129:AC138)&gt;0,3,0)</f>
        <v>3</v>
      </c>
      <c r="AM133" s="245"/>
      <c r="AN133" s="246"/>
      <c r="AO133" s="246"/>
      <c r="AP133" s="246"/>
      <c r="AQ133" s="246"/>
      <c r="AR133" s="247"/>
      <c r="AS133" s="311"/>
    </row>
    <row r="134" s="161" customFormat="1" ht="17.6" spans="1:45">
      <c r="A134" s="313"/>
      <c r="B134" s="314"/>
      <c r="C134" s="314"/>
      <c r="D134" s="315"/>
      <c r="E134" s="315"/>
      <c r="F134" s="316"/>
      <c r="G134" s="317"/>
      <c r="H134" s="316"/>
      <c r="I134" s="316"/>
      <c r="J134" s="316"/>
      <c r="K134" s="316"/>
      <c r="L134" s="316"/>
      <c r="M134" s="316"/>
      <c r="N134" s="316"/>
      <c r="O134" s="316"/>
      <c r="P134" s="316"/>
      <c r="Q134" s="316"/>
      <c r="R134" s="316"/>
      <c r="S134" s="316"/>
      <c r="T134" s="316"/>
      <c r="U134" s="316"/>
      <c r="V134" s="313"/>
      <c r="W134" s="167"/>
      <c r="X134" s="309" t="s">
        <v>42</v>
      </c>
      <c r="Y134" s="310">
        <v>6</v>
      </c>
      <c r="Z134" s="310" t="s">
        <v>139</v>
      </c>
      <c r="AA134" s="187" t="s">
        <v>145</v>
      </c>
      <c r="AB134" s="187"/>
      <c r="AC134" s="241">
        <v>3</v>
      </c>
      <c r="AD134" s="242"/>
      <c r="AE134" s="243">
        <f>IF(MAX(AC129:AC138)&gt;0,3,0)</f>
        <v>3</v>
      </c>
      <c r="AF134" s="243"/>
      <c r="AG134" s="244">
        <f>IF(MAX(AC129:AC138)&gt;0,3,0)</f>
        <v>3</v>
      </c>
      <c r="AH134" s="244">
        <f>IF(MAX(AC129:AC138)&gt;0,3,0)</f>
        <v>3</v>
      </c>
      <c r="AI134" s="244">
        <f>IF(MAX(AC129:AC138)&gt;0,3,0)</f>
        <v>3</v>
      </c>
      <c r="AJ134" s="245">
        <f>IF(MAX(AC129:AC138)&gt;0,3,0)</f>
        <v>3</v>
      </c>
      <c r="AK134" s="245"/>
      <c r="AL134" s="245">
        <f>IF(MAX(AC129:AC138)&gt;0,3,0)</f>
        <v>3</v>
      </c>
      <c r="AM134" s="245"/>
      <c r="AN134" s="246"/>
      <c r="AO134" s="246"/>
      <c r="AP134" s="246"/>
      <c r="AQ134" s="246"/>
      <c r="AR134" s="247"/>
      <c r="AS134" s="311"/>
    </row>
    <row r="135" s="161" customFormat="1" ht="17.6" spans="1:45">
      <c r="A135" s="313"/>
      <c r="B135" s="319"/>
      <c r="C135" s="313"/>
      <c r="D135" s="313"/>
      <c r="E135" s="313"/>
      <c r="F135" s="316"/>
      <c r="G135" s="320"/>
      <c r="H135" s="320"/>
      <c r="I135" s="320"/>
      <c r="J135" s="320"/>
      <c r="K135" s="320"/>
      <c r="L135" s="320"/>
      <c r="M135" s="320"/>
      <c r="N135" s="320"/>
      <c r="O135" s="320"/>
      <c r="P135" s="320"/>
      <c r="Q135" s="320"/>
      <c r="R135" s="320"/>
      <c r="S135" s="320"/>
      <c r="T135" s="320"/>
      <c r="U135" s="320"/>
      <c r="V135" s="321"/>
      <c r="W135" s="167"/>
      <c r="X135" s="309" t="s">
        <v>42</v>
      </c>
      <c r="Y135" s="65">
        <v>7</v>
      </c>
      <c r="Z135" s="65" t="s">
        <v>139</v>
      </c>
      <c r="AA135" s="187" t="s">
        <v>146</v>
      </c>
      <c r="AB135" s="187"/>
      <c r="AC135" s="241">
        <v>3</v>
      </c>
      <c r="AD135" s="242"/>
      <c r="AE135" s="243">
        <f>IF(MAX(AC129:AC138)&gt;0,3,0)</f>
        <v>3</v>
      </c>
      <c r="AF135" s="243"/>
      <c r="AG135" s="244">
        <f>IF(MAX(AC129:AC138)&gt;0,3,0)</f>
        <v>3</v>
      </c>
      <c r="AH135" s="244">
        <f>IF(MAX(AC129:AC138)&gt;0,3,0)</f>
        <v>3</v>
      </c>
      <c r="AI135" s="244">
        <f>IF(MAX(AC129:AC138)&gt;0,3,0)</f>
        <v>3</v>
      </c>
      <c r="AJ135" s="245">
        <f>IF(MAX(AC129:AC138)&gt;0,3,0)</f>
        <v>3</v>
      </c>
      <c r="AK135" s="245"/>
      <c r="AL135" s="245">
        <f>IF(MAX(AC129:AC138)&gt;0,3,0)</f>
        <v>3</v>
      </c>
      <c r="AM135" s="245"/>
      <c r="AN135" s="246"/>
      <c r="AO135" s="246"/>
      <c r="AP135" s="246"/>
      <c r="AQ135" s="246"/>
      <c r="AR135" s="247"/>
      <c r="AS135" s="183"/>
    </row>
    <row r="136" s="164" customFormat="1" ht="17.6" spans="1:45">
      <c r="A136" s="313"/>
      <c r="B136" s="322"/>
      <c r="C136" s="313"/>
      <c r="D136" s="313"/>
      <c r="E136" s="313"/>
      <c r="F136" s="316"/>
      <c r="G136" s="323"/>
      <c r="H136" s="316"/>
      <c r="I136" s="324"/>
      <c r="J136" s="316"/>
      <c r="K136" s="323"/>
      <c r="L136" s="316"/>
      <c r="M136" s="316"/>
      <c r="N136" s="323"/>
      <c r="O136" s="316"/>
      <c r="P136" s="316"/>
      <c r="Q136" s="316"/>
      <c r="R136" s="323"/>
      <c r="S136" s="316"/>
      <c r="T136" s="316"/>
      <c r="U136" s="316"/>
      <c r="V136" s="313"/>
      <c r="W136" s="167"/>
      <c r="X136" s="309" t="s">
        <v>42</v>
      </c>
      <c r="Y136" s="310">
        <v>8</v>
      </c>
      <c r="Z136" s="310" t="s">
        <v>68</v>
      </c>
      <c r="AA136" s="187" t="s">
        <v>69</v>
      </c>
      <c r="AB136" s="187"/>
      <c r="AC136" s="241">
        <v>9</v>
      </c>
      <c r="AD136" s="242"/>
      <c r="AE136" s="243"/>
      <c r="AF136" s="243"/>
      <c r="AG136" s="244">
        <f>AC136</f>
        <v>9</v>
      </c>
      <c r="AH136" s="244">
        <f>AC136</f>
        <v>9</v>
      </c>
      <c r="AI136" s="244">
        <f>AC136</f>
        <v>9</v>
      </c>
      <c r="AJ136" s="245">
        <f>AC136</f>
        <v>9</v>
      </c>
      <c r="AK136" s="245"/>
      <c r="AL136" s="245">
        <f>AC136</f>
        <v>9</v>
      </c>
      <c r="AM136" s="245"/>
      <c r="AN136" s="246"/>
      <c r="AO136" s="246"/>
      <c r="AP136" s="246"/>
      <c r="AQ136" s="246"/>
      <c r="AR136" s="247"/>
      <c r="AS136" s="311"/>
    </row>
    <row r="137" s="164" customFormat="1" ht="17.6" spans="1:45">
      <c r="A137" s="313"/>
      <c r="B137" s="325"/>
      <c r="C137" s="325"/>
      <c r="D137" s="326"/>
      <c r="E137" s="326"/>
      <c r="F137" s="316"/>
      <c r="G137" s="323"/>
      <c r="H137" s="323"/>
      <c r="I137" s="324"/>
      <c r="J137" s="324"/>
      <c r="K137" s="324"/>
      <c r="L137" s="324"/>
      <c r="M137" s="324"/>
      <c r="N137" s="324"/>
      <c r="O137" s="324"/>
      <c r="P137" s="324"/>
      <c r="Q137" s="324"/>
      <c r="R137" s="324"/>
      <c r="S137" s="324"/>
      <c r="T137" s="324"/>
      <c r="U137" s="324"/>
      <c r="V137" s="327"/>
      <c r="W137" s="167"/>
      <c r="X137" s="309" t="s">
        <v>42</v>
      </c>
      <c r="Y137" s="310">
        <v>9</v>
      </c>
      <c r="Z137" s="310" t="s">
        <v>66</v>
      </c>
      <c r="AA137" s="187" t="s">
        <v>67</v>
      </c>
      <c r="AB137" s="187"/>
      <c r="AC137" s="241">
        <v>9</v>
      </c>
      <c r="AD137" s="242"/>
      <c r="AE137" s="243"/>
      <c r="AF137" s="243"/>
      <c r="AG137" s="244"/>
      <c r="AH137" s="244"/>
      <c r="AI137" s="244"/>
      <c r="AJ137" s="245"/>
      <c r="AK137" s="245"/>
      <c r="AL137" s="245"/>
      <c r="AM137" s="245"/>
      <c r="AN137" s="246"/>
      <c r="AO137" s="246"/>
      <c r="AP137" s="246"/>
      <c r="AQ137" s="246"/>
      <c r="AR137" s="247"/>
      <c r="AS137" s="183"/>
    </row>
    <row r="138" s="161" customFormat="1" ht="17.6" spans="1:45">
      <c r="A138" s="313"/>
      <c r="B138" s="314"/>
      <c r="C138" s="314"/>
      <c r="D138" s="315"/>
      <c r="E138" s="315"/>
      <c r="F138" s="316"/>
      <c r="G138" s="317"/>
      <c r="H138" s="316"/>
      <c r="I138" s="316"/>
      <c r="J138" s="316"/>
      <c r="K138" s="316"/>
      <c r="L138" s="316"/>
      <c r="M138" s="316"/>
      <c r="N138" s="316"/>
      <c r="O138" s="316"/>
      <c r="P138" s="316"/>
      <c r="Q138" s="316"/>
      <c r="R138" s="316"/>
      <c r="S138" s="316"/>
      <c r="T138" s="316"/>
      <c r="U138" s="316"/>
      <c r="V138" s="313"/>
      <c r="W138" s="167"/>
      <c r="X138" s="309" t="s">
        <v>42</v>
      </c>
      <c r="Y138" s="65">
        <v>10</v>
      </c>
      <c r="Z138" s="65" t="s">
        <v>98</v>
      </c>
      <c r="AA138" s="187" t="s">
        <v>98</v>
      </c>
      <c r="AB138" s="187"/>
      <c r="AC138" s="241">
        <v>9</v>
      </c>
      <c r="AD138" s="242"/>
      <c r="AE138" s="243"/>
      <c r="AF138" s="243"/>
      <c r="AG138" s="244"/>
      <c r="AH138" s="244"/>
      <c r="AI138" s="244"/>
      <c r="AJ138" s="245"/>
      <c r="AK138" s="245"/>
      <c r="AL138" s="245"/>
      <c r="AM138" s="245"/>
      <c r="AN138" s="246"/>
      <c r="AO138" s="246"/>
      <c r="AP138" s="246"/>
      <c r="AQ138" s="246"/>
      <c r="AR138" s="247"/>
      <c r="AS138" s="183"/>
    </row>
    <row r="139" s="164" customFormat="1" ht="17.6" spans="1:45">
      <c r="A139" s="313"/>
      <c r="B139" s="322"/>
      <c r="C139" s="313"/>
      <c r="D139" s="313"/>
      <c r="E139" s="313"/>
      <c r="F139" s="316"/>
      <c r="G139" s="323"/>
      <c r="H139" s="316"/>
      <c r="I139" s="324"/>
      <c r="J139" s="316"/>
      <c r="K139" s="323"/>
      <c r="L139" s="316"/>
      <c r="M139" s="316"/>
      <c r="N139" s="323"/>
      <c r="O139" s="316"/>
      <c r="P139" s="316"/>
      <c r="Q139" s="316"/>
      <c r="R139" s="323"/>
      <c r="S139" s="316"/>
      <c r="T139" s="316"/>
      <c r="U139" s="316"/>
      <c r="V139" s="313"/>
      <c r="W139" s="167"/>
      <c r="X139" s="261" t="s">
        <v>99</v>
      </c>
      <c r="Y139" s="253"/>
      <c r="Z139" s="253"/>
      <c r="AA139" s="262"/>
      <c r="AB139" s="262"/>
      <c r="AC139" s="263">
        <f>MAX(AC129:AC138)</f>
        <v>12</v>
      </c>
      <c r="AD139" s="264">
        <f>MAX(AD129:AD138)</f>
        <v>0</v>
      </c>
      <c r="AE139" s="265">
        <v>3</v>
      </c>
      <c r="AF139" s="266">
        <v>0</v>
      </c>
      <c r="AG139" s="267">
        <v>12</v>
      </c>
      <c r="AH139" s="268">
        <v>12</v>
      </c>
      <c r="AI139" s="269">
        <v>12</v>
      </c>
      <c r="AJ139" s="270">
        <v>12</v>
      </c>
      <c r="AK139" s="271">
        <v>0</v>
      </c>
      <c r="AL139" s="271">
        <v>12</v>
      </c>
      <c r="AM139" s="272">
        <v>0</v>
      </c>
      <c r="AN139" s="273">
        <v>0</v>
      </c>
      <c r="AO139" s="274">
        <v>0</v>
      </c>
      <c r="AP139" s="274">
        <v>0</v>
      </c>
      <c r="AQ139" s="274">
        <v>0</v>
      </c>
      <c r="AR139" s="274">
        <v>0</v>
      </c>
      <c r="AS139" s="275"/>
    </row>
    <row r="140" s="165" customFormat="1" ht="17.6" spans="1:45">
      <c r="A140" s="313"/>
      <c r="B140" s="325"/>
      <c r="C140" s="325"/>
      <c r="D140" s="326"/>
      <c r="E140" s="326"/>
      <c r="F140" s="316"/>
      <c r="G140" s="323"/>
      <c r="H140" s="323"/>
      <c r="I140" s="324"/>
      <c r="J140" s="324"/>
      <c r="K140" s="324"/>
      <c r="L140" s="324"/>
      <c r="M140" s="324"/>
      <c r="N140" s="324"/>
      <c r="O140" s="324"/>
      <c r="P140" s="324"/>
      <c r="Q140" s="324"/>
      <c r="R140" s="324"/>
      <c r="S140" s="324"/>
      <c r="T140" s="324"/>
      <c r="U140" s="324"/>
      <c r="V140" s="327"/>
      <c r="W140" s="167"/>
      <c r="X140" s="279" t="s">
        <v>134</v>
      </c>
      <c r="Y140" s="212"/>
      <c r="Z140" s="212"/>
      <c r="AA140" s="212"/>
      <c r="AB140" s="212"/>
      <c r="AC140" s="280" t="s">
        <v>4</v>
      </c>
      <c r="AD140" s="281"/>
      <c r="AE140" s="282" t="s">
        <v>5</v>
      </c>
      <c r="AF140" s="283"/>
      <c r="AG140" s="284" t="s">
        <v>6</v>
      </c>
      <c r="AH140" s="285"/>
      <c r="AI140" s="285"/>
      <c r="AJ140" s="286" t="s">
        <v>7</v>
      </c>
      <c r="AK140" s="287"/>
      <c r="AL140" s="287"/>
      <c r="AM140" s="287"/>
      <c r="AN140" s="288" t="s">
        <v>51</v>
      </c>
      <c r="AO140" s="289"/>
      <c r="AP140" s="289"/>
      <c r="AQ140" s="289"/>
      <c r="AR140" s="289"/>
      <c r="AS140" s="224" t="s">
        <v>52</v>
      </c>
    </row>
    <row r="141" s="161" customFormat="1" ht="31" spans="1:45">
      <c r="A141" s="314"/>
      <c r="B141" s="314"/>
      <c r="C141" s="314"/>
      <c r="D141" s="315"/>
      <c r="E141" s="315"/>
      <c r="F141" s="316"/>
      <c r="G141" s="323"/>
      <c r="H141" s="316"/>
      <c r="I141" s="316"/>
      <c r="J141" s="316"/>
      <c r="K141" s="316"/>
      <c r="L141" s="316"/>
      <c r="M141" s="316"/>
      <c r="N141" s="316"/>
      <c r="O141" s="316"/>
      <c r="P141" s="316"/>
      <c r="Q141" s="316"/>
      <c r="R141" s="316"/>
      <c r="S141" s="316"/>
      <c r="T141" s="316"/>
      <c r="U141" s="316"/>
      <c r="V141" s="313"/>
      <c r="W141" s="167"/>
      <c r="X141" s="151" t="s">
        <v>53</v>
      </c>
      <c r="Y141" s="62" t="s">
        <v>54</v>
      </c>
      <c r="Z141" s="62" t="s">
        <v>55</v>
      </c>
      <c r="AA141" s="78" t="s">
        <v>56</v>
      </c>
      <c r="AB141" s="78"/>
      <c r="AC141" s="290" t="s">
        <v>10</v>
      </c>
      <c r="AD141" s="291" t="s">
        <v>11</v>
      </c>
      <c r="AE141" s="282" t="s">
        <v>57</v>
      </c>
      <c r="AF141" s="292" t="s">
        <v>13</v>
      </c>
      <c r="AG141" s="293" t="s">
        <v>14</v>
      </c>
      <c r="AH141" s="294" t="s">
        <v>15</v>
      </c>
      <c r="AI141" s="295" t="s">
        <v>58</v>
      </c>
      <c r="AJ141" s="296" t="s">
        <v>59</v>
      </c>
      <c r="AK141" s="297" t="s">
        <v>60</v>
      </c>
      <c r="AL141" s="297" t="s">
        <v>61</v>
      </c>
      <c r="AM141" s="298" t="s">
        <v>62</v>
      </c>
      <c r="AN141" s="299" t="s">
        <v>21</v>
      </c>
      <c r="AO141" s="300" t="s">
        <v>22</v>
      </c>
      <c r="AP141" s="300" t="s">
        <v>63</v>
      </c>
      <c r="AQ141" s="300" t="s">
        <v>64</v>
      </c>
      <c r="AR141" s="300" t="s">
        <v>65</v>
      </c>
      <c r="AS141" s="224"/>
    </row>
    <row r="142" s="161" customFormat="1" ht="16" spans="1:45">
      <c r="A142" s="314"/>
      <c r="B142" s="314"/>
      <c r="C142" s="314"/>
      <c r="D142" s="314"/>
      <c r="E142" s="314"/>
      <c r="F142" s="317"/>
      <c r="G142" s="317"/>
      <c r="H142" s="317"/>
      <c r="I142" s="317"/>
      <c r="J142" s="317"/>
      <c r="K142" s="317"/>
      <c r="L142" s="317"/>
      <c r="M142" s="317"/>
      <c r="N142" s="317"/>
      <c r="O142" s="317"/>
      <c r="P142" s="317"/>
      <c r="Q142" s="317"/>
      <c r="R142" s="317"/>
      <c r="S142" s="317"/>
      <c r="T142" s="317"/>
      <c r="U142" s="317"/>
      <c r="V142" s="314"/>
      <c r="W142" s="167"/>
      <c r="X142" s="307" t="s">
        <v>40</v>
      </c>
      <c r="Y142" s="305">
        <v>1</v>
      </c>
      <c r="Z142" s="305" t="s">
        <v>136</v>
      </c>
      <c r="AA142" s="304" t="s">
        <v>137</v>
      </c>
      <c r="AB142" s="2"/>
      <c r="AC142" s="241">
        <v>1</v>
      </c>
      <c r="AD142" s="242"/>
      <c r="AE142" s="243"/>
      <c r="AF142" s="243"/>
      <c r="AG142" s="244"/>
      <c r="AH142" s="244"/>
      <c r="AI142" s="244"/>
      <c r="AJ142" s="245"/>
      <c r="AK142" s="245"/>
      <c r="AL142" s="245"/>
      <c r="AM142" s="245"/>
      <c r="AN142" s="246"/>
      <c r="AO142" s="246"/>
      <c r="AP142" s="246"/>
      <c r="AQ142" s="246"/>
      <c r="AR142" s="247"/>
      <c r="AS142" s="194" t="s">
        <v>41</v>
      </c>
    </row>
    <row r="143" s="161" customFormat="1" spans="1:45">
      <c r="W143" s="167"/>
      <c r="X143" s="279" t="s">
        <v>138</v>
      </c>
      <c r="Y143" s="212"/>
      <c r="Z143" s="212"/>
      <c r="AA143" s="212"/>
      <c r="AB143" s="212"/>
      <c r="AC143" s="280" t="s">
        <v>4</v>
      </c>
      <c r="AD143" s="281"/>
      <c r="AE143" s="282" t="s">
        <v>5</v>
      </c>
      <c r="AF143" s="283"/>
      <c r="AG143" s="284" t="s">
        <v>6</v>
      </c>
      <c r="AH143" s="285"/>
      <c r="AI143" s="285"/>
      <c r="AJ143" s="286" t="s">
        <v>7</v>
      </c>
      <c r="AK143" s="287"/>
      <c r="AL143" s="287"/>
      <c r="AM143" s="287"/>
      <c r="AN143" s="288" t="s">
        <v>51</v>
      </c>
      <c r="AO143" s="289"/>
      <c r="AP143" s="289"/>
      <c r="AQ143" s="289"/>
      <c r="AR143" s="289"/>
      <c r="AS143" s="224" t="s">
        <v>52</v>
      </c>
    </row>
    <row r="144" s="161" customFormat="1" ht="31" spans="1:45">
      <c r="W144" s="167"/>
      <c r="X144" s="151" t="s">
        <v>53</v>
      </c>
      <c r="Y144" s="62" t="s">
        <v>54</v>
      </c>
      <c r="Z144" s="62" t="s">
        <v>55</v>
      </c>
      <c r="AA144" s="78" t="s">
        <v>56</v>
      </c>
      <c r="AB144" s="78"/>
      <c r="AC144" s="290" t="s">
        <v>10</v>
      </c>
      <c r="AD144" s="291" t="s">
        <v>11</v>
      </c>
      <c r="AE144" s="282" t="s">
        <v>57</v>
      </c>
      <c r="AF144" s="292" t="s">
        <v>13</v>
      </c>
      <c r="AG144" s="293" t="s">
        <v>14</v>
      </c>
      <c r="AH144" s="294" t="s">
        <v>15</v>
      </c>
      <c r="AI144" s="295" t="s">
        <v>58</v>
      </c>
      <c r="AJ144" s="296" t="s">
        <v>59</v>
      </c>
      <c r="AK144" s="297" t="s">
        <v>60</v>
      </c>
      <c r="AL144" s="297" t="s">
        <v>61</v>
      </c>
      <c r="AM144" s="298" t="s">
        <v>62</v>
      </c>
      <c r="AN144" s="299" t="s">
        <v>21</v>
      </c>
      <c r="AO144" s="300" t="s">
        <v>22</v>
      </c>
      <c r="AP144" s="300" t="s">
        <v>63</v>
      </c>
      <c r="AQ144" s="300" t="s">
        <v>64</v>
      </c>
      <c r="AR144" s="300" t="s">
        <v>65</v>
      </c>
      <c r="AS144" s="224"/>
    </row>
    <row r="145" s="161" customFormat="1" ht="16" spans="23:45">
      <c r="W145" s="167"/>
      <c r="X145" s="157" t="s">
        <v>43</v>
      </c>
      <c r="Y145" s="65">
        <v>1</v>
      </c>
      <c r="Z145" s="65" t="s">
        <v>141</v>
      </c>
      <c r="AA145" s="14" t="s">
        <v>142</v>
      </c>
      <c r="AB145" s="14"/>
      <c r="AC145" s="241">
        <v>25</v>
      </c>
      <c r="AD145" s="242"/>
      <c r="AE145" s="243"/>
      <c r="AF145" s="243"/>
      <c r="AG145" s="244"/>
      <c r="AH145" s="244"/>
      <c r="AI145" s="244"/>
      <c r="AJ145" s="245"/>
      <c r="AK145" s="245"/>
      <c r="AL145" s="245"/>
      <c r="AM145" s="245"/>
      <c r="AN145" s="246"/>
      <c r="AO145" s="246"/>
      <c r="AP145" s="246"/>
      <c r="AQ145" s="246"/>
      <c r="AR145" s="247"/>
      <c r="AS145" s="328" t="s">
        <v>44</v>
      </c>
    </row>
  </sheetData>
  <mergeCells count="457">
    <mergeCell ref="A1:V1"/>
    <mergeCell ref="X1:AS1"/>
    <mergeCell ref="A2:V2"/>
    <mergeCell ref="X2:AS2"/>
    <mergeCell ref="A3:S3"/>
    <mergeCell ref="X3:AP3"/>
    <mergeCell ref="B4:C4"/>
    <mergeCell ref="D4:E4"/>
    <mergeCell ref="F4:H4"/>
    <mergeCell ref="I4:L4"/>
    <mergeCell ref="M4:Q4"/>
    <mergeCell ref="R4:V4"/>
    <mergeCell ref="Y4:Z4"/>
    <mergeCell ref="AA4:AB4"/>
    <mergeCell ref="AC4:AE4"/>
    <mergeCell ref="AF4:AI4"/>
    <mergeCell ref="AJ4:AN4"/>
    <mergeCell ref="AO4:AS4"/>
    <mergeCell ref="R5:V5"/>
    <mergeCell ref="AO5:AS5"/>
    <mergeCell ref="R6:V6"/>
    <mergeCell ref="AO6:AS6"/>
    <mergeCell ref="R7:V7"/>
    <mergeCell ref="AO7:AS7"/>
    <mergeCell ref="R8:V8"/>
    <mergeCell ref="AO8:AS8"/>
    <mergeCell ref="R9:V9"/>
    <mergeCell ref="AO9:AS9"/>
    <mergeCell ref="R10:V10"/>
    <mergeCell ref="AO10:AS10"/>
    <mergeCell ref="R11:V11"/>
    <mergeCell ref="AO11:AS11"/>
    <mergeCell ref="R12:V12"/>
    <mergeCell ref="AO12:AS12"/>
    <mergeCell ref="R13:V13"/>
    <mergeCell ref="AO13:AS13"/>
    <mergeCell ref="R14:V14"/>
    <mergeCell ref="AO14:AS14"/>
    <mergeCell ref="R15:V15"/>
    <mergeCell ref="AO15:AS15"/>
    <mergeCell ref="R16:V16"/>
    <mergeCell ref="AO16:AS16"/>
    <mergeCell ref="R17:V17"/>
    <mergeCell ref="AO17:AS17"/>
    <mergeCell ref="R18:V18"/>
    <mergeCell ref="AO18:AS18"/>
    <mergeCell ref="R19:V19"/>
    <mergeCell ref="AO19:AS19"/>
    <mergeCell ref="AO20:AS20"/>
    <mergeCell ref="A22:V22"/>
    <mergeCell ref="X22:AS22"/>
    <mergeCell ref="A23:E23"/>
    <mergeCell ref="F23:G23"/>
    <mergeCell ref="H23:I23"/>
    <mergeCell ref="J23:L23"/>
    <mergeCell ref="M23:P23"/>
    <mergeCell ref="Q23:U23"/>
    <mergeCell ref="X23:AB23"/>
    <mergeCell ref="AC23:AD23"/>
    <mergeCell ref="AE23:AF23"/>
    <mergeCell ref="AG23:AI23"/>
    <mergeCell ref="AJ23:AM23"/>
    <mergeCell ref="AN23:AR23"/>
    <mergeCell ref="D24:E24"/>
    <mergeCell ref="AA24:AB24"/>
    <mergeCell ref="D25:E25"/>
    <mergeCell ref="AA25:AB25"/>
    <mergeCell ref="D26:E26"/>
    <mergeCell ref="AA26:AB26"/>
    <mergeCell ref="D27:E27"/>
    <mergeCell ref="AA27:AB27"/>
    <mergeCell ref="D28:E28"/>
    <mergeCell ref="AA28:AB28"/>
    <mergeCell ref="D29:E29"/>
    <mergeCell ref="AA29:AB29"/>
    <mergeCell ref="D30:E30"/>
    <mergeCell ref="AA30:AB30"/>
    <mergeCell ref="D31:E31"/>
    <mergeCell ref="AA31:AB31"/>
    <mergeCell ref="D32:E32"/>
    <mergeCell ref="AA32:AB32"/>
    <mergeCell ref="D33:E33"/>
    <mergeCell ref="AA33:AB33"/>
    <mergeCell ref="D34:E34"/>
    <mergeCell ref="AA34:AB34"/>
    <mergeCell ref="D35:E35"/>
    <mergeCell ref="AA35:AB35"/>
    <mergeCell ref="D36:E36"/>
    <mergeCell ref="AA36:AB36"/>
    <mergeCell ref="D37:E37"/>
    <mergeCell ref="AA37:AB37"/>
    <mergeCell ref="D38:E38"/>
    <mergeCell ref="AA38:AB38"/>
    <mergeCell ref="D39:E39"/>
    <mergeCell ref="AA39:AB39"/>
    <mergeCell ref="D40:E40"/>
    <mergeCell ref="AA40:AB40"/>
    <mergeCell ref="D41:E41"/>
    <mergeCell ref="AA41:AB41"/>
    <mergeCell ref="D42:E42"/>
    <mergeCell ref="AA42:AB42"/>
    <mergeCell ref="D43:E43"/>
    <mergeCell ref="AA43:AB43"/>
    <mergeCell ref="D44:E44"/>
    <mergeCell ref="AA44:AB44"/>
    <mergeCell ref="A45:E45"/>
    <mergeCell ref="X45:AB45"/>
    <mergeCell ref="A46:E46"/>
    <mergeCell ref="F46:G46"/>
    <mergeCell ref="H46:I46"/>
    <mergeCell ref="J46:L46"/>
    <mergeCell ref="M46:P46"/>
    <mergeCell ref="Q46:U46"/>
    <mergeCell ref="X46:AB46"/>
    <mergeCell ref="AC46:AD46"/>
    <mergeCell ref="AE46:AF46"/>
    <mergeCell ref="AG46:AI46"/>
    <mergeCell ref="AJ46:AM46"/>
    <mergeCell ref="AN46:AR46"/>
    <mergeCell ref="D47:E47"/>
    <mergeCell ref="AA47:AB47"/>
    <mergeCell ref="D48:E48"/>
    <mergeCell ref="AA48:AB48"/>
    <mergeCell ref="D49:E49"/>
    <mergeCell ref="AA49:AB49"/>
    <mergeCell ref="D50:E50"/>
    <mergeCell ref="AA50:AB50"/>
    <mergeCell ref="D51:E51"/>
    <mergeCell ref="AA51:AB51"/>
    <mergeCell ref="D52:E52"/>
    <mergeCell ref="AA52:AB52"/>
    <mergeCell ref="D53:E53"/>
    <mergeCell ref="AA53:AB53"/>
    <mergeCell ref="D54:E54"/>
    <mergeCell ref="AA54:AB54"/>
    <mergeCell ref="A55:E55"/>
    <mergeCell ref="X55:AB55"/>
    <mergeCell ref="A56:E56"/>
    <mergeCell ref="F56:G56"/>
    <mergeCell ref="H56:I56"/>
    <mergeCell ref="J56:L56"/>
    <mergeCell ref="M56:P56"/>
    <mergeCell ref="Q56:U56"/>
    <mergeCell ref="X56:AB56"/>
    <mergeCell ref="AC56:AD56"/>
    <mergeCell ref="AE56:AF56"/>
    <mergeCell ref="AG56:AI56"/>
    <mergeCell ref="AJ56:AM56"/>
    <mergeCell ref="AN56:AR56"/>
    <mergeCell ref="D57:E57"/>
    <mergeCell ref="AA57:AB57"/>
    <mergeCell ref="D58:E58"/>
    <mergeCell ref="AA58:AB58"/>
    <mergeCell ref="D59:E59"/>
    <mergeCell ref="AA59:AB59"/>
    <mergeCell ref="D60:E60"/>
    <mergeCell ref="AA60:AB60"/>
    <mergeCell ref="D61:E61"/>
    <mergeCell ref="AA61:AB61"/>
    <mergeCell ref="D62:E62"/>
    <mergeCell ref="AA62:AB62"/>
    <mergeCell ref="D63:E63"/>
    <mergeCell ref="AA63:AB63"/>
    <mergeCell ref="D64:E64"/>
    <mergeCell ref="AA64:AB64"/>
    <mergeCell ref="D65:E65"/>
    <mergeCell ref="AA65:AB65"/>
    <mergeCell ref="D66:E66"/>
    <mergeCell ref="AA66:AB66"/>
    <mergeCell ref="A67:E67"/>
    <mergeCell ref="X67:AB67"/>
    <mergeCell ref="A68:E68"/>
    <mergeCell ref="F68:G68"/>
    <mergeCell ref="H68:I68"/>
    <mergeCell ref="J68:L68"/>
    <mergeCell ref="M68:P68"/>
    <mergeCell ref="Q68:U68"/>
    <mergeCell ref="X68:AB68"/>
    <mergeCell ref="AC68:AD68"/>
    <mergeCell ref="AE68:AF68"/>
    <mergeCell ref="AG68:AI68"/>
    <mergeCell ref="AJ68:AM68"/>
    <mergeCell ref="AN68:AR68"/>
    <mergeCell ref="D69:E69"/>
    <mergeCell ref="AA69:AB69"/>
    <mergeCell ref="D70:E70"/>
    <mergeCell ref="AA70:AB70"/>
    <mergeCell ref="D71:E71"/>
    <mergeCell ref="AA71:AB71"/>
    <mergeCell ref="D72:E72"/>
    <mergeCell ref="AA72:AB72"/>
    <mergeCell ref="D73:E73"/>
    <mergeCell ref="AA73:AB73"/>
    <mergeCell ref="D74:E74"/>
    <mergeCell ref="AA74:AB74"/>
    <mergeCell ref="D75:E75"/>
    <mergeCell ref="AA75:AB75"/>
    <mergeCell ref="A76:E76"/>
    <mergeCell ref="X76:AB76"/>
    <mergeCell ref="A77:E77"/>
    <mergeCell ref="F77:G77"/>
    <mergeCell ref="H77:I77"/>
    <mergeCell ref="J77:L77"/>
    <mergeCell ref="M77:P77"/>
    <mergeCell ref="Q77:U77"/>
    <mergeCell ref="X77:AB77"/>
    <mergeCell ref="AC77:AD77"/>
    <mergeCell ref="AE77:AF77"/>
    <mergeCell ref="AG77:AI77"/>
    <mergeCell ref="AJ77:AM77"/>
    <mergeCell ref="AN77:AR77"/>
    <mergeCell ref="D78:E78"/>
    <mergeCell ref="AA78:AB78"/>
    <mergeCell ref="D79:E79"/>
    <mergeCell ref="AA79:AB79"/>
    <mergeCell ref="D80:E80"/>
    <mergeCell ref="AA80:AB80"/>
    <mergeCell ref="D81:E81"/>
    <mergeCell ref="AA81:AB81"/>
    <mergeCell ref="D82:E82"/>
    <mergeCell ref="AA82:AB82"/>
    <mergeCell ref="D83:E83"/>
    <mergeCell ref="AA83:AB83"/>
    <mergeCell ref="D84:E84"/>
    <mergeCell ref="AA84:AB84"/>
    <mergeCell ref="A85:E85"/>
    <mergeCell ref="X85:AB85"/>
    <mergeCell ref="A86:E86"/>
    <mergeCell ref="F86:G86"/>
    <mergeCell ref="H86:I86"/>
    <mergeCell ref="J86:L86"/>
    <mergeCell ref="M86:P86"/>
    <mergeCell ref="Q86:U86"/>
    <mergeCell ref="X86:AB86"/>
    <mergeCell ref="AC86:AD86"/>
    <mergeCell ref="AE86:AF86"/>
    <mergeCell ref="AG86:AI86"/>
    <mergeCell ref="AJ86:AM86"/>
    <mergeCell ref="AN86:AR86"/>
    <mergeCell ref="D87:E87"/>
    <mergeCell ref="AA87:AB87"/>
    <mergeCell ref="D88:E88"/>
    <mergeCell ref="AA88:AB88"/>
    <mergeCell ref="D89:E89"/>
    <mergeCell ref="AA89:AB89"/>
    <mergeCell ref="D90:E90"/>
    <mergeCell ref="AA90:AB90"/>
    <mergeCell ref="D91:E91"/>
    <mergeCell ref="AA91:AB91"/>
    <mergeCell ref="D92:E92"/>
    <mergeCell ref="AA92:AB92"/>
    <mergeCell ref="A93:E93"/>
    <mergeCell ref="X93:AB93"/>
    <mergeCell ref="A94:E94"/>
    <mergeCell ref="F94:G94"/>
    <mergeCell ref="H94:I94"/>
    <mergeCell ref="J94:L94"/>
    <mergeCell ref="M94:P94"/>
    <mergeCell ref="Q94:U94"/>
    <mergeCell ref="X94:AB94"/>
    <mergeCell ref="AC94:AD94"/>
    <mergeCell ref="AE94:AF94"/>
    <mergeCell ref="AG94:AI94"/>
    <mergeCell ref="AJ94:AM94"/>
    <mergeCell ref="AN94:AR94"/>
    <mergeCell ref="D95:E95"/>
    <mergeCell ref="AA95:AB95"/>
    <mergeCell ref="D96:E96"/>
    <mergeCell ref="AA96:AB96"/>
    <mergeCell ref="D97:E97"/>
    <mergeCell ref="AA97:AB97"/>
    <mergeCell ref="D98:E98"/>
    <mergeCell ref="AA98:AB98"/>
    <mergeCell ref="D99:E99"/>
    <mergeCell ref="AA99:AB99"/>
    <mergeCell ref="A100:E100"/>
    <mergeCell ref="X100:AB100"/>
    <mergeCell ref="A101:E101"/>
    <mergeCell ref="F101:G101"/>
    <mergeCell ref="H101:I101"/>
    <mergeCell ref="J101:L101"/>
    <mergeCell ref="M101:P101"/>
    <mergeCell ref="Q101:U101"/>
    <mergeCell ref="X101:AB101"/>
    <mergeCell ref="AC101:AD101"/>
    <mergeCell ref="AE101:AF101"/>
    <mergeCell ref="AG101:AI101"/>
    <mergeCell ref="AJ101:AM101"/>
    <mergeCell ref="AN101:AR101"/>
    <mergeCell ref="D102:E102"/>
    <mergeCell ref="AA102:AB102"/>
    <mergeCell ref="D103:E103"/>
    <mergeCell ref="AA103:AB103"/>
    <mergeCell ref="D104:E104"/>
    <mergeCell ref="AA104:AB104"/>
    <mergeCell ref="D105:E105"/>
    <mergeCell ref="AA105:AB105"/>
    <mergeCell ref="D106:E106"/>
    <mergeCell ref="AA106:AB106"/>
    <mergeCell ref="D107:E107"/>
    <mergeCell ref="AA107:AB107"/>
    <mergeCell ref="D108:E108"/>
    <mergeCell ref="AA108:AB108"/>
    <mergeCell ref="A109:E109"/>
    <mergeCell ref="X109:AB109"/>
    <mergeCell ref="A110:E110"/>
    <mergeCell ref="F110:G110"/>
    <mergeCell ref="H110:I110"/>
    <mergeCell ref="J110:L110"/>
    <mergeCell ref="M110:P110"/>
    <mergeCell ref="Q110:U110"/>
    <mergeCell ref="X110:AB110"/>
    <mergeCell ref="AC110:AD110"/>
    <mergeCell ref="AE110:AF110"/>
    <mergeCell ref="AG110:AI110"/>
    <mergeCell ref="AJ110:AM110"/>
    <mergeCell ref="AN110:AR110"/>
    <mergeCell ref="D111:E111"/>
    <mergeCell ref="AA111:AB111"/>
    <mergeCell ref="D112:E112"/>
    <mergeCell ref="AA112:AB112"/>
    <mergeCell ref="D113:E113"/>
    <mergeCell ref="AA113:AB113"/>
    <mergeCell ref="D114:E114"/>
    <mergeCell ref="AA114:AB114"/>
    <mergeCell ref="D115:E115"/>
    <mergeCell ref="AA115:AB115"/>
    <mergeCell ref="D116:E116"/>
    <mergeCell ref="AA116:AB116"/>
    <mergeCell ref="A117:E117"/>
    <mergeCell ref="X117:AB117"/>
    <mergeCell ref="A118:E118"/>
    <mergeCell ref="F118:G118"/>
    <mergeCell ref="H118:I118"/>
    <mergeCell ref="J118:L118"/>
    <mergeCell ref="M118:P118"/>
    <mergeCell ref="Q118:U118"/>
    <mergeCell ref="X118:AB118"/>
    <mergeCell ref="AC118:AD118"/>
    <mergeCell ref="AE118:AF118"/>
    <mergeCell ref="AG118:AI118"/>
    <mergeCell ref="AJ118:AM118"/>
    <mergeCell ref="AN118:AR118"/>
    <mergeCell ref="D119:E119"/>
    <mergeCell ref="AA119:AB119"/>
    <mergeCell ref="D120:E120"/>
    <mergeCell ref="AA120:AB120"/>
    <mergeCell ref="D121:E121"/>
    <mergeCell ref="AA121:AB121"/>
    <mergeCell ref="D122:E122"/>
    <mergeCell ref="AA122:AB122"/>
    <mergeCell ref="D123:E123"/>
    <mergeCell ref="AA123:AB123"/>
    <mergeCell ref="D124:E124"/>
    <mergeCell ref="AA124:AB124"/>
    <mergeCell ref="D125:E125"/>
    <mergeCell ref="AA125:AB125"/>
    <mergeCell ref="A126:E126"/>
    <mergeCell ref="X126:AB126"/>
    <mergeCell ref="A127:E127"/>
    <mergeCell ref="F127:G127"/>
    <mergeCell ref="H127:I127"/>
    <mergeCell ref="J127:L127"/>
    <mergeCell ref="M127:P127"/>
    <mergeCell ref="Q127:U127"/>
    <mergeCell ref="X127:AB127"/>
    <mergeCell ref="AC127:AD127"/>
    <mergeCell ref="AE127:AF127"/>
    <mergeCell ref="AG127:AI127"/>
    <mergeCell ref="AJ127:AM127"/>
    <mergeCell ref="AN127:AR127"/>
    <mergeCell ref="D128:E128"/>
    <mergeCell ref="AA128:AB128"/>
    <mergeCell ref="D129:E129"/>
    <mergeCell ref="AA129:AB129"/>
    <mergeCell ref="A130:E130"/>
    <mergeCell ref="F130:G130"/>
    <mergeCell ref="H130:I130"/>
    <mergeCell ref="J130:L130"/>
    <mergeCell ref="M130:P130"/>
    <mergeCell ref="Q130:U130"/>
    <mergeCell ref="AA130:AB130"/>
    <mergeCell ref="D131:E131"/>
    <mergeCell ref="AA131:AB131"/>
    <mergeCell ref="D132:E132"/>
    <mergeCell ref="AA132:AB132"/>
    <mergeCell ref="D133:E133"/>
    <mergeCell ref="AA133:AB133"/>
    <mergeCell ref="D134:E134"/>
    <mergeCell ref="AA134:AB134"/>
    <mergeCell ref="A135:E135"/>
    <mergeCell ref="AA135:AB135"/>
    <mergeCell ref="A136:E136"/>
    <mergeCell ref="F136:G136"/>
    <mergeCell ref="H136:I136"/>
    <mergeCell ref="J136:L136"/>
    <mergeCell ref="M136:P136"/>
    <mergeCell ref="Q136:U136"/>
    <mergeCell ref="AA136:AB136"/>
    <mergeCell ref="D137:E137"/>
    <mergeCell ref="AA137:AB137"/>
    <mergeCell ref="D138:E138"/>
    <mergeCell ref="AA138:AB138"/>
    <mergeCell ref="A139:E139"/>
    <mergeCell ref="F139:G139"/>
    <mergeCell ref="H139:I139"/>
    <mergeCell ref="J139:L139"/>
    <mergeCell ref="M139:P139"/>
    <mergeCell ref="Q139:U139"/>
    <mergeCell ref="X139:AB139"/>
    <mergeCell ref="D140:E140"/>
    <mergeCell ref="X140:AB140"/>
    <mergeCell ref="AC140:AD140"/>
    <mergeCell ref="AE140:AF140"/>
    <mergeCell ref="AG140:AI140"/>
    <mergeCell ref="AJ140:AM140"/>
    <mergeCell ref="AN140:AR140"/>
    <mergeCell ref="D141:E141"/>
    <mergeCell ref="AA141:AB141"/>
    <mergeCell ref="AA142:AB142"/>
    <mergeCell ref="X143:AB143"/>
    <mergeCell ref="AC143:AD143"/>
    <mergeCell ref="AE143:AF143"/>
    <mergeCell ref="AG143:AI143"/>
    <mergeCell ref="AJ143:AM143"/>
    <mergeCell ref="AN143:AR143"/>
    <mergeCell ref="AA144:AB144"/>
    <mergeCell ref="AA145:AB145"/>
    <mergeCell ref="V23:V24"/>
    <mergeCell ref="V46:V47"/>
    <mergeCell ref="V56:V57"/>
    <mergeCell ref="V68:V69"/>
    <mergeCell ref="V77:V78"/>
    <mergeCell ref="V86:V87"/>
    <mergeCell ref="V94:V95"/>
    <mergeCell ref="V101:V102"/>
    <mergeCell ref="V110:V111"/>
    <mergeCell ref="V118:V119"/>
    <mergeCell ref="V127:V128"/>
    <mergeCell ref="V130:V131"/>
    <mergeCell ref="V136:V137"/>
    <mergeCell ref="V139:V140"/>
    <mergeCell ref="W1:W145"/>
    <mergeCell ref="AC131:AC133"/>
    <mergeCell ref="AS23:AS24"/>
    <mergeCell ref="AS46:AS47"/>
    <mergeCell ref="AS56:AS57"/>
    <mergeCell ref="AS68:AS69"/>
    <mergeCell ref="AS77:AS78"/>
    <mergeCell ref="AS86:AS87"/>
    <mergeCell ref="AS94:AS95"/>
    <mergeCell ref="AS101:AS102"/>
    <mergeCell ref="AS110:AS111"/>
    <mergeCell ref="AS118:AS119"/>
    <mergeCell ref="AS127:AS128"/>
    <mergeCell ref="AS140:AS141"/>
    <mergeCell ref="AS143:AS144"/>
  </mergeCells>
  <pageMargins left="0.75" right="0.75" top="1" bottom="1" header="0.5" footer="0.5"/>
  <headerFooter/>
  <ignoredErrors>
    <ignoredError sqref="A1:AS14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66"/>
  <sheetViews>
    <sheetView showGridLines="0" topLeftCell="D98" workbookViewId="0">
      <selection activeCell="A60" sqref="$A60:$XFD60"/>
    </sheetView>
  </sheetViews>
  <sheetFormatPr defaultColWidth="9.64285714285714" defaultRowHeight="17.6"/>
  <cols>
    <col min="1" max="1" width="12.4285714285714" customWidth="1"/>
    <col min="2" max="2" width="8.71428571428571" customWidth="1"/>
    <col min="3" max="3" width="6.85714285714286" customWidth="1"/>
    <col min="4" max="4" width="18.4285714285714" customWidth="1"/>
    <col min="5" max="5" width="49.6964285714286" customWidth="1"/>
    <col min="6" max="6" width="8.71428571428571" customWidth="1"/>
    <col min="7" max="7" width="10" customWidth="1"/>
    <col min="8" max="8" width="8.71428571428571" customWidth="1"/>
    <col min="9" max="9" width="10.5714285714286" customWidth="1"/>
    <col min="10" max="10" width="8.71428571428571" customWidth="1"/>
    <col min="11" max="11" width="12.0714285714286" customWidth="1"/>
    <col min="12" max="13" width="13.2857142857143" customWidth="1"/>
    <col min="14" max="14" width="38.3928571428571" customWidth="1"/>
    <col min="15" max="15" width="46.875" customWidth="1"/>
    <col min="16" max="16" width="9.64285714285714" customWidth="1"/>
    <col min="17" max="17" width="12.4910714285714" customWidth="1"/>
    <col min="18" max="19" width="13.2857142857143" customWidth="1"/>
    <col min="20" max="20" width="12.5" customWidth="1"/>
    <col min="21" max="21" width="11.9017857142857" customWidth="1"/>
    <col min="22" max="22" width="12.7946428571429" customWidth="1"/>
    <col min="23" max="23" width="12.9464285714286" customWidth="1"/>
    <col min="24" max="16384" width="9.64285714285714" customWidth="1"/>
  </cols>
  <sheetData>
    <row r="1" customHeight="1" spans="1:23">
      <c r="A1" s="57" t="s">
        <v>147</v>
      </c>
      <c r="F1" s="98"/>
      <c r="G1" s="98"/>
      <c r="H1" s="98"/>
      <c r="I1" s="98"/>
      <c r="J1" s="98"/>
      <c r="K1" s="99"/>
      <c r="L1" s="99"/>
      <c r="M1" s="99"/>
      <c r="N1" s="100"/>
      <c r="O1" s="101"/>
    </row>
    <row r="2" spans="1:23">
      <c r="A2" s="102" t="s">
        <v>148</v>
      </c>
      <c r="B2" s="103"/>
      <c r="C2" s="65" t="s">
        <v>149</v>
      </c>
      <c r="D2" s="104"/>
      <c r="E2" s="103"/>
      <c r="H2" s="105"/>
      <c r="I2" s="106"/>
      <c r="J2" s="105"/>
      <c r="K2" s="107"/>
      <c r="L2" s="108"/>
      <c r="M2" s="107"/>
    </row>
    <row r="3" spans="1:23">
      <c r="A3" s="102" t="s">
        <v>150</v>
      </c>
      <c r="B3" s="103"/>
      <c r="C3" s="65" t="s">
        <v>151</v>
      </c>
      <c r="D3" s="104"/>
      <c r="E3" s="103"/>
      <c r="H3" s="105"/>
      <c r="I3" s="106"/>
      <c r="J3" s="105"/>
      <c r="K3" s="107"/>
      <c r="L3" s="108"/>
      <c r="M3" s="107"/>
    </row>
    <row r="4" spans="1:23">
      <c r="A4" s="102" t="s">
        <v>152</v>
      </c>
      <c r="B4" s="103"/>
      <c r="C4" s="65" t="s">
        <v>153</v>
      </c>
      <c r="D4" s="104"/>
      <c r="E4" s="103"/>
      <c r="H4" s="105"/>
      <c r="I4" s="106"/>
      <c r="J4" s="105"/>
      <c r="K4" s="107"/>
      <c r="L4" s="108"/>
      <c r="M4" s="107"/>
    </row>
    <row r="5" spans="1:23">
      <c r="A5" s="102" t="s">
        <v>154</v>
      </c>
      <c r="B5" s="103"/>
      <c r="C5" s="65" t="s">
        <v>155</v>
      </c>
      <c r="D5" s="104"/>
      <c r="E5" s="103"/>
      <c r="H5" s="105"/>
      <c r="I5" s="106"/>
      <c r="J5" s="105"/>
      <c r="K5" s="107"/>
      <c r="L5" s="108"/>
      <c r="M5" s="107"/>
    </row>
    <row r="6" spans="1:23">
      <c r="A6" s="102" t="s">
        <v>156</v>
      </c>
      <c r="B6" s="103"/>
      <c r="C6" s="65" t="s">
        <v>157</v>
      </c>
      <c r="D6" s="104"/>
      <c r="E6" s="103"/>
      <c r="H6" s="105"/>
      <c r="I6" s="106"/>
      <c r="J6" s="105"/>
      <c r="K6" s="107"/>
      <c r="L6" s="108"/>
      <c r="M6" s="107"/>
    </row>
    <row r="7" spans="1:23">
      <c r="A7" s="102" t="s">
        <v>158</v>
      </c>
      <c r="B7" s="103"/>
      <c r="C7" s="65" t="s">
        <v>159</v>
      </c>
      <c r="D7" s="104"/>
      <c r="E7" s="103"/>
      <c r="H7" s="105"/>
      <c r="I7" s="106"/>
      <c r="J7" s="105"/>
      <c r="K7" s="107"/>
      <c r="L7" s="108"/>
      <c r="M7" s="107"/>
    </row>
    <row r="8" spans="1:23">
      <c r="A8" s="102" t="s">
        <v>160</v>
      </c>
      <c r="B8" s="103"/>
      <c r="C8" s="65" t="s">
        <v>161</v>
      </c>
      <c r="D8" s="104"/>
      <c r="E8" s="103"/>
      <c r="H8" s="105"/>
      <c r="I8" s="106"/>
      <c r="J8" s="105"/>
      <c r="K8" s="107"/>
      <c r="L8" s="108"/>
      <c r="M8" s="107"/>
    </row>
    <row r="9" ht="18.35" spans="1:23">
      <c r="A9" s="102" t="s">
        <v>162</v>
      </c>
      <c r="B9" s="103"/>
      <c r="C9" s="65" t="s">
        <v>163</v>
      </c>
      <c r="D9" s="104"/>
      <c r="E9" s="103"/>
      <c r="H9" s="105"/>
      <c r="I9" s="106"/>
      <c r="J9" s="105"/>
      <c r="K9" s="107"/>
      <c r="L9" s="108"/>
      <c r="M9" s="107"/>
    </row>
    <row r="10" customHeight="1" spans="1:23">
      <c r="A10" s="109" t="s">
        <v>164</v>
      </c>
      <c r="B10" s="110" t="s">
        <v>165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2"/>
      <c r="Q10" s="57" t="s">
        <v>166</v>
      </c>
    </row>
    <row r="11" ht="16" customHeight="1" spans="1:23">
      <c r="A11" s="113" t="s">
        <v>167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3"/>
      <c r="Q11" s="62" t="s">
        <v>3</v>
      </c>
      <c r="R11" s="63" t="s">
        <v>168</v>
      </c>
      <c r="S11" s="62" t="s">
        <v>169</v>
      </c>
      <c r="T11" s="78" t="s">
        <v>170</v>
      </c>
      <c r="U11" s="64" t="s">
        <v>171</v>
      </c>
      <c r="V11" s="62" t="s">
        <v>172</v>
      </c>
      <c r="W11" s="78" t="s">
        <v>173</v>
      </c>
    </row>
    <row r="12" ht="16" customHeight="1" spans="1:23">
      <c r="A12" s="114" t="s">
        <v>53</v>
      </c>
      <c r="B12" s="62" t="s">
        <v>54</v>
      </c>
      <c r="C12" s="62" t="s">
        <v>174</v>
      </c>
      <c r="D12" s="62" t="s">
        <v>55</v>
      </c>
      <c r="E12" s="78" t="s">
        <v>56</v>
      </c>
      <c r="F12" s="62" t="s">
        <v>175</v>
      </c>
      <c r="G12" s="62" t="s">
        <v>176</v>
      </c>
      <c r="H12" s="62" t="s">
        <v>177</v>
      </c>
      <c r="I12" s="62" t="s">
        <v>178</v>
      </c>
      <c r="J12" s="62" t="s">
        <v>179</v>
      </c>
      <c r="K12" s="115" t="s">
        <v>180</v>
      </c>
      <c r="L12" s="115" t="s">
        <v>181</v>
      </c>
      <c r="M12" s="115" t="s">
        <v>182</v>
      </c>
      <c r="N12" s="78" t="s">
        <v>183</v>
      </c>
      <c r="O12" s="116" t="s">
        <v>184</v>
      </c>
      <c r="Q12" s="65" t="s">
        <v>26</v>
      </c>
      <c r="R12" s="66">
        <f>M33</f>
        <v>160924</v>
      </c>
      <c r="S12" s="117">
        <f>K33</f>
        <v>6268</v>
      </c>
      <c r="T12" s="117">
        <f>L33</f>
        <v>154656</v>
      </c>
      <c r="U12" s="67">
        <f>M148</f>
        <v>160924</v>
      </c>
      <c r="V12" s="117">
        <f>K148</f>
        <v>6268</v>
      </c>
      <c r="W12" s="117">
        <f>L148</f>
        <v>154656</v>
      </c>
    </row>
    <row r="13" ht="31" customHeight="1" spans="1:23">
      <c r="A13" s="118" t="s">
        <v>26</v>
      </c>
      <c r="B13" s="65">
        <v>1</v>
      </c>
      <c r="C13" s="65" t="s">
        <v>168</v>
      </c>
      <c r="D13" s="65" t="s">
        <v>66</v>
      </c>
      <c r="E13" s="119" t="s">
        <v>67</v>
      </c>
      <c r="F13" s="65" t="s">
        <v>185</v>
      </c>
      <c r="G13" s="65" t="s">
        <v>186</v>
      </c>
      <c r="H13" s="65" t="s">
        <v>187</v>
      </c>
      <c r="I13" s="65" t="s">
        <v>188</v>
      </c>
      <c r="J13" s="65" t="s">
        <v>180</v>
      </c>
      <c r="K13" s="117">
        <v>784</v>
      </c>
      <c r="L13" s="117"/>
      <c r="M13" s="117">
        <v>784</v>
      </c>
      <c r="N13" s="17" t="s">
        <v>189</v>
      </c>
      <c r="O13" s="120" t="s">
        <v>190</v>
      </c>
      <c r="Q13" s="65" t="s">
        <v>27</v>
      </c>
      <c r="R13" s="66">
        <f>M43</f>
        <v>41918</v>
      </c>
      <c r="S13" s="117">
        <f>K43</f>
        <v>6168</v>
      </c>
      <c r="T13" s="117">
        <f>L43</f>
        <v>35750</v>
      </c>
      <c r="U13" s="67">
        <f>M158</f>
        <v>41918</v>
      </c>
      <c r="V13" s="117">
        <f>K158</f>
        <v>6168</v>
      </c>
      <c r="W13" s="117">
        <f>L158</f>
        <v>35750</v>
      </c>
    </row>
    <row r="14" ht="31" customHeight="1" spans="1:23">
      <c r="A14" s="118" t="s">
        <v>26</v>
      </c>
      <c r="B14" s="65">
        <v>2</v>
      </c>
      <c r="C14" s="65" t="s">
        <v>168</v>
      </c>
      <c r="D14" s="65" t="s">
        <v>68</v>
      </c>
      <c r="E14" s="119" t="s">
        <v>69</v>
      </c>
      <c r="F14" s="65" t="s">
        <v>185</v>
      </c>
      <c r="G14" s="65" t="s">
        <v>186</v>
      </c>
      <c r="H14" s="65" t="s">
        <v>191</v>
      </c>
      <c r="I14" s="65" t="s">
        <v>188</v>
      </c>
      <c r="J14" s="65" t="s">
        <v>181</v>
      </c>
      <c r="K14" s="117"/>
      <c r="L14" s="117">
        <v>5600</v>
      </c>
      <c r="M14" s="117">
        <v>5600</v>
      </c>
      <c r="N14" s="17" t="s">
        <v>192</v>
      </c>
      <c r="O14" s="120"/>
      <c r="Q14" s="65" t="s">
        <v>30</v>
      </c>
      <c r="R14" s="66">
        <f>M55</f>
        <v>60626</v>
      </c>
      <c r="S14" s="117">
        <f>K55</f>
        <v>3168</v>
      </c>
      <c r="T14" s="117">
        <f>L55</f>
        <v>57458</v>
      </c>
      <c r="U14" s="67">
        <f>M172</f>
        <v>60626</v>
      </c>
      <c r="V14" s="117">
        <f>K172</f>
        <v>3168</v>
      </c>
      <c r="W14" s="117">
        <f>L172</f>
        <v>57458</v>
      </c>
    </row>
    <row r="15" ht="31" customHeight="1" spans="1:23">
      <c r="A15" s="118" t="s">
        <v>26</v>
      </c>
      <c r="B15" s="65">
        <v>3</v>
      </c>
      <c r="C15" s="65" t="s">
        <v>168</v>
      </c>
      <c r="D15" s="65" t="s">
        <v>70</v>
      </c>
      <c r="E15" s="119" t="s">
        <v>71</v>
      </c>
      <c r="F15" s="65" t="s">
        <v>193</v>
      </c>
      <c r="G15" s="65" t="s">
        <v>194</v>
      </c>
      <c r="H15" s="65" t="s">
        <v>194</v>
      </c>
      <c r="I15" s="65" t="s">
        <v>195</v>
      </c>
      <c r="J15" s="65" t="s">
        <v>181</v>
      </c>
      <c r="K15" s="117"/>
      <c r="L15" s="117">
        <v>720</v>
      </c>
      <c r="M15" s="117">
        <v>720</v>
      </c>
      <c r="N15" s="17" t="s">
        <v>196</v>
      </c>
      <c r="O15" s="120"/>
      <c r="Q15" s="65" t="s">
        <v>31</v>
      </c>
      <c r="R15" s="66">
        <f>M64</f>
        <v>127968</v>
      </c>
      <c r="S15" s="117">
        <f>K64</f>
        <v>3168</v>
      </c>
      <c r="T15" s="117">
        <f>L64</f>
        <v>124800</v>
      </c>
      <c r="U15" s="67">
        <f>M181</f>
        <v>127968</v>
      </c>
      <c r="V15" s="117">
        <f>K181</f>
        <v>3168</v>
      </c>
      <c r="W15" s="117">
        <f>L181</f>
        <v>124800</v>
      </c>
    </row>
    <row r="16" ht="16" customHeight="1" spans="1:23">
      <c r="A16" s="118" t="s">
        <v>26</v>
      </c>
      <c r="B16" s="65">
        <v>4</v>
      </c>
      <c r="C16" s="65" t="s">
        <v>168</v>
      </c>
      <c r="D16" s="65" t="s">
        <v>72</v>
      </c>
      <c r="E16" s="119" t="s">
        <v>73</v>
      </c>
      <c r="F16" s="65" t="s">
        <v>193</v>
      </c>
      <c r="G16" s="65" t="s">
        <v>194</v>
      </c>
      <c r="H16" s="65" t="s">
        <v>194</v>
      </c>
      <c r="I16" s="65" t="s">
        <v>195</v>
      </c>
      <c r="J16" s="65" t="s">
        <v>181</v>
      </c>
      <c r="K16" s="117"/>
      <c r="L16" s="117">
        <v>720</v>
      </c>
      <c r="M16" s="117">
        <v>720</v>
      </c>
      <c r="N16" s="17" t="s">
        <v>196</v>
      </c>
      <c r="O16" s="120"/>
      <c r="Q16" s="65" t="s">
        <v>32</v>
      </c>
      <c r="R16" s="66">
        <f>M73</f>
        <v>11448</v>
      </c>
      <c r="S16" s="117">
        <f>K73</f>
        <v>3168</v>
      </c>
      <c r="T16" s="117">
        <f>L73</f>
        <v>8280</v>
      </c>
      <c r="U16" s="67">
        <f>M190</f>
        <v>11448</v>
      </c>
      <c r="V16" s="117">
        <f>K190</f>
        <v>3168</v>
      </c>
      <c r="W16" s="117">
        <f>L190</f>
        <v>8280</v>
      </c>
    </row>
    <row r="17" ht="16" customHeight="1" spans="1:23">
      <c r="A17" s="118" t="s">
        <v>26</v>
      </c>
      <c r="B17" s="65">
        <v>5</v>
      </c>
      <c r="C17" s="65" t="s">
        <v>168</v>
      </c>
      <c r="D17" s="65" t="s">
        <v>74</v>
      </c>
      <c r="E17" s="119" t="s">
        <v>75</v>
      </c>
      <c r="F17" s="65" t="s">
        <v>193</v>
      </c>
      <c r="G17" s="65" t="s">
        <v>194</v>
      </c>
      <c r="H17" s="65" t="s">
        <v>194</v>
      </c>
      <c r="I17" s="65" t="s">
        <v>195</v>
      </c>
      <c r="J17" s="65" t="s">
        <v>181</v>
      </c>
      <c r="K17" s="117"/>
      <c r="L17" s="117">
        <v>720</v>
      </c>
      <c r="M17" s="117">
        <v>720</v>
      </c>
      <c r="N17" s="17" t="s">
        <v>196</v>
      </c>
      <c r="O17" s="120"/>
      <c r="Q17" s="65" t="s">
        <v>33</v>
      </c>
      <c r="R17" s="66">
        <f>M81</f>
        <v>81900</v>
      </c>
      <c r="S17" s="117">
        <f>K81</f>
        <v>3200</v>
      </c>
      <c r="T17" s="117">
        <f>L81</f>
        <v>78700</v>
      </c>
      <c r="U17" s="67">
        <f>M199</f>
        <v>81900</v>
      </c>
      <c r="V17" s="117">
        <f>K199</f>
        <v>3200</v>
      </c>
      <c r="W17" s="117">
        <f>L199</f>
        <v>78700</v>
      </c>
    </row>
    <row r="18" ht="16" customHeight="1" spans="1:23">
      <c r="A18" s="118" t="s">
        <v>26</v>
      </c>
      <c r="B18" s="65">
        <v>6</v>
      </c>
      <c r="C18" s="65" t="s">
        <v>168</v>
      </c>
      <c r="D18" s="65" t="s">
        <v>76</v>
      </c>
      <c r="E18" s="119" t="s">
        <v>77</v>
      </c>
      <c r="F18" s="65" t="s">
        <v>193</v>
      </c>
      <c r="G18" s="65" t="s">
        <v>197</v>
      </c>
      <c r="H18" s="65" t="s">
        <v>197</v>
      </c>
      <c r="I18" s="65" t="s">
        <v>195</v>
      </c>
      <c r="J18" s="65" t="s">
        <v>181</v>
      </c>
      <c r="K18" s="117"/>
      <c r="L18" s="117">
        <v>2880</v>
      </c>
      <c r="M18" s="117">
        <v>2880</v>
      </c>
      <c r="N18" s="17" t="s">
        <v>198</v>
      </c>
      <c r="O18" s="120"/>
      <c r="Q18" s="65" t="s">
        <v>35</v>
      </c>
      <c r="R18" s="66">
        <f>M88</f>
        <v>12200</v>
      </c>
      <c r="S18" s="117">
        <f>K88</f>
        <v>2400</v>
      </c>
      <c r="T18" s="117">
        <f>L88</f>
        <v>9800</v>
      </c>
      <c r="U18" s="67">
        <f>M207</f>
        <v>12200</v>
      </c>
      <c r="V18" s="117">
        <f>K207</f>
        <v>2400</v>
      </c>
      <c r="W18" s="117">
        <f>L207</f>
        <v>9800</v>
      </c>
    </row>
    <row r="19" ht="16" customHeight="1" spans="1:23">
      <c r="A19" s="118" t="s">
        <v>26</v>
      </c>
      <c r="B19" s="65">
        <v>7</v>
      </c>
      <c r="C19" s="65" t="s">
        <v>168</v>
      </c>
      <c r="D19" s="65" t="s">
        <v>78</v>
      </c>
      <c r="E19" s="119" t="s">
        <v>79</v>
      </c>
      <c r="F19" s="65" t="s">
        <v>193</v>
      </c>
      <c r="G19" s="65" t="s">
        <v>199</v>
      </c>
      <c r="H19" s="65" t="s">
        <v>200</v>
      </c>
      <c r="I19" s="65" t="s">
        <v>201</v>
      </c>
      <c r="J19" s="65" t="s">
        <v>181</v>
      </c>
      <c r="K19" s="117"/>
      <c r="L19" s="117">
        <v>5000</v>
      </c>
      <c r="M19" s="117">
        <v>5000</v>
      </c>
      <c r="N19" s="17" t="s">
        <v>202</v>
      </c>
      <c r="O19" s="120"/>
      <c r="Q19" s="65" t="s">
        <v>37</v>
      </c>
      <c r="R19" s="66">
        <f>M97</f>
        <v>30968</v>
      </c>
      <c r="S19" s="117">
        <f>K97</f>
        <v>3168</v>
      </c>
      <c r="T19" s="117">
        <f>L97</f>
        <v>27800</v>
      </c>
      <c r="U19" s="67">
        <f>M216</f>
        <v>30968</v>
      </c>
      <c r="V19" s="117">
        <f>K216</f>
        <v>3168</v>
      </c>
      <c r="W19" s="117">
        <f>L216</f>
        <v>27800</v>
      </c>
    </row>
    <row r="20" ht="16" customHeight="1" spans="1:23">
      <c r="A20" s="118" t="s">
        <v>26</v>
      </c>
      <c r="B20" s="65">
        <v>8</v>
      </c>
      <c r="C20" s="65" t="s">
        <v>168</v>
      </c>
      <c r="D20" s="65" t="s">
        <v>80</v>
      </c>
      <c r="E20" s="119" t="s">
        <v>203</v>
      </c>
      <c r="F20" s="65" t="s">
        <v>193</v>
      </c>
      <c r="G20" s="65" t="s">
        <v>204</v>
      </c>
      <c r="H20" s="65" t="s">
        <v>204</v>
      </c>
      <c r="I20" s="65" t="s">
        <v>195</v>
      </c>
      <c r="J20" s="65" t="s">
        <v>181</v>
      </c>
      <c r="K20" s="117"/>
      <c r="L20" s="117">
        <v>7200</v>
      </c>
      <c r="M20" s="117">
        <v>7200</v>
      </c>
      <c r="N20" s="17" t="s">
        <v>205</v>
      </c>
      <c r="O20" s="120"/>
      <c r="Q20" s="65" t="s">
        <v>38</v>
      </c>
      <c r="R20" s="66">
        <f>M105</f>
        <v>30584</v>
      </c>
      <c r="S20" s="117">
        <f>K105</f>
        <v>2784</v>
      </c>
      <c r="T20" s="117">
        <f>L105</f>
        <v>27800</v>
      </c>
      <c r="U20" s="67">
        <f>M224</f>
        <v>30584</v>
      </c>
      <c r="V20" s="117">
        <f>K224</f>
        <v>2784</v>
      </c>
      <c r="W20" s="117">
        <f>L224</f>
        <v>27800</v>
      </c>
    </row>
    <row r="21" ht="16" customHeight="1" spans="1:23">
      <c r="A21" s="118" t="s">
        <v>26</v>
      </c>
      <c r="B21" s="65">
        <v>9</v>
      </c>
      <c r="C21" s="65" t="s">
        <v>168</v>
      </c>
      <c r="D21" s="65" t="s">
        <v>82</v>
      </c>
      <c r="E21" s="119" t="s">
        <v>83</v>
      </c>
      <c r="F21" s="65" t="s">
        <v>193</v>
      </c>
      <c r="G21" s="65" t="s">
        <v>206</v>
      </c>
      <c r="H21" s="65" t="s">
        <v>206</v>
      </c>
      <c r="I21" s="65" t="s">
        <v>195</v>
      </c>
      <c r="J21" s="65" t="s">
        <v>181</v>
      </c>
      <c r="K21" s="117"/>
      <c r="L21" s="117">
        <v>30500</v>
      </c>
      <c r="M21" s="117">
        <v>30500</v>
      </c>
      <c r="N21" s="17" t="s">
        <v>207</v>
      </c>
      <c r="O21" s="120"/>
      <c r="Q21" s="65" t="s">
        <v>39</v>
      </c>
      <c r="R21" s="66">
        <f>M114</f>
        <v>33268</v>
      </c>
      <c r="S21" s="117">
        <f>K114</f>
        <v>3168</v>
      </c>
      <c r="T21" s="117">
        <f>L114</f>
        <v>30100</v>
      </c>
      <c r="U21" s="67">
        <f>M233</f>
        <v>33268</v>
      </c>
      <c r="V21" s="117">
        <f>K233</f>
        <v>3168</v>
      </c>
      <c r="W21" s="117">
        <f>L233</f>
        <v>30100</v>
      </c>
    </row>
    <row r="22" ht="16" customHeight="1" spans="1:23">
      <c r="A22" s="118" t="s">
        <v>26</v>
      </c>
      <c r="B22" s="65">
        <v>10</v>
      </c>
      <c r="C22" s="65" t="s">
        <v>168</v>
      </c>
      <c r="D22" s="65" t="s">
        <v>68</v>
      </c>
      <c r="E22" s="119" t="s">
        <v>69</v>
      </c>
      <c r="F22" s="65" t="s">
        <v>193</v>
      </c>
      <c r="G22" s="65" t="s">
        <v>208</v>
      </c>
      <c r="H22" s="65" t="s">
        <v>191</v>
      </c>
      <c r="I22" s="65" t="s">
        <v>188</v>
      </c>
      <c r="J22" s="65" t="s">
        <v>181</v>
      </c>
      <c r="K22" s="117"/>
      <c r="L22" s="117">
        <v>4800</v>
      </c>
      <c r="M22" s="117">
        <v>4800</v>
      </c>
      <c r="N22" s="17" t="s">
        <v>209</v>
      </c>
      <c r="O22" s="120"/>
      <c r="Q22" s="65" t="s">
        <v>42</v>
      </c>
      <c r="R22" s="66" t="s">
        <v>210</v>
      </c>
      <c r="S22" s="117" t="s">
        <v>210</v>
      </c>
      <c r="T22" s="117" t="s">
        <v>210</v>
      </c>
      <c r="U22" s="67">
        <f>M246</f>
        <v>44300</v>
      </c>
      <c r="V22" s="117">
        <f>K246</f>
        <v>7500</v>
      </c>
      <c r="W22" s="117">
        <f>L246</f>
        <v>36800</v>
      </c>
    </row>
    <row r="23" ht="16" customHeight="1" spans="1:23">
      <c r="A23" s="118" t="s">
        <v>26</v>
      </c>
      <c r="B23" s="65">
        <v>11</v>
      </c>
      <c r="C23" s="65" t="s">
        <v>168</v>
      </c>
      <c r="D23" s="65" t="s">
        <v>84</v>
      </c>
      <c r="E23" s="119" t="s">
        <v>85</v>
      </c>
      <c r="F23" s="65" t="s">
        <v>193</v>
      </c>
      <c r="G23" s="65" t="s">
        <v>200</v>
      </c>
      <c r="H23" s="65" t="s">
        <v>200</v>
      </c>
      <c r="I23" s="65" t="s">
        <v>195</v>
      </c>
      <c r="J23" s="65" t="s">
        <v>181</v>
      </c>
      <c r="K23" s="117"/>
      <c r="L23" s="117">
        <v>24000</v>
      </c>
      <c r="M23" s="117">
        <v>24000</v>
      </c>
      <c r="N23" s="17" t="s">
        <v>211</v>
      </c>
      <c r="O23" s="120"/>
      <c r="Q23" s="65" t="s">
        <v>40</v>
      </c>
      <c r="R23" s="66">
        <f>M118</f>
        <v>20000</v>
      </c>
      <c r="S23" s="117">
        <f>K118</f>
        <v>0</v>
      </c>
      <c r="T23" s="117">
        <f>L118</f>
        <v>20000</v>
      </c>
      <c r="U23" s="67">
        <f>M259</f>
        <v>20000</v>
      </c>
      <c r="V23" s="117">
        <f>K259</f>
        <v>0</v>
      </c>
      <c r="W23" s="117">
        <f>L259</f>
        <v>20000</v>
      </c>
    </row>
    <row r="24" ht="16" customHeight="1" spans="1:23">
      <c r="A24" s="118" t="s">
        <v>26</v>
      </c>
      <c r="B24" s="65">
        <v>12</v>
      </c>
      <c r="C24" s="65" t="s">
        <v>168</v>
      </c>
      <c r="D24" s="65" t="s">
        <v>86</v>
      </c>
      <c r="E24" s="119" t="s">
        <v>212</v>
      </c>
      <c r="F24" s="65" t="s">
        <v>185</v>
      </c>
      <c r="G24" s="65" t="s">
        <v>186</v>
      </c>
      <c r="H24" s="65" t="s">
        <v>200</v>
      </c>
      <c r="I24" s="65" t="s">
        <v>188</v>
      </c>
      <c r="J24" s="65" t="s">
        <v>181</v>
      </c>
      <c r="K24" s="117"/>
      <c r="L24" s="117">
        <v>4200</v>
      </c>
      <c r="M24" s="117">
        <v>4200</v>
      </c>
      <c r="N24" s="17" t="s">
        <v>213</v>
      </c>
      <c r="O24" s="120"/>
      <c r="Q24" s="65" t="s">
        <v>43</v>
      </c>
      <c r="R24" s="66">
        <f>M122</f>
        <v>42500</v>
      </c>
      <c r="S24" s="117">
        <f>K122</f>
        <v>0</v>
      </c>
      <c r="T24" s="117">
        <f>L122</f>
        <v>42500</v>
      </c>
      <c r="U24" s="67">
        <f>M263</f>
        <v>42500</v>
      </c>
      <c r="V24" s="117">
        <f>K263</f>
        <v>0</v>
      </c>
      <c r="W24" s="117">
        <f>L263</f>
        <v>42500</v>
      </c>
    </row>
    <row r="25" ht="16" customHeight="1" spans="1:23">
      <c r="A25" s="118" t="s">
        <v>26</v>
      </c>
      <c r="B25" s="65">
        <v>13</v>
      </c>
      <c r="C25" s="65" t="s">
        <v>168</v>
      </c>
      <c r="D25" s="65" t="s">
        <v>88</v>
      </c>
      <c r="E25" s="119" t="s">
        <v>214</v>
      </c>
      <c r="F25" s="65" t="s">
        <v>193</v>
      </c>
      <c r="G25" s="65" t="s">
        <v>208</v>
      </c>
      <c r="H25" s="65" t="s">
        <v>200</v>
      </c>
      <c r="I25" s="65" t="s">
        <v>188</v>
      </c>
      <c r="J25" s="65" t="s">
        <v>181</v>
      </c>
      <c r="K25" s="117"/>
      <c r="L25" s="117">
        <v>3600</v>
      </c>
      <c r="M25" s="117">
        <v>3600</v>
      </c>
      <c r="N25" s="17" t="s">
        <v>215</v>
      </c>
      <c r="O25" s="120"/>
      <c r="Q25" s="77" t="s">
        <v>216</v>
      </c>
      <c r="R25" s="66">
        <v>12000</v>
      </c>
      <c r="S25" s="121"/>
      <c r="T25" s="117">
        <v>12000</v>
      </c>
      <c r="U25" s="67">
        <v>12000</v>
      </c>
      <c r="V25" s="121"/>
      <c r="W25" s="117">
        <v>12000</v>
      </c>
    </row>
    <row r="26" ht="16" customHeight="1" spans="1:23">
      <c r="A26" s="118" t="s">
        <v>26</v>
      </c>
      <c r="B26" s="65">
        <v>14</v>
      </c>
      <c r="C26" s="65" t="s">
        <v>168</v>
      </c>
      <c r="D26" s="65" t="s">
        <v>90</v>
      </c>
      <c r="E26" s="119" t="s">
        <v>91</v>
      </c>
      <c r="F26" s="65" t="s">
        <v>193</v>
      </c>
      <c r="G26" s="65" t="s">
        <v>208</v>
      </c>
      <c r="H26" s="65" t="s">
        <v>204</v>
      </c>
      <c r="I26" s="65" t="s">
        <v>188</v>
      </c>
      <c r="J26" s="65" t="s">
        <v>181</v>
      </c>
      <c r="K26" s="117"/>
      <c r="L26" s="117">
        <v>39996</v>
      </c>
      <c r="M26" s="117">
        <v>39996</v>
      </c>
      <c r="N26" s="17" t="s">
        <v>217</v>
      </c>
      <c r="O26" s="120" t="s">
        <v>218</v>
      </c>
      <c r="Q26" s="77" t="s">
        <v>219</v>
      </c>
      <c r="R26" s="66">
        <v>1800</v>
      </c>
      <c r="S26" s="121"/>
      <c r="T26" s="117">
        <v>1800</v>
      </c>
      <c r="U26" s="67">
        <v>1950</v>
      </c>
      <c r="V26" s="121"/>
      <c r="W26" s="117">
        <v>1950</v>
      </c>
    </row>
    <row r="27" ht="16" customHeight="1" spans="1:23">
      <c r="A27" s="118" t="s">
        <v>26</v>
      </c>
      <c r="B27" s="65">
        <v>15</v>
      </c>
      <c r="C27" s="65" t="s">
        <v>168</v>
      </c>
      <c r="D27" s="65" t="s">
        <v>92</v>
      </c>
      <c r="E27" s="119" t="s">
        <v>220</v>
      </c>
      <c r="F27" s="65" t="s">
        <v>193</v>
      </c>
      <c r="G27" s="65" t="s">
        <v>221</v>
      </c>
      <c r="H27" s="65" t="s">
        <v>221</v>
      </c>
      <c r="I27" s="65" t="s">
        <v>195</v>
      </c>
      <c r="J27" s="65" t="s">
        <v>181</v>
      </c>
      <c r="K27" s="117"/>
      <c r="L27" s="117">
        <v>7920</v>
      </c>
      <c r="M27" s="117">
        <v>7920</v>
      </c>
      <c r="N27" s="17" t="s">
        <v>222</v>
      </c>
      <c r="O27" s="120"/>
      <c r="Q27" s="77" t="s">
        <v>223</v>
      </c>
      <c r="R27" s="66">
        <f t="shared" ref="R27:W27" si="0">SUM(R12:R26)</f>
        <v>668104</v>
      </c>
      <c r="S27" s="117">
        <f t="shared" si="0"/>
        <v>36660</v>
      </c>
      <c r="T27" s="117">
        <f t="shared" si="0"/>
        <v>631444</v>
      </c>
      <c r="U27" s="67">
        <f t="shared" si="0"/>
        <v>712554</v>
      </c>
      <c r="V27" s="117">
        <f t="shared" si="0"/>
        <v>44160</v>
      </c>
      <c r="W27" s="117">
        <f t="shared" si="0"/>
        <v>668394</v>
      </c>
    </row>
    <row r="28" ht="31" customHeight="1" spans="1:23">
      <c r="A28" s="118" t="s">
        <v>26</v>
      </c>
      <c r="B28" s="65">
        <v>16</v>
      </c>
      <c r="C28" s="65" t="s">
        <v>168</v>
      </c>
      <c r="D28" s="65" t="s">
        <v>94</v>
      </c>
      <c r="E28" s="119" t="s">
        <v>224</v>
      </c>
      <c r="F28" s="65" t="s">
        <v>193</v>
      </c>
      <c r="G28" s="65" t="s">
        <v>208</v>
      </c>
      <c r="H28" s="65" t="s">
        <v>191</v>
      </c>
      <c r="I28" s="65" t="s">
        <v>188</v>
      </c>
      <c r="J28" s="65" t="s">
        <v>181</v>
      </c>
      <c r="K28" s="117"/>
      <c r="L28" s="117">
        <v>6000</v>
      </c>
      <c r="M28" s="117">
        <v>6000</v>
      </c>
      <c r="N28" s="17" t="s">
        <v>225</v>
      </c>
      <c r="O28" s="120"/>
    </row>
    <row r="29" ht="31" customHeight="1" spans="1:23">
      <c r="A29" s="118" t="s">
        <v>26</v>
      </c>
      <c r="B29" s="65">
        <v>17</v>
      </c>
      <c r="C29" s="65" t="s">
        <v>168</v>
      </c>
      <c r="D29" s="65" t="s">
        <v>96</v>
      </c>
      <c r="E29" s="119" t="s">
        <v>97</v>
      </c>
      <c r="F29" s="65" t="s">
        <v>193</v>
      </c>
      <c r="G29" s="65" t="s">
        <v>226</v>
      </c>
      <c r="H29" s="65" t="s">
        <v>227</v>
      </c>
      <c r="I29" s="65" t="s">
        <v>201</v>
      </c>
      <c r="J29" s="65" t="s">
        <v>181</v>
      </c>
      <c r="K29" s="117"/>
      <c r="L29" s="117">
        <v>6000</v>
      </c>
      <c r="M29" s="117">
        <v>6000</v>
      </c>
      <c r="N29" s="17" t="s">
        <v>228</v>
      </c>
      <c r="O29" s="120"/>
    </row>
    <row r="30" ht="31" customHeight="1" spans="1:23">
      <c r="A30" s="122" t="s">
        <v>26</v>
      </c>
      <c r="B30" s="123">
        <v>18</v>
      </c>
      <c r="C30" s="123" t="s">
        <v>168</v>
      </c>
      <c r="D30" s="123" t="s">
        <v>68</v>
      </c>
      <c r="E30" s="124" t="s">
        <v>69</v>
      </c>
      <c r="F30" s="123" t="s">
        <v>193</v>
      </c>
      <c r="G30" s="123" t="s">
        <v>208</v>
      </c>
      <c r="H30" s="123" t="s">
        <v>191</v>
      </c>
      <c r="I30" s="123" t="s">
        <v>188</v>
      </c>
      <c r="J30" s="123" t="s">
        <v>181</v>
      </c>
      <c r="K30" s="125"/>
      <c r="L30" s="125">
        <v>4800</v>
      </c>
      <c r="M30" s="125">
        <v>4800</v>
      </c>
      <c r="N30" s="126" t="s">
        <v>209</v>
      </c>
      <c r="O30" s="127"/>
    </row>
    <row r="31" ht="31" customHeight="1" spans="1:23">
      <c r="A31" s="118" t="s">
        <v>26</v>
      </c>
      <c r="B31" s="65">
        <v>19</v>
      </c>
      <c r="C31" s="65" t="s">
        <v>168</v>
      </c>
      <c r="D31" s="65" t="s">
        <v>66</v>
      </c>
      <c r="E31" s="119" t="s">
        <v>67</v>
      </c>
      <c r="F31" s="65" t="s">
        <v>193</v>
      </c>
      <c r="G31" s="65" t="s">
        <v>208</v>
      </c>
      <c r="H31" s="65" t="s">
        <v>200</v>
      </c>
      <c r="I31" s="65" t="s">
        <v>188</v>
      </c>
      <c r="J31" s="65" t="s">
        <v>180</v>
      </c>
      <c r="K31" s="117">
        <v>684</v>
      </c>
      <c r="L31" s="117"/>
      <c r="M31" s="117">
        <v>684</v>
      </c>
      <c r="N31" s="17" t="s">
        <v>229</v>
      </c>
      <c r="O31" s="120" t="s">
        <v>190</v>
      </c>
    </row>
    <row r="32" ht="31" customHeight="1" spans="1:23">
      <c r="A32" s="118" t="s">
        <v>26</v>
      </c>
      <c r="B32" s="65">
        <v>20</v>
      </c>
      <c r="C32" s="65" t="s">
        <v>168</v>
      </c>
      <c r="D32" s="65" t="s">
        <v>98</v>
      </c>
      <c r="E32" s="119" t="s">
        <v>98</v>
      </c>
      <c r="F32" s="65" t="s">
        <v>193</v>
      </c>
      <c r="G32" s="65" t="s">
        <v>208</v>
      </c>
      <c r="H32" s="65" t="s">
        <v>187</v>
      </c>
      <c r="I32" s="65" t="s">
        <v>188</v>
      </c>
      <c r="J32" s="65" t="s">
        <v>180</v>
      </c>
      <c r="K32" s="117">
        <v>4800</v>
      </c>
      <c r="L32" s="117"/>
      <c r="M32" s="117">
        <v>4800</v>
      </c>
      <c r="N32" s="17" t="s">
        <v>209</v>
      </c>
      <c r="O32" s="120" t="s">
        <v>230</v>
      </c>
    </row>
    <row r="33" spans="1:15">
      <c r="A33" s="128" t="s">
        <v>231</v>
      </c>
      <c r="B33" s="104"/>
      <c r="C33" s="104"/>
      <c r="D33" s="104"/>
      <c r="E33" s="104"/>
      <c r="F33" s="104"/>
      <c r="G33" s="104"/>
      <c r="H33" s="104"/>
      <c r="I33" s="104"/>
      <c r="J33" s="103"/>
      <c r="K33" s="117">
        <f>SUM(K13:K32)</f>
        <v>6268</v>
      </c>
      <c r="L33" s="117">
        <f>SUM(L13:L32)</f>
        <v>154656</v>
      </c>
      <c r="M33" s="117">
        <f>SUM(M13:M32)</f>
        <v>160924</v>
      </c>
      <c r="N33" s="129"/>
      <c r="O33" s="130"/>
    </row>
    <row r="34" spans="1:15">
      <c r="A34" s="113" t="s">
        <v>232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3"/>
    </row>
    <row r="35" ht="16" customHeight="1" spans="1:15">
      <c r="A35" s="118" t="s">
        <v>53</v>
      </c>
      <c r="B35" s="65" t="s">
        <v>54</v>
      </c>
      <c r="C35" s="65" t="s">
        <v>174</v>
      </c>
      <c r="D35" s="65" t="s">
        <v>55</v>
      </c>
      <c r="E35" s="119" t="s">
        <v>56</v>
      </c>
      <c r="F35" s="65" t="s">
        <v>175</v>
      </c>
      <c r="G35" s="65" t="s">
        <v>176</v>
      </c>
      <c r="H35" s="65" t="s">
        <v>177</v>
      </c>
      <c r="I35" s="65" t="s">
        <v>178</v>
      </c>
      <c r="J35" s="65" t="s">
        <v>179</v>
      </c>
      <c r="K35" s="117" t="s">
        <v>180</v>
      </c>
      <c r="L35" s="117" t="s">
        <v>181</v>
      </c>
      <c r="M35" s="117" t="s">
        <v>182</v>
      </c>
      <c r="N35" s="17" t="s">
        <v>183</v>
      </c>
      <c r="O35" s="129" t="s">
        <v>184</v>
      </c>
    </row>
    <row r="36" ht="31" customHeight="1" spans="1:15">
      <c r="A36" s="118" t="s">
        <v>27</v>
      </c>
      <c r="B36" s="65">
        <v>1</v>
      </c>
      <c r="C36" s="65" t="s">
        <v>168</v>
      </c>
      <c r="D36" s="65" t="s">
        <v>66</v>
      </c>
      <c r="E36" s="119" t="s">
        <v>67</v>
      </c>
      <c r="F36" s="65" t="s">
        <v>233</v>
      </c>
      <c r="G36" s="65" t="s">
        <v>208</v>
      </c>
      <c r="H36" s="65" t="s">
        <v>187</v>
      </c>
      <c r="I36" s="65" t="s">
        <v>188</v>
      </c>
      <c r="J36" s="65" t="s">
        <v>180</v>
      </c>
      <c r="K36" s="117">
        <v>684</v>
      </c>
      <c r="L36" s="117"/>
      <c r="M36" s="117">
        <v>684</v>
      </c>
      <c r="N36" s="17" t="s">
        <v>229</v>
      </c>
      <c r="O36" s="120" t="s">
        <v>190</v>
      </c>
    </row>
    <row r="37" ht="31" customHeight="1" spans="1:15">
      <c r="A37" s="118" t="s">
        <v>27</v>
      </c>
      <c r="B37" s="65">
        <v>2</v>
      </c>
      <c r="C37" s="65" t="s">
        <v>168</v>
      </c>
      <c r="D37" s="65" t="s">
        <v>68</v>
      </c>
      <c r="E37" s="119" t="s">
        <v>69</v>
      </c>
      <c r="F37" s="65" t="s">
        <v>233</v>
      </c>
      <c r="G37" s="65" t="s">
        <v>208</v>
      </c>
      <c r="H37" s="65" t="s">
        <v>191</v>
      </c>
      <c r="I37" s="65" t="s">
        <v>188</v>
      </c>
      <c r="J37" s="65" t="s">
        <v>181</v>
      </c>
      <c r="K37" s="117"/>
      <c r="L37" s="117">
        <v>4800</v>
      </c>
      <c r="M37" s="117">
        <v>4800</v>
      </c>
      <c r="N37" s="17" t="s">
        <v>209</v>
      </c>
      <c r="O37" s="120"/>
    </row>
    <row r="38" ht="46" customHeight="1" spans="1:15">
      <c r="A38" s="118" t="s">
        <v>27</v>
      </c>
      <c r="B38" s="65">
        <v>3</v>
      </c>
      <c r="C38" s="65" t="s">
        <v>168</v>
      </c>
      <c r="D38" s="65" t="s">
        <v>101</v>
      </c>
      <c r="E38" s="119" t="s">
        <v>102</v>
      </c>
      <c r="F38" s="65" t="s">
        <v>233</v>
      </c>
      <c r="G38" s="65" t="s">
        <v>234</v>
      </c>
      <c r="H38" s="65" t="s">
        <v>227</v>
      </c>
      <c r="I38" s="65" t="s">
        <v>188</v>
      </c>
      <c r="J38" s="65" t="s">
        <v>181</v>
      </c>
      <c r="K38" s="117"/>
      <c r="L38" s="117">
        <v>7150</v>
      </c>
      <c r="M38" s="117">
        <v>7150</v>
      </c>
      <c r="N38" s="17" t="s">
        <v>235</v>
      </c>
      <c r="O38" s="120" t="s">
        <v>236</v>
      </c>
    </row>
    <row r="39" ht="31" customHeight="1" spans="1:15">
      <c r="A39" s="118" t="s">
        <v>27</v>
      </c>
      <c r="B39" s="65">
        <v>4</v>
      </c>
      <c r="C39" s="65" t="s">
        <v>168</v>
      </c>
      <c r="D39" s="65" t="s">
        <v>104</v>
      </c>
      <c r="E39" s="119" t="s">
        <v>105</v>
      </c>
      <c r="F39" s="65" t="s">
        <v>233</v>
      </c>
      <c r="G39" s="65" t="s">
        <v>208</v>
      </c>
      <c r="H39" s="65" t="s">
        <v>187</v>
      </c>
      <c r="I39" s="65" t="s">
        <v>188</v>
      </c>
      <c r="J39" s="65" t="s">
        <v>181</v>
      </c>
      <c r="K39" s="117"/>
      <c r="L39" s="117">
        <v>19000</v>
      </c>
      <c r="M39" s="117">
        <v>19000</v>
      </c>
      <c r="N39" s="17" t="s">
        <v>237</v>
      </c>
      <c r="O39" s="120" t="s">
        <v>238</v>
      </c>
    </row>
    <row r="40" ht="31" customHeight="1" spans="1:15">
      <c r="A40" s="118" t="s">
        <v>27</v>
      </c>
      <c r="B40" s="65">
        <v>5</v>
      </c>
      <c r="C40" s="65" t="s">
        <v>168</v>
      </c>
      <c r="D40" s="65" t="s">
        <v>68</v>
      </c>
      <c r="E40" s="119" t="s">
        <v>69</v>
      </c>
      <c r="F40" s="65" t="s">
        <v>233</v>
      </c>
      <c r="G40" s="65" t="s">
        <v>208</v>
      </c>
      <c r="H40" s="65" t="s">
        <v>191</v>
      </c>
      <c r="I40" s="65" t="s">
        <v>188</v>
      </c>
      <c r="J40" s="65" t="s">
        <v>181</v>
      </c>
      <c r="K40" s="117"/>
      <c r="L40" s="117">
        <v>4800</v>
      </c>
      <c r="M40" s="117">
        <v>4800</v>
      </c>
      <c r="N40" s="17" t="s">
        <v>209</v>
      </c>
      <c r="O40" s="120"/>
    </row>
    <row r="41" ht="31" customHeight="1" spans="1:15">
      <c r="A41" s="118" t="s">
        <v>27</v>
      </c>
      <c r="B41" s="65">
        <v>6</v>
      </c>
      <c r="C41" s="65" t="s">
        <v>168</v>
      </c>
      <c r="D41" s="65" t="s">
        <v>66</v>
      </c>
      <c r="E41" s="119" t="s">
        <v>67</v>
      </c>
      <c r="F41" s="65" t="s">
        <v>233</v>
      </c>
      <c r="G41" s="65" t="s">
        <v>208</v>
      </c>
      <c r="H41" s="65" t="s">
        <v>200</v>
      </c>
      <c r="I41" s="65" t="s">
        <v>188</v>
      </c>
      <c r="J41" s="65" t="s">
        <v>180</v>
      </c>
      <c r="K41" s="117">
        <v>684</v>
      </c>
      <c r="L41" s="117"/>
      <c r="M41" s="117">
        <v>684</v>
      </c>
      <c r="N41" s="17" t="s">
        <v>229</v>
      </c>
      <c r="O41" s="120" t="s">
        <v>190</v>
      </c>
    </row>
    <row r="42" ht="31" customHeight="1" spans="1:15">
      <c r="A42" s="118" t="s">
        <v>27</v>
      </c>
      <c r="B42" s="65">
        <v>7</v>
      </c>
      <c r="C42" s="65" t="s">
        <v>168</v>
      </c>
      <c r="D42" s="65" t="s">
        <v>98</v>
      </c>
      <c r="E42" s="119" t="s">
        <v>98</v>
      </c>
      <c r="F42" s="65" t="s">
        <v>233</v>
      </c>
      <c r="G42" s="65" t="s">
        <v>208</v>
      </c>
      <c r="H42" s="65" t="s">
        <v>187</v>
      </c>
      <c r="I42" s="65" t="s">
        <v>188</v>
      </c>
      <c r="J42" s="65" t="s">
        <v>180</v>
      </c>
      <c r="K42" s="117">
        <v>4800</v>
      </c>
      <c r="L42" s="117"/>
      <c r="M42" s="117">
        <v>4800</v>
      </c>
      <c r="N42" s="17" t="s">
        <v>209</v>
      </c>
      <c r="O42" s="120" t="s">
        <v>230</v>
      </c>
    </row>
    <row r="43" spans="1:15">
      <c r="A43" s="128" t="s">
        <v>239</v>
      </c>
      <c r="B43" s="104"/>
      <c r="C43" s="104"/>
      <c r="D43" s="104"/>
      <c r="E43" s="104"/>
      <c r="F43" s="104"/>
      <c r="G43" s="104"/>
      <c r="H43" s="104"/>
      <c r="I43" s="104"/>
      <c r="J43" s="103"/>
      <c r="K43" s="117">
        <f>SUM(K36:K42)</f>
        <v>6168</v>
      </c>
      <c r="L43" s="117">
        <f>SUM(L36:L42)</f>
        <v>35750</v>
      </c>
      <c r="M43" s="117">
        <f>SUM(M36:M42)</f>
        <v>41918</v>
      </c>
      <c r="N43" s="129"/>
      <c r="O43" s="130"/>
    </row>
    <row r="44" spans="1:15">
      <c r="A44" s="113" t="s">
        <v>240</v>
      </c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3"/>
    </row>
    <row r="45" ht="16" customHeight="1" spans="1:15">
      <c r="A45" s="118" t="s">
        <v>53</v>
      </c>
      <c r="B45" s="65" t="s">
        <v>54</v>
      </c>
      <c r="C45" s="65" t="s">
        <v>174</v>
      </c>
      <c r="D45" s="65" t="s">
        <v>55</v>
      </c>
      <c r="E45" s="119" t="s">
        <v>56</v>
      </c>
      <c r="F45" s="65" t="s">
        <v>175</v>
      </c>
      <c r="G45" s="65" t="s">
        <v>176</v>
      </c>
      <c r="H45" s="65" t="s">
        <v>177</v>
      </c>
      <c r="I45" s="65" t="s">
        <v>178</v>
      </c>
      <c r="J45" s="65" t="s">
        <v>179</v>
      </c>
      <c r="K45" s="117" t="s">
        <v>180</v>
      </c>
      <c r="L45" s="117" t="s">
        <v>181</v>
      </c>
      <c r="M45" s="117" t="s">
        <v>182</v>
      </c>
      <c r="N45" s="17" t="s">
        <v>183</v>
      </c>
      <c r="O45" s="129" t="s">
        <v>184</v>
      </c>
    </row>
    <row r="46" ht="31" customHeight="1" spans="1:15">
      <c r="A46" s="118" t="s">
        <v>30</v>
      </c>
      <c r="B46" s="65">
        <v>1</v>
      </c>
      <c r="C46" s="65" t="s">
        <v>168</v>
      </c>
      <c r="D46" s="65" t="s">
        <v>66</v>
      </c>
      <c r="E46" s="119" t="s">
        <v>67</v>
      </c>
      <c r="F46" s="65" t="s">
        <v>241</v>
      </c>
      <c r="G46" s="65" t="s">
        <v>242</v>
      </c>
      <c r="H46" s="65" t="s">
        <v>187</v>
      </c>
      <c r="I46" s="65" t="s">
        <v>188</v>
      </c>
      <c r="J46" s="65" t="s">
        <v>180</v>
      </c>
      <c r="K46" s="117">
        <v>384</v>
      </c>
      <c r="L46" s="117"/>
      <c r="M46" s="117">
        <v>384</v>
      </c>
      <c r="N46" s="17" t="s">
        <v>243</v>
      </c>
      <c r="O46" s="120" t="s">
        <v>190</v>
      </c>
    </row>
    <row r="47" ht="31" customHeight="1" spans="1:15">
      <c r="A47" s="118" t="s">
        <v>30</v>
      </c>
      <c r="B47" s="65">
        <v>2</v>
      </c>
      <c r="C47" s="65" t="s">
        <v>168</v>
      </c>
      <c r="D47" s="65" t="s">
        <v>68</v>
      </c>
      <c r="E47" s="119" t="s">
        <v>69</v>
      </c>
      <c r="F47" s="65" t="s">
        <v>241</v>
      </c>
      <c r="G47" s="65" t="s">
        <v>242</v>
      </c>
      <c r="H47" s="65" t="s">
        <v>191</v>
      </c>
      <c r="I47" s="65" t="s">
        <v>188</v>
      </c>
      <c r="J47" s="65" t="s">
        <v>181</v>
      </c>
      <c r="K47" s="117"/>
      <c r="L47" s="117">
        <v>2400</v>
      </c>
      <c r="M47" s="117">
        <v>2400</v>
      </c>
      <c r="N47" s="17" t="s">
        <v>244</v>
      </c>
      <c r="O47" s="120"/>
    </row>
    <row r="48" ht="16" customHeight="1" spans="1:15">
      <c r="A48" s="118" t="s">
        <v>30</v>
      </c>
      <c r="B48" s="65">
        <v>3</v>
      </c>
      <c r="C48" s="65" t="s">
        <v>168</v>
      </c>
      <c r="D48" s="65" t="s">
        <v>82</v>
      </c>
      <c r="E48" s="119" t="s">
        <v>83</v>
      </c>
      <c r="F48" s="65" t="s">
        <v>241</v>
      </c>
      <c r="G48" s="65" t="s">
        <v>206</v>
      </c>
      <c r="H48" s="65" t="s">
        <v>206</v>
      </c>
      <c r="I48" s="65" t="s">
        <v>195</v>
      </c>
      <c r="J48" s="65" t="s">
        <v>181</v>
      </c>
      <c r="K48" s="117"/>
      <c r="L48" s="117">
        <v>30500</v>
      </c>
      <c r="M48" s="117">
        <v>30500</v>
      </c>
      <c r="N48" s="17" t="s">
        <v>207</v>
      </c>
      <c r="O48" s="120"/>
    </row>
    <row r="49" ht="31" customHeight="1" spans="1:15">
      <c r="A49" s="118" t="s">
        <v>30</v>
      </c>
      <c r="B49" s="65">
        <v>4</v>
      </c>
      <c r="C49" s="65" t="s">
        <v>168</v>
      </c>
      <c r="D49" s="65" t="s">
        <v>84</v>
      </c>
      <c r="E49" s="119" t="s">
        <v>85</v>
      </c>
      <c r="F49" s="65" t="s">
        <v>241</v>
      </c>
      <c r="G49" s="65" t="s">
        <v>194</v>
      </c>
      <c r="H49" s="65" t="s">
        <v>194</v>
      </c>
      <c r="I49" s="65" t="s">
        <v>195</v>
      </c>
      <c r="J49" s="65" t="s">
        <v>181</v>
      </c>
      <c r="K49" s="117"/>
      <c r="L49" s="117">
        <v>12000</v>
      </c>
      <c r="M49" s="117">
        <v>12000</v>
      </c>
      <c r="N49" s="17" t="s">
        <v>245</v>
      </c>
      <c r="O49" s="120"/>
    </row>
    <row r="50" ht="16" customHeight="1" spans="1:15">
      <c r="A50" s="118" t="s">
        <v>30</v>
      </c>
      <c r="B50" s="65">
        <v>5</v>
      </c>
      <c r="C50" s="65" t="s">
        <v>168</v>
      </c>
      <c r="D50" s="65" t="s">
        <v>96</v>
      </c>
      <c r="E50" s="119" t="s">
        <v>97</v>
      </c>
      <c r="F50" s="65" t="s">
        <v>241</v>
      </c>
      <c r="G50" s="65" t="s">
        <v>246</v>
      </c>
      <c r="H50" s="65" t="s">
        <v>200</v>
      </c>
      <c r="I50" s="65" t="s">
        <v>201</v>
      </c>
      <c r="J50" s="65" t="s">
        <v>181</v>
      </c>
      <c r="K50" s="117"/>
      <c r="L50" s="117">
        <v>3000</v>
      </c>
      <c r="M50" s="117">
        <v>3000</v>
      </c>
      <c r="N50" s="17" t="s">
        <v>247</v>
      </c>
      <c r="O50" s="120"/>
    </row>
    <row r="51" ht="16" customHeight="1" spans="1:15">
      <c r="A51" s="118" t="s">
        <v>30</v>
      </c>
      <c r="B51" s="65">
        <v>6</v>
      </c>
      <c r="C51" s="65" t="s">
        <v>168</v>
      </c>
      <c r="D51" s="65" t="s">
        <v>109</v>
      </c>
      <c r="E51" s="119" t="s">
        <v>110</v>
      </c>
      <c r="F51" s="65" t="s">
        <v>241</v>
      </c>
      <c r="G51" s="65" t="s">
        <v>248</v>
      </c>
      <c r="H51" s="65" t="s">
        <v>248</v>
      </c>
      <c r="I51" s="65" t="s">
        <v>195</v>
      </c>
      <c r="J51" s="65" t="s">
        <v>181</v>
      </c>
      <c r="K51" s="117"/>
      <c r="L51" s="117">
        <v>7158</v>
      </c>
      <c r="M51" s="117">
        <v>7158</v>
      </c>
      <c r="N51" s="17" t="s">
        <v>249</v>
      </c>
      <c r="O51" s="120" t="s">
        <v>249</v>
      </c>
    </row>
    <row r="52" ht="31" customHeight="1" spans="1:15">
      <c r="A52" s="122" t="s">
        <v>30</v>
      </c>
      <c r="B52" s="123">
        <v>7</v>
      </c>
      <c r="C52" s="123" t="s">
        <v>168</v>
      </c>
      <c r="D52" s="123" t="s">
        <v>68</v>
      </c>
      <c r="E52" s="124" t="s">
        <v>69</v>
      </c>
      <c r="F52" s="123" t="s">
        <v>241</v>
      </c>
      <c r="G52" s="123" t="s">
        <v>242</v>
      </c>
      <c r="H52" s="123" t="s">
        <v>200</v>
      </c>
      <c r="I52" s="123" t="s">
        <v>188</v>
      </c>
      <c r="J52" s="123" t="s">
        <v>181</v>
      </c>
      <c r="K52" s="125"/>
      <c r="L52" s="125">
        <v>2400</v>
      </c>
      <c r="M52" s="125">
        <v>2400</v>
      </c>
      <c r="N52" s="126" t="s">
        <v>244</v>
      </c>
      <c r="O52" s="127"/>
    </row>
    <row r="53" ht="46" customHeight="1" spans="1:15">
      <c r="A53" s="118" t="s">
        <v>30</v>
      </c>
      <c r="B53" s="65">
        <v>8</v>
      </c>
      <c r="C53" s="65" t="s">
        <v>168</v>
      </c>
      <c r="D53" s="65" t="s">
        <v>66</v>
      </c>
      <c r="E53" s="119" t="s">
        <v>67</v>
      </c>
      <c r="F53" s="65" t="s">
        <v>241</v>
      </c>
      <c r="G53" s="65" t="s">
        <v>242</v>
      </c>
      <c r="H53" s="65" t="s">
        <v>194</v>
      </c>
      <c r="I53" s="65" t="s">
        <v>188</v>
      </c>
      <c r="J53" s="65" t="s">
        <v>180</v>
      </c>
      <c r="K53" s="117">
        <v>384</v>
      </c>
      <c r="L53" s="117"/>
      <c r="M53" s="117">
        <v>384</v>
      </c>
      <c r="N53" s="17" t="s">
        <v>243</v>
      </c>
      <c r="O53" s="120" t="s">
        <v>190</v>
      </c>
    </row>
    <row r="54" ht="31" customHeight="1" spans="1:15">
      <c r="A54" s="118" t="s">
        <v>30</v>
      </c>
      <c r="B54" s="65">
        <v>9</v>
      </c>
      <c r="C54" s="65" t="s">
        <v>168</v>
      </c>
      <c r="D54" s="65" t="s">
        <v>98</v>
      </c>
      <c r="E54" s="119" t="s">
        <v>98</v>
      </c>
      <c r="F54" s="65" t="s">
        <v>241</v>
      </c>
      <c r="G54" s="65" t="s">
        <v>242</v>
      </c>
      <c r="H54" s="65" t="s">
        <v>191</v>
      </c>
      <c r="I54" s="65" t="s">
        <v>188</v>
      </c>
      <c r="J54" s="65" t="s">
        <v>180</v>
      </c>
      <c r="K54" s="117">
        <v>2400</v>
      </c>
      <c r="L54" s="117"/>
      <c r="M54" s="117">
        <v>2400</v>
      </c>
      <c r="N54" s="17" t="s">
        <v>244</v>
      </c>
      <c r="O54" s="120" t="s">
        <v>230</v>
      </c>
    </row>
    <row r="55" spans="1:15">
      <c r="A55" s="128" t="s">
        <v>250</v>
      </c>
      <c r="B55" s="104"/>
      <c r="C55" s="104"/>
      <c r="D55" s="104"/>
      <c r="E55" s="104"/>
      <c r="F55" s="104"/>
      <c r="G55" s="104"/>
      <c r="H55" s="104"/>
      <c r="I55" s="104"/>
      <c r="J55" s="103"/>
      <c r="K55" s="117">
        <f>SUM(K46:K54)</f>
        <v>3168</v>
      </c>
      <c r="L55" s="117">
        <f>SUM(L46:L54)</f>
        <v>57458</v>
      </c>
      <c r="M55" s="117">
        <f>SUM(M46:M54)</f>
        <v>60626</v>
      </c>
      <c r="N55" s="129"/>
      <c r="O55" s="130"/>
    </row>
    <row r="56" spans="1:15">
      <c r="A56" s="113" t="s">
        <v>251</v>
      </c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3"/>
    </row>
    <row r="57" ht="16" customHeight="1" spans="1:15">
      <c r="A57" s="118" t="s">
        <v>53</v>
      </c>
      <c r="B57" s="65" t="s">
        <v>54</v>
      </c>
      <c r="C57" s="65" t="s">
        <v>174</v>
      </c>
      <c r="D57" s="65" t="s">
        <v>55</v>
      </c>
      <c r="E57" s="119" t="s">
        <v>56</v>
      </c>
      <c r="F57" s="65" t="s">
        <v>175</v>
      </c>
      <c r="G57" s="65" t="s">
        <v>176</v>
      </c>
      <c r="H57" s="65" t="s">
        <v>177</v>
      </c>
      <c r="I57" s="65" t="s">
        <v>178</v>
      </c>
      <c r="J57" s="65" t="s">
        <v>179</v>
      </c>
      <c r="K57" s="117" t="s">
        <v>180</v>
      </c>
      <c r="L57" s="117" t="s">
        <v>181</v>
      </c>
      <c r="M57" s="117" t="s">
        <v>182</v>
      </c>
      <c r="N57" s="17" t="s">
        <v>183</v>
      </c>
      <c r="O57" s="129" t="s">
        <v>184</v>
      </c>
    </row>
    <row r="58" ht="31" customHeight="1" spans="1:15">
      <c r="A58" s="118" t="s">
        <v>31</v>
      </c>
      <c r="B58" s="65">
        <v>1</v>
      </c>
      <c r="C58" s="65" t="s">
        <v>168</v>
      </c>
      <c r="D58" s="65" t="s">
        <v>66</v>
      </c>
      <c r="E58" s="119" t="s">
        <v>67</v>
      </c>
      <c r="F58" s="65" t="s">
        <v>252</v>
      </c>
      <c r="G58" s="65" t="s">
        <v>242</v>
      </c>
      <c r="H58" s="65" t="s">
        <v>187</v>
      </c>
      <c r="I58" s="65" t="s">
        <v>188</v>
      </c>
      <c r="J58" s="65" t="s">
        <v>180</v>
      </c>
      <c r="K58" s="117">
        <v>384</v>
      </c>
      <c r="L58" s="117"/>
      <c r="M58" s="117">
        <v>384</v>
      </c>
      <c r="N58" s="17" t="s">
        <v>243</v>
      </c>
      <c r="O58" s="120" t="s">
        <v>190</v>
      </c>
    </row>
    <row r="59" ht="31" customHeight="1" spans="1:15">
      <c r="A59" s="118" t="s">
        <v>31</v>
      </c>
      <c r="B59" s="65">
        <v>2</v>
      </c>
      <c r="C59" s="65" t="s">
        <v>168</v>
      </c>
      <c r="D59" s="65" t="s">
        <v>68</v>
      </c>
      <c r="E59" s="119" t="s">
        <v>69</v>
      </c>
      <c r="F59" s="65" t="s">
        <v>252</v>
      </c>
      <c r="G59" s="65" t="s">
        <v>242</v>
      </c>
      <c r="H59" s="65" t="s">
        <v>191</v>
      </c>
      <c r="I59" s="65" t="s">
        <v>188</v>
      </c>
      <c r="J59" s="65" t="s">
        <v>181</v>
      </c>
      <c r="K59" s="117"/>
      <c r="L59" s="117">
        <v>2400</v>
      </c>
      <c r="M59" s="117">
        <v>2400</v>
      </c>
      <c r="N59" s="17" t="s">
        <v>244</v>
      </c>
      <c r="O59" s="120"/>
    </row>
    <row r="60" ht="16" customHeight="1" spans="1:15">
      <c r="A60" s="118" t="s">
        <v>31</v>
      </c>
      <c r="B60" s="65">
        <v>3</v>
      </c>
      <c r="C60" s="65" t="s">
        <v>168</v>
      </c>
      <c r="D60" s="65" t="s">
        <v>112</v>
      </c>
      <c r="E60" s="119" t="s">
        <v>113</v>
      </c>
      <c r="F60" s="65" t="s">
        <v>252</v>
      </c>
      <c r="G60" s="65" t="s">
        <v>253</v>
      </c>
      <c r="H60" s="65" t="s">
        <v>253</v>
      </c>
      <c r="I60" s="65" t="s">
        <v>195</v>
      </c>
      <c r="J60" s="65" t="s">
        <v>181</v>
      </c>
      <c r="K60" s="117"/>
      <c r="L60" s="117">
        <v>120000</v>
      </c>
      <c r="M60" s="117">
        <v>120000</v>
      </c>
      <c r="N60" s="17" t="s">
        <v>254</v>
      </c>
      <c r="O60" s="120" t="s">
        <v>255</v>
      </c>
    </row>
    <row r="61" ht="31" customHeight="1" spans="1:15">
      <c r="A61" s="118" t="s">
        <v>31</v>
      </c>
      <c r="B61" s="65">
        <v>4</v>
      </c>
      <c r="C61" s="65" t="s">
        <v>168</v>
      </c>
      <c r="D61" s="65" t="s">
        <v>68</v>
      </c>
      <c r="E61" s="119" t="s">
        <v>69</v>
      </c>
      <c r="F61" s="65" t="s">
        <v>252</v>
      </c>
      <c r="G61" s="65" t="s">
        <v>242</v>
      </c>
      <c r="H61" s="65" t="s">
        <v>200</v>
      </c>
      <c r="I61" s="65" t="s">
        <v>188</v>
      </c>
      <c r="J61" s="65" t="s">
        <v>181</v>
      </c>
      <c r="K61" s="117"/>
      <c r="L61" s="117">
        <v>2400</v>
      </c>
      <c r="M61" s="117">
        <v>2400</v>
      </c>
      <c r="N61" s="17" t="s">
        <v>244</v>
      </c>
      <c r="O61" s="120"/>
    </row>
    <row r="62" ht="31" customHeight="1" spans="1:15">
      <c r="A62" s="118" t="s">
        <v>31</v>
      </c>
      <c r="B62" s="65">
        <v>5</v>
      </c>
      <c r="C62" s="65" t="s">
        <v>168</v>
      </c>
      <c r="D62" s="65" t="s">
        <v>66</v>
      </c>
      <c r="E62" s="119" t="s">
        <v>67</v>
      </c>
      <c r="F62" s="65" t="s">
        <v>252</v>
      </c>
      <c r="G62" s="65" t="s">
        <v>242</v>
      </c>
      <c r="H62" s="65" t="s">
        <v>194</v>
      </c>
      <c r="I62" s="65" t="s">
        <v>188</v>
      </c>
      <c r="J62" s="65" t="s">
        <v>180</v>
      </c>
      <c r="K62" s="117">
        <v>384</v>
      </c>
      <c r="L62" s="117"/>
      <c r="M62" s="117">
        <v>384</v>
      </c>
      <c r="N62" s="17" t="s">
        <v>243</v>
      </c>
      <c r="O62" s="120" t="s">
        <v>190</v>
      </c>
    </row>
    <row r="63" ht="31" customHeight="1" spans="1:15">
      <c r="A63" s="118" t="s">
        <v>31</v>
      </c>
      <c r="B63" s="65">
        <v>6</v>
      </c>
      <c r="C63" s="65" t="s">
        <v>168</v>
      </c>
      <c r="D63" s="65" t="s">
        <v>98</v>
      </c>
      <c r="E63" s="119" t="s">
        <v>98</v>
      </c>
      <c r="F63" s="65" t="s">
        <v>252</v>
      </c>
      <c r="G63" s="65" t="s">
        <v>242</v>
      </c>
      <c r="H63" s="65" t="s">
        <v>191</v>
      </c>
      <c r="I63" s="65" t="s">
        <v>188</v>
      </c>
      <c r="J63" s="65" t="s">
        <v>180</v>
      </c>
      <c r="K63" s="117">
        <v>2400</v>
      </c>
      <c r="L63" s="117"/>
      <c r="M63" s="117">
        <v>2400</v>
      </c>
      <c r="N63" s="17" t="s">
        <v>244</v>
      </c>
      <c r="O63" s="120" t="s">
        <v>230</v>
      </c>
    </row>
    <row r="64" spans="1:15">
      <c r="A64" s="128" t="s">
        <v>256</v>
      </c>
      <c r="B64" s="104"/>
      <c r="C64" s="104"/>
      <c r="D64" s="104"/>
      <c r="E64" s="104"/>
      <c r="F64" s="104"/>
      <c r="G64" s="104"/>
      <c r="H64" s="104"/>
      <c r="I64" s="104"/>
      <c r="J64" s="103"/>
      <c r="K64" s="117">
        <f>SUM(K58:K63)</f>
        <v>3168</v>
      </c>
      <c r="L64" s="117">
        <f>SUM(L58:L63)</f>
        <v>124800</v>
      </c>
      <c r="M64" s="117">
        <f>SUM(M58:M63)</f>
        <v>127968</v>
      </c>
      <c r="N64" s="129"/>
      <c r="O64" s="130"/>
    </row>
    <row r="65" spans="1:15">
      <c r="A65" s="113" t="s">
        <v>257</v>
      </c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3"/>
    </row>
    <row r="66" ht="16" customHeight="1" spans="1:15">
      <c r="A66" s="118" t="s">
        <v>53</v>
      </c>
      <c r="B66" s="65" t="s">
        <v>54</v>
      </c>
      <c r="C66" s="65" t="s">
        <v>174</v>
      </c>
      <c r="D66" s="65" t="s">
        <v>55</v>
      </c>
      <c r="E66" s="119" t="s">
        <v>56</v>
      </c>
      <c r="F66" s="65" t="s">
        <v>175</v>
      </c>
      <c r="G66" s="65" t="s">
        <v>176</v>
      </c>
      <c r="H66" s="65" t="s">
        <v>177</v>
      </c>
      <c r="I66" s="65" t="s">
        <v>178</v>
      </c>
      <c r="J66" s="65" t="s">
        <v>179</v>
      </c>
      <c r="K66" s="117" t="s">
        <v>180</v>
      </c>
      <c r="L66" s="117" t="s">
        <v>181</v>
      </c>
      <c r="M66" s="117" t="s">
        <v>182</v>
      </c>
      <c r="N66" s="17" t="s">
        <v>183</v>
      </c>
      <c r="O66" s="129" t="s">
        <v>184</v>
      </c>
    </row>
    <row r="67" ht="31" customHeight="1" spans="1:15">
      <c r="A67" s="118" t="s">
        <v>32</v>
      </c>
      <c r="B67" s="65">
        <v>1</v>
      </c>
      <c r="C67" s="65" t="s">
        <v>168</v>
      </c>
      <c r="D67" s="65" t="s">
        <v>66</v>
      </c>
      <c r="E67" s="119" t="s">
        <v>67</v>
      </c>
      <c r="F67" s="65" t="s">
        <v>258</v>
      </c>
      <c r="G67" s="65" t="s">
        <v>242</v>
      </c>
      <c r="H67" s="65" t="s">
        <v>187</v>
      </c>
      <c r="I67" s="65" t="s">
        <v>188</v>
      </c>
      <c r="J67" s="65" t="s">
        <v>180</v>
      </c>
      <c r="K67" s="117">
        <v>384</v>
      </c>
      <c r="L67" s="117"/>
      <c r="M67" s="117">
        <v>384</v>
      </c>
      <c r="N67" s="17" t="s">
        <v>243</v>
      </c>
      <c r="O67" s="120" t="s">
        <v>190</v>
      </c>
    </row>
    <row r="68" ht="31" customHeight="1" spans="1:15">
      <c r="A68" s="118" t="s">
        <v>32</v>
      </c>
      <c r="B68" s="65">
        <v>2</v>
      </c>
      <c r="C68" s="65" t="s">
        <v>168</v>
      </c>
      <c r="D68" s="65" t="s">
        <v>68</v>
      </c>
      <c r="E68" s="119" t="s">
        <v>69</v>
      </c>
      <c r="F68" s="65" t="s">
        <v>258</v>
      </c>
      <c r="G68" s="65" t="s">
        <v>242</v>
      </c>
      <c r="H68" s="65" t="s">
        <v>191</v>
      </c>
      <c r="I68" s="65" t="s">
        <v>188</v>
      </c>
      <c r="J68" s="65" t="s">
        <v>181</v>
      </c>
      <c r="K68" s="117"/>
      <c r="L68" s="117">
        <v>2400</v>
      </c>
      <c r="M68" s="117">
        <v>2400</v>
      </c>
      <c r="N68" s="17" t="s">
        <v>244</v>
      </c>
      <c r="O68" s="120"/>
    </row>
    <row r="69" ht="16" customHeight="1" spans="1:15">
      <c r="A69" s="118" t="s">
        <v>32</v>
      </c>
      <c r="B69" s="65">
        <v>3</v>
      </c>
      <c r="C69" s="65" t="s">
        <v>168</v>
      </c>
      <c r="D69" s="65" t="s">
        <v>115</v>
      </c>
      <c r="E69" s="119" t="s">
        <v>116</v>
      </c>
      <c r="F69" s="65" t="s">
        <v>258</v>
      </c>
      <c r="G69" s="65" t="s">
        <v>194</v>
      </c>
      <c r="H69" s="65" t="s">
        <v>194</v>
      </c>
      <c r="I69" s="65" t="s">
        <v>195</v>
      </c>
      <c r="J69" s="65" t="s">
        <v>181</v>
      </c>
      <c r="K69" s="117"/>
      <c r="L69" s="117">
        <v>3480</v>
      </c>
      <c r="M69" s="117">
        <v>3480</v>
      </c>
      <c r="N69" s="17" t="s">
        <v>259</v>
      </c>
      <c r="O69" s="120"/>
    </row>
    <row r="70" ht="31" customHeight="1" spans="1:15">
      <c r="A70" s="118" t="s">
        <v>32</v>
      </c>
      <c r="B70" s="65">
        <v>4</v>
      </c>
      <c r="C70" s="65" t="s">
        <v>168</v>
      </c>
      <c r="D70" s="65" t="s">
        <v>68</v>
      </c>
      <c r="E70" s="119" t="s">
        <v>69</v>
      </c>
      <c r="F70" s="65" t="s">
        <v>258</v>
      </c>
      <c r="G70" s="65" t="s">
        <v>242</v>
      </c>
      <c r="H70" s="65" t="s">
        <v>200</v>
      </c>
      <c r="I70" s="65" t="s">
        <v>188</v>
      </c>
      <c r="J70" s="65" t="s">
        <v>181</v>
      </c>
      <c r="K70" s="117"/>
      <c r="L70" s="117">
        <v>2400</v>
      </c>
      <c r="M70" s="117">
        <v>2400</v>
      </c>
      <c r="N70" s="17" t="s">
        <v>244</v>
      </c>
      <c r="O70" s="120"/>
    </row>
    <row r="71" ht="31" customHeight="1" spans="1:15">
      <c r="A71" s="118" t="s">
        <v>32</v>
      </c>
      <c r="B71" s="65">
        <v>5</v>
      </c>
      <c r="C71" s="65" t="s">
        <v>168</v>
      </c>
      <c r="D71" s="65" t="s">
        <v>66</v>
      </c>
      <c r="E71" s="119" t="s">
        <v>67</v>
      </c>
      <c r="F71" s="65" t="s">
        <v>258</v>
      </c>
      <c r="G71" s="65" t="s">
        <v>242</v>
      </c>
      <c r="H71" s="65" t="s">
        <v>194</v>
      </c>
      <c r="I71" s="65" t="s">
        <v>188</v>
      </c>
      <c r="J71" s="65" t="s">
        <v>180</v>
      </c>
      <c r="K71" s="117">
        <v>384</v>
      </c>
      <c r="L71" s="117"/>
      <c r="M71" s="117">
        <v>384</v>
      </c>
      <c r="N71" s="17" t="s">
        <v>243</v>
      </c>
      <c r="O71" s="120" t="s">
        <v>190</v>
      </c>
    </row>
    <row r="72" ht="31" customHeight="1" spans="1:15">
      <c r="A72" s="118" t="s">
        <v>32</v>
      </c>
      <c r="B72" s="65">
        <v>6</v>
      </c>
      <c r="C72" s="65" t="s">
        <v>168</v>
      </c>
      <c r="D72" s="65" t="s">
        <v>98</v>
      </c>
      <c r="E72" s="119" t="s">
        <v>98</v>
      </c>
      <c r="F72" s="65" t="s">
        <v>258</v>
      </c>
      <c r="G72" s="65" t="s">
        <v>242</v>
      </c>
      <c r="H72" s="65" t="s">
        <v>191</v>
      </c>
      <c r="I72" s="65" t="s">
        <v>188</v>
      </c>
      <c r="J72" s="65" t="s">
        <v>180</v>
      </c>
      <c r="K72" s="117">
        <v>2400</v>
      </c>
      <c r="L72" s="117"/>
      <c r="M72" s="117">
        <v>2400</v>
      </c>
      <c r="N72" s="17" t="s">
        <v>244</v>
      </c>
      <c r="O72" s="120" t="s">
        <v>230</v>
      </c>
    </row>
    <row r="73" spans="1:15">
      <c r="A73" s="128" t="s">
        <v>260</v>
      </c>
      <c r="B73" s="104"/>
      <c r="C73" s="104"/>
      <c r="D73" s="104"/>
      <c r="E73" s="104"/>
      <c r="F73" s="104"/>
      <c r="G73" s="104"/>
      <c r="H73" s="104"/>
      <c r="I73" s="104"/>
      <c r="J73" s="103"/>
      <c r="K73" s="117">
        <f>SUM(K67:K72)</f>
        <v>3168</v>
      </c>
      <c r="L73" s="117">
        <f>SUM(L67:L72)</f>
        <v>8280</v>
      </c>
      <c r="M73" s="117">
        <f>SUM(M67:M72)</f>
        <v>11448</v>
      </c>
      <c r="N73" s="129"/>
      <c r="O73" s="130"/>
    </row>
    <row r="74" spans="1:15">
      <c r="A74" s="113" t="s">
        <v>261</v>
      </c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3"/>
    </row>
    <row r="75" ht="16" customHeight="1" spans="1:15">
      <c r="A75" s="118" t="s">
        <v>53</v>
      </c>
      <c r="B75" s="65" t="s">
        <v>54</v>
      </c>
      <c r="C75" s="65" t="s">
        <v>174</v>
      </c>
      <c r="D75" s="65" t="s">
        <v>55</v>
      </c>
      <c r="E75" s="119" t="s">
        <v>56</v>
      </c>
      <c r="F75" s="65" t="s">
        <v>175</v>
      </c>
      <c r="G75" s="65" t="s">
        <v>176</v>
      </c>
      <c r="H75" s="65" t="s">
        <v>177</v>
      </c>
      <c r="I75" s="65" t="s">
        <v>178</v>
      </c>
      <c r="J75" s="65" t="s">
        <v>179</v>
      </c>
      <c r="K75" s="117" t="s">
        <v>180</v>
      </c>
      <c r="L75" s="117" t="s">
        <v>181</v>
      </c>
      <c r="M75" s="117" t="s">
        <v>182</v>
      </c>
      <c r="N75" s="17" t="s">
        <v>183</v>
      </c>
      <c r="O75" s="129" t="s">
        <v>184</v>
      </c>
    </row>
    <row r="76" ht="31" customHeight="1" spans="1:15">
      <c r="A76" s="118" t="s">
        <v>33</v>
      </c>
      <c r="B76" s="65">
        <v>1</v>
      </c>
      <c r="C76" s="65" t="s">
        <v>168</v>
      </c>
      <c r="D76" s="65" t="s">
        <v>68</v>
      </c>
      <c r="E76" s="119" t="s">
        <v>69</v>
      </c>
      <c r="F76" s="65" t="s">
        <v>262</v>
      </c>
      <c r="G76" s="65" t="s">
        <v>263</v>
      </c>
      <c r="H76" s="65" t="s">
        <v>191</v>
      </c>
      <c r="I76" s="65" t="s">
        <v>188</v>
      </c>
      <c r="J76" s="65" t="s">
        <v>181</v>
      </c>
      <c r="K76" s="117"/>
      <c r="L76" s="117">
        <v>3200</v>
      </c>
      <c r="M76" s="117">
        <v>3200</v>
      </c>
      <c r="N76" s="17" t="s">
        <v>264</v>
      </c>
      <c r="O76" s="120"/>
    </row>
    <row r="77" ht="16" customHeight="1" spans="1:15">
      <c r="A77" s="118" t="s">
        <v>33</v>
      </c>
      <c r="B77" s="65">
        <v>2</v>
      </c>
      <c r="C77" s="65" t="s">
        <v>168</v>
      </c>
      <c r="D77" s="65" t="s">
        <v>118</v>
      </c>
      <c r="E77" s="119" t="s">
        <v>119</v>
      </c>
      <c r="F77" s="65" t="s">
        <v>262</v>
      </c>
      <c r="G77" s="65" t="s">
        <v>265</v>
      </c>
      <c r="H77" s="65" t="s">
        <v>265</v>
      </c>
      <c r="I77" s="65" t="s">
        <v>195</v>
      </c>
      <c r="J77" s="65" t="s">
        <v>181</v>
      </c>
      <c r="K77" s="117"/>
      <c r="L77" s="117">
        <v>50850</v>
      </c>
      <c r="M77" s="117">
        <v>50850</v>
      </c>
      <c r="N77" s="17" t="s">
        <v>266</v>
      </c>
      <c r="O77" s="120"/>
    </row>
    <row r="78" ht="31" customHeight="1" spans="1:15">
      <c r="A78" s="118" t="s">
        <v>33</v>
      </c>
      <c r="B78" s="65">
        <v>3</v>
      </c>
      <c r="C78" s="65" t="s">
        <v>168</v>
      </c>
      <c r="D78" s="65" t="s">
        <v>68</v>
      </c>
      <c r="E78" s="119" t="s">
        <v>69</v>
      </c>
      <c r="F78" s="65" t="s">
        <v>262</v>
      </c>
      <c r="G78" s="65" t="s">
        <v>263</v>
      </c>
      <c r="H78" s="65" t="s">
        <v>200</v>
      </c>
      <c r="I78" s="65" t="s">
        <v>188</v>
      </c>
      <c r="J78" s="65" t="s">
        <v>181</v>
      </c>
      <c r="K78" s="117"/>
      <c r="L78" s="117">
        <v>3200</v>
      </c>
      <c r="M78" s="117">
        <v>3200</v>
      </c>
      <c r="N78" s="17" t="s">
        <v>264</v>
      </c>
      <c r="O78" s="120"/>
    </row>
    <row r="79" ht="31" customHeight="1" spans="1:15">
      <c r="A79" s="118" t="s">
        <v>33</v>
      </c>
      <c r="B79" s="65">
        <v>4</v>
      </c>
      <c r="C79" s="65" t="s">
        <v>168</v>
      </c>
      <c r="D79" s="65" t="s">
        <v>98</v>
      </c>
      <c r="E79" s="119" t="s">
        <v>98</v>
      </c>
      <c r="F79" s="65" t="s">
        <v>262</v>
      </c>
      <c r="G79" s="65" t="s">
        <v>263</v>
      </c>
      <c r="H79" s="65" t="s">
        <v>191</v>
      </c>
      <c r="I79" s="65" t="s">
        <v>188</v>
      </c>
      <c r="J79" s="65" t="s">
        <v>180</v>
      </c>
      <c r="K79" s="117">
        <v>3200</v>
      </c>
      <c r="L79" s="117"/>
      <c r="M79" s="117">
        <v>3200</v>
      </c>
      <c r="N79" s="17" t="s">
        <v>264</v>
      </c>
      <c r="O79" s="120" t="s">
        <v>230</v>
      </c>
    </row>
    <row r="80" ht="46" customHeight="1" spans="1:15">
      <c r="A80" s="118" t="s">
        <v>33</v>
      </c>
      <c r="B80" s="65">
        <v>5</v>
      </c>
      <c r="C80" s="65" t="s">
        <v>168</v>
      </c>
      <c r="D80" s="65" t="s">
        <v>121</v>
      </c>
      <c r="E80" s="119" t="s">
        <v>121</v>
      </c>
      <c r="F80" s="65" t="s">
        <v>262</v>
      </c>
      <c r="G80" s="65" t="s">
        <v>267</v>
      </c>
      <c r="H80" s="65" t="s">
        <v>268</v>
      </c>
      <c r="I80" s="65" t="s">
        <v>269</v>
      </c>
      <c r="J80" s="65" t="s">
        <v>181</v>
      </c>
      <c r="K80" s="117"/>
      <c r="L80" s="117">
        <v>21450</v>
      </c>
      <c r="M80" s="117">
        <v>21450</v>
      </c>
      <c r="N80" s="17" t="s">
        <v>270</v>
      </c>
      <c r="O80" s="120" t="s">
        <v>271</v>
      </c>
    </row>
    <row r="81" spans="1:15">
      <c r="A81" s="128" t="s">
        <v>272</v>
      </c>
      <c r="B81" s="104"/>
      <c r="C81" s="104"/>
      <c r="D81" s="104"/>
      <c r="E81" s="104"/>
      <c r="F81" s="104"/>
      <c r="G81" s="104"/>
      <c r="H81" s="104"/>
      <c r="I81" s="104"/>
      <c r="J81" s="103"/>
      <c r="K81" s="117">
        <f>SUM(K76:K80)</f>
        <v>3200</v>
      </c>
      <c r="L81" s="117">
        <f>SUM(L76:L80)</f>
        <v>78700</v>
      </c>
      <c r="M81" s="117">
        <f>SUM(M76:M80)</f>
        <v>81900</v>
      </c>
      <c r="N81" s="129"/>
      <c r="O81" s="130"/>
    </row>
    <row r="82" spans="1:15">
      <c r="A82" s="113" t="s">
        <v>273</v>
      </c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3"/>
    </row>
    <row r="83" ht="16" customHeight="1" spans="1:15">
      <c r="A83" s="118" t="s">
        <v>53</v>
      </c>
      <c r="B83" s="65" t="s">
        <v>54</v>
      </c>
      <c r="C83" s="65" t="s">
        <v>174</v>
      </c>
      <c r="D83" s="65" t="s">
        <v>55</v>
      </c>
      <c r="E83" s="119" t="s">
        <v>56</v>
      </c>
      <c r="F83" s="65" t="s">
        <v>175</v>
      </c>
      <c r="G83" s="65" t="s">
        <v>176</v>
      </c>
      <c r="H83" s="65" t="s">
        <v>177</v>
      </c>
      <c r="I83" s="65" t="s">
        <v>178</v>
      </c>
      <c r="J83" s="65" t="s">
        <v>179</v>
      </c>
      <c r="K83" s="117" t="s">
        <v>180</v>
      </c>
      <c r="L83" s="117" t="s">
        <v>181</v>
      </c>
      <c r="M83" s="117" t="s">
        <v>182</v>
      </c>
      <c r="N83" s="17" t="s">
        <v>183</v>
      </c>
      <c r="O83" s="129" t="s">
        <v>184</v>
      </c>
    </row>
    <row r="84" ht="31" customHeight="1" spans="1:15">
      <c r="A84" s="118" t="s">
        <v>35</v>
      </c>
      <c r="B84" s="65">
        <v>1</v>
      </c>
      <c r="C84" s="65" t="s">
        <v>168</v>
      </c>
      <c r="D84" s="65" t="s">
        <v>68</v>
      </c>
      <c r="E84" s="119" t="s">
        <v>69</v>
      </c>
      <c r="F84" s="65" t="s">
        <v>274</v>
      </c>
      <c r="G84" s="65" t="s">
        <v>242</v>
      </c>
      <c r="H84" s="65" t="s">
        <v>191</v>
      </c>
      <c r="I84" s="65" t="s">
        <v>188</v>
      </c>
      <c r="J84" s="65" t="s">
        <v>181</v>
      </c>
      <c r="K84" s="117"/>
      <c r="L84" s="117">
        <v>2400</v>
      </c>
      <c r="M84" s="117">
        <v>2400</v>
      </c>
      <c r="N84" s="17" t="s">
        <v>244</v>
      </c>
      <c r="O84" s="120"/>
    </row>
    <row r="85" ht="16" customHeight="1" spans="1:15">
      <c r="A85" s="118" t="s">
        <v>35</v>
      </c>
      <c r="B85" s="65">
        <v>2</v>
      </c>
      <c r="C85" s="65" t="s">
        <v>168</v>
      </c>
      <c r="D85" s="65" t="s">
        <v>123</v>
      </c>
      <c r="E85" s="119" t="s">
        <v>124</v>
      </c>
      <c r="F85" s="65" t="s">
        <v>274</v>
      </c>
      <c r="G85" s="65" t="s">
        <v>199</v>
      </c>
      <c r="H85" s="65" t="s">
        <v>200</v>
      </c>
      <c r="I85" s="65" t="s">
        <v>201</v>
      </c>
      <c r="J85" s="65" t="s">
        <v>181</v>
      </c>
      <c r="K85" s="117"/>
      <c r="L85" s="117">
        <v>5000</v>
      </c>
      <c r="M85" s="117">
        <v>5000</v>
      </c>
      <c r="N85" s="17" t="s">
        <v>202</v>
      </c>
      <c r="O85" s="120"/>
    </row>
    <row r="86" ht="31" customHeight="1" spans="1:15">
      <c r="A86" s="118" t="s">
        <v>35</v>
      </c>
      <c r="B86" s="65">
        <v>3</v>
      </c>
      <c r="C86" s="65" t="s">
        <v>168</v>
      </c>
      <c r="D86" s="65" t="s">
        <v>68</v>
      </c>
      <c r="E86" s="119" t="s">
        <v>69</v>
      </c>
      <c r="F86" s="65" t="s">
        <v>274</v>
      </c>
      <c r="G86" s="65" t="s">
        <v>242</v>
      </c>
      <c r="H86" s="65" t="s">
        <v>200</v>
      </c>
      <c r="I86" s="65" t="s">
        <v>188</v>
      </c>
      <c r="J86" s="65" t="s">
        <v>181</v>
      </c>
      <c r="K86" s="117"/>
      <c r="L86" s="117">
        <v>2400</v>
      </c>
      <c r="M86" s="117">
        <v>2400</v>
      </c>
      <c r="N86" s="17" t="s">
        <v>244</v>
      </c>
      <c r="O86" s="120"/>
    </row>
    <row r="87" ht="31" customHeight="1" spans="1:15">
      <c r="A87" s="118" t="s">
        <v>35</v>
      </c>
      <c r="B87" s="65">
        <v>4</v>
      </c>
      <c r="C87" s="65" t="s">
        <v>168</v>
      </c>
      <c r="D87" s="65" t="s">
        <v>98</v>
      </c>
      <c r="E87" s="119" t="s">
        <v>98</v>
      </c>
      <c r="F87" s="65" t="s">
        <v>274</v>
      </c>
      <c r="G87" s="65" t="s">
        <v>242</v>
      </c>
      <c r="H87" s="65" t="s">
        <v>191</v>
      </c>
      <c r="I87" s="65" t="s">
        <v>188</v>
      </c>
      <c r="J87" s="65" t="s">
        <v>180</v>
      </c>
      <c r="K87" s="117">
        <v>2400</v>
      </c>
      <c r="L87" s="117"/>
      <c r="M87" s="117">
        <v>2400</v>
      </c>
      <c r="N87" s="17" t="s">
        <v>244</v>
      </c>
      <c r="O87" s="120" t="s">
        <v>230</v>
      </c>
    </row>
    <row r="88" spans="1:15">
      <c r="A88" s="128" t="s">
        <v>275</v>
      </c>
      <c r="B88" s="104"/>
      <c r="C88" s="104"/>
      <c r="D88" s="104"/>
      <c r="E88" s="104"/>
      <c r="F88" s="104"/>
      <c r="G88" s="104"/>
      <c r="H88" s="104"/>
      <c r="I88" s="104"/>
      <c r="J88" s="103"/>
      <c r="K88" s="117">
        <f>SUM(K84:K87)</f>
        <v>2400</v>
      </c>
      <c r="L88" s="117">
        <f>SUM(L84:L87)</f>
        <v>9800</v>
      </c>
      <c r="M88" s="117">
        <f>SUM(M84:M87)</f>
        <v>12200</v>
      </c>
      <c r="N88" s="129"/>
      <c r="O88" s="130"/>
    </row>
    <row r="89" spans="1:15">
      <c r="A89" s="113" t="s">
        <v>276</v>
      </c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3"/>
    </row>
    <row r="90" ht="16" customHeight="1" spans="1:15">
      <c r="A90" s="118" t="s">
        <v>53</v>
      </c>
      <c r="B90" s="65" t="s">
        <v>54</v>
      </c>
      <c r="C90" s="65" t="s">
        <v>174</v>
      </c>
      <c r="D90" s="65" t="s">
        <v>55</v>
      </c>
      <c r="E90" s="119" t="s">
        <v>56</v>
      </c>
      <c r="F90" s="65" t="s">
        <v>175</v>
      </c>
      <c r="G90" s="65" t="s">
        <v>176</v>
      </c>
      <c r="H90" s="65" t="s">
        <v>177</v>
      </c>
      <c r="I90" s="65" t="s">
        <v>178</v>
      </c>
      <c r="J90" s="65" t="s">
        <v>179</v>
      </c>
      <c r="K90" s="117" t="s">
        <v>180</v>
      </c>
      <c r="L90" s="117" t="s">
        <v>181</v>
      </c>
      <c r="M90" s="117" t="s">
        <v>182</v>
      </c>
      <c r="N90" s="17" t="s">
        <v>183</v>
      </c>
      <c r="O90" s="129" t="s">
        <v>184</v>
      </c>
    </row>
    <row r="91" ht="31" customHeight="1" spans="1:15">
      <c r="A91" s="118" t="s">
        <v>37</v>
      </c>
      <c r="B91" s="65">
        <v>1</v>
      </c>
      <c r="C91" s="65" t="s">
        <v>168</v>
      </c>
      <c r="D91" s="65" t="s">
        <v>66</v>
      </c>
      <c r="E91" s="119" t="s">
        <v>67</v>
      </c>
      <c r="F91" s="65" t="s">
        <v>277</v>
      </c>
      <c r="G91" s="65" t="s">
        <v>242</v>
      </c>
      <c r="H91" s="65" t="s">
        <v>187</v>
      </c>
      <c r="I91" s="65" t="s">
        <v>188</v>
      </c>
      <c r="J91" s="65" t="s">
        <v>180</v>
      </c>
      <c r="K91" s="117">
        <v>384</v>
      </c>
      <c r="L91" s="117"/>
      <c r="M91" s="117">
        <v>384</v>
      </c>
      <c r="N91" s="17" t="s">
        <v>243</v>
      </c>
      <c r="O91" s="120" t="s">
        <v>190</v>
      </c>
    </row>
    <row r="92" ht="31" customHeight="1" spans="1:15">
      <c r="A92" s="118" t="s">
        <v>37</v>
      </c>
      <c r="B92" s="65">
        <v>2</v>
      </c>
      <c r="C92" s="65" t="s">
        <v>168</v>
      </c>
      <c r="D92" s="65" t="s">
        <v>68</v>
      </c>
      <c r="E92" s="119" t="s">
        <v>69</v>
      </c>
      <c r="F92" s="65" t="s">
        <v>277</v>
      </c>
      <c r="G92" s="65" t="s">
        <v>242</v>
      </c>
      <c r="H92" s="65" t="s">
        <v>191</v>
      </c>
      <c r="I92" s="65" t="s">
        <v>188</v>
      </c>
      <c r="J92" s="65" t="s">
        <v>181</v>
      </c>
      <c r="K92" s="117"/>
      <c r="L92" s="117">
        <v>2400</v>
      </c>
      <c r="M92" s="117">
        <v>2400</v>
      </c>
      <c r="N92" s="17" t="s">
        <v>244</v>
      </c>
      <c r="O92" s="120"/>
    </row>
    <row r="93" ht="16" customHeight="1" spans="1:15">
      <c r="A93" s="118" t="s">
        <v>37</v>
      </c>
      <c r="B93" s="65">
        <v>3</v>
      </c>
      <c r="C93" s="65" t="s">
        <v>168</v>
      </c>
      <c r="D93" s="65" t="s">
        <v>127</v>
      </c>
      <c r="E93" s="119" t="s">
        <v>128</v>
      </c>
      <c r="F93" s="65" t="s">
        <v>277</v>
      </c>
      <c r="G93" s="65" t="s">
        <v>253</v>
      </c>
      <c r="H93" s="65" t="s">
        <v>253</v>
      </c>
      <c r="I93" s="65" t="s">
        <v>195</v>
      </c>
      <c r="J93" s="65" t="s">
        <v>181</v>
      </c>
      <c r="K93" s="117"/>
      <c r="L93" s="117">
        <v>23000</v>
      </c>
      <c r="M93" s="117">
        <v>23000</v>
      </c>
      <c r="N93" s="17" t="s">
        <v>278</v>
      </c>
      <c r="O93" s="120"/>
    </row>
    <row r="94" ht="31" customHeight="1" spans="1:15">
      <c r="A94" s="118" t="s">
        <v>37</v>
      </c>
      <c r="B94" s="65">
        <v>4</v>
      </c>
      <c r="C94" s="65" t="s">
        <v>168</v>
      </c>
      <c r="D94" s="65" t="s">
        <v>68</v>
      </c>
      <c r="E94" s="119" t="s">
        <v>69</v>
      </c>
      <c r="F94" s="65" t="s">
        <v>277</v>
      </c>
      <c r="G94" s="65" t="s">
        <v>242</v>
      </c>
      <c r="H94" s="65" t="s">
        <v>200</v>
      </c>
      <c r="I94" s="65" t="s">
        <v>188</v>
      </c>
      <c r="J94" s="65" t="s">
        <v>181</v>
      </c>
      <c r="K94" s="117"/>
      <c r="L94" s="117">
        <v>2400</v>
      </c>
      <c r="M94" s="117">
        <v>2400</v>
      </c>
      <c r="N94" s="17" t="s">
        <v>244</v>
      </c>
      <c r="O94" s="120"/>
    </row>
    <row r="95" ht="31" customHeight="1" spans="1:15">
      <c r="A95" s="118" t="s">
        <v>37</v>
      </c>
      <c r="B95" s="65">
        <v>5</v>
      </c>
      <c r="C95" s="65" t="s">
        <v>168</v>
      </c>
      <c r="D95" s="65" t="s">
        <v>66</v>
      </c>
      <c r="E95" s="119" t="s">
        <v>67</v>
      </c>
      <c r="F95" s="65" t="s">
        <v>277</v>
      </c>
      <c r="G95" s="65" t="s">
        <v>242</v>
      </c>
      <c r="H95" s="65" t="s">
        <v>194</v>
      </c>
      <c r="I95" s="65" t="s">
        <v>188</v>
      </c>
      <c r="J95" s="65" t="s">
        <v>180</v>
      </c>
      <c r="K95" s="117">
        <v>384</v>
      </c>
      <c r="L95" s="117"/>
      <c r="M95" s="117">
        <v>384</v>
      </c>
      <c r="N95" s="17" t="s">
        <v>243</v>
      </c>
      <c r="O95" s="120" t="s">
        <v>190</v>
      </c>
    </row>
    <row r="96" ht="31" customHeight="1" spans="1:15">
      <c r="A96" s="118" t="s">
        <v>37</v>
      </c>
      <c r="B96" s="65">
        <v>6</v>
      </c>
      <c r="C96" s="65" t="s">
        <v>168</v>
      </c>
      <c r="D96" s="65" t="s">
        <v>98</v>
      </c>
      <c r="E96" s="119" t="s">
        <v>98</v>
      </c>
      <c r="F96" s="65" t="s">
        <v>277</v>
      </c>
      <c r="G96" s="65" t="s">
        <v>242</v>
      </c>
      <c r="H96" s="65" t="s">
        <v>191</v>
      </c>
      <c r="I96" s="65" t="s">
        <v>188</v>
      </c>
      <c r="J96" s="65" t="s">
        <v>180</v>
      </c>
      <c r="K96" s="117">
        <v>2400</v>
      </c>
      <c r="L96" s="117"/>
      <c r="M96" s="117">
        <v>2400</v>
      </c>
      <c r="N96" s="17" t="s">
        <v>244</v>
      </c>
      <c r="O96" s="120" t="s">
        <v>230</v>
      </c>
    </row>
    <row r="97" spans="1:15">
      <c r="A97" s="128" t="s">
        <v>279</v>
      </c>
      <c r="B97" s="104"/>
      <c r="C97" s="104"/>
      <c r="D97" s="104"/>
      <c r="E97" s="104"/>
      <c r="F97" s="104"/>
      <c r="G97" s="104"/>
      <c r="H97" s="104"/>
      <c r="I97" s="104"/>
      <c r="J97" s="103"/>
      <c r="K97" s="117">
        <f>SUM(K91:K96)</f>
        <v>3168</v>
      </c>
      <c r="L97" s="117">
        <f>SUM(L91:L96)</f>
        <v>27800</v>
      </c>
      <c r="M97" s="117">
        <f>SUM(M91:M96)</f>
        <v>30968</v>
      </c>
      <c r="N97" s="129"/>
      <c r="O97" s="130"/>
    </row>
    <row r="98" spans="1:15">
      <c r="A98" s="113" t="s">
        <v>280</v>
      </c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3"/>
    </row>
    <row r="99" ht="16" customHeight="1" spans="1:15">
      <c r="A99" s="118" t="s">
        <v>53</v>
      </c>
      <c r="B99" s="65" t="s">
        <v>54</v>
      </c>
      <c r="C99" s="65" t="s">
        <v>174</v>
      </c>
      <c r="D99" s="65" t="s">
        <v>55</v>
      </c>
      <c r="E99" s="119" t="s">
        <v>56</v>
      </c>
      <c r="F99" s="65" t="s">
        <v>175</v>
      </c>
      <c r="G99" s="65" t="s">
        <v>176</v>
      </c>
      <c r="H99" s="65" t="s">
        <v>177</v>
      </c>
      <c r="I99" s="65" t="s">
        <v>178</v>
      </c>
      <c r="J99" s="65" t="s">
        <v>179</v>
      </c>
      <c r="K99" s="117" t="s">
        <v>180</v>
      </c>
      <c r="L99" s="117" t="s">
        <v>181</v>
      </c>
      <c r="M99" s="117" t="s">
        <v>182</v>
      </c>
      <c r="N99" s="17" t="s">
        <v>183</v>
      </c>
      <c r="O99" s="129" t="s">
        <v>184</v>
      </c>
    </row>
    <row r="100" ht="31" customHeight="1" spans="1:15">
      <c r="A100" s="118" t="s">
        <v>38</v>
      </c>
      <c r="B100" s="65">
        <v>1</v>
      </c>
      <c r="C100" s="65" t="s">
        <v>168</v>
      </c>
      <c r="D100" s="65" t="s">
        <v>66</v>
      </c>
      <c r="E100" s="119" t="s">
        <v>67</v>
      </c>
      <c r="F100" s="65" t="s">
        <v>281</v>
      </c>
      <c r="G100" s="65" t="s">
        <v>242</v>
      </c>
      <c r="H100" s="65" t="s">
        <v>187</v>
      </c>
      <c r="I100" s="65" t="s">
        <v>188</v>
      </c>
      <c r="J100" s="65" t="s">
        <v>180</v>
      </c>
      <c r="K100" s="117">
        <v>384</v>
      </c>
      <c r="L100" s="117"/>
      <c r="M100" s="117">
        <v>384</v>
      </c>
      <c r="N100" s="17" t="s">
        <v>243</v>
      </c>
      <c r="O100" s="120" t="s">
        <v>190</v>
      </c>
    </row>
    <row r="101" ht="31" customHeight="1" spans="1:15">
      <c r="A101" s="118" t="s">
        <v>38</v>
      </c>
      <c r="B101" s="65">
        <v>2</v>
      </c>
      <c r="C101" s="65" t="s">
        <v>168</v>
      </c>
      <c r="D101" s="65" t="s">
        <v>68</v>
      </c>
      <c r="E101" s="119" t="s">
        <v>69</v>
      </c>
      <c r="F101" s="65" t="s">
        <v>281</v>
      </c>
      <c r="G101" s="65" t="s">
        <v>242</v>
      </c>
      <c r="H101" s="65" t="s">
        <v>191</v>
      </c>
      <c r="I101" s="65" t="s">
        <v>188</v>
      </c>
      <c r="J101" s="65" t="s">
        <v>181</v>
      </c>
      <c r="K101" s="117"/>
      <c r="L101" s="117">
        <v>2400</v>
      </c>
      <c r="M101" s="117">
        <v>2400</v>
      </c>
      <c r="N101" s="17" t="s">
        <v>244</v>
      </c>
      <c r="O101" s="120"/>
    </row>
    <row r="102" ht="31" customHeight="1" spans="1:15">
      <c r="A102" s="118" t="s">
        <v>38</v>
      </c>
      <c r="B102" s="65">
        <v>3</v>
      </c>
      <c r="C102" s="65" t="s">
        <v>168</v>
      </c>
      <c r="D102" s="65" t="s">
        <v>130</v>
      </c>
      <c r="E102" s="119" t="s">
        <v>131</v>
      </c>
      <c r="F102" s="65" t="s">
        <v>281</v>
      </c>
      <c r="G102" s="65" t="s">
        <v>253</v>
      </c>
      <c r="H102" s="65" t="s">
        <v>253</v>
      </c>
      <c r="I102" s="65" t="s">
        <v>195</v>
      </c>
      <c r="J102" s="65" t="s">
        <v>181</v>
      </c>
      <c r="K102" s="117"/>
      <c r="L102" s="117">
        <v>23000</v>
      </c>
      <c r="M102" s="117">
        <v>23000</v>
      </c>
      <c r="N102" s="17" t="s">
        <v>278</v>
      </c>
      <c r="O102" s="120"/>
    </row>
    <row r="103" ht="31" customHeight="1" spans="1:15">
      <c r="A103" s="118" t="s">
        <v>38</v>
      </c>
      <c r="B103" s="65">
        <v>4</v>
      </c>
      <c r="C103" s="65" t="s">
        <v>168</v>
      </c>
      <c r="D103" s="65" t="s">
        <v>68</v>
      </c>
      <c r="E103" s="119" t="s">
        <v>69</v>
      </c>
      <c r="F103" s="65" t="s">
        <v>281</v>
      </c>
      <c r="G103" s="65" t="s">
        <v>242</v>
      </c>
      <c r="H103" s="65" t="s">
        <v>200</v>
      </c>
      <c r="I103" s="65" t="s">
        <v>188</v>
      </c>
      <c r="J103" s="65" t="s">
        <v>181</v>
      </c>
      <c r="K103" s="117"/>
      <c r="L103" s="117">
        <v>2400</v>
      </c>
      <c r="M103" s="117">
        <v>2400</v>
      </c>
      <c r="N103" s="17" t="s">
        <v>244</v>
      </c>
      <c r="O103" s="120"/>
    </row>
    <row r="104" ht="31" customHeight="1" spans="1:15">
      <c r="A104" s="118" t="s">
        <v>38</v>
      </c>
      <c r="B104" s="65">
        <v>5</v>
      </c>
      <c r="C104" s="65" t="s">
        <v>168</v>
      </c>
      <c r="D104" s="65" t="s">
        <v>98</v>
      </c>
      <c r="E104" s="119" t="s">
        <v>98</v>
      </c>
      <c r="F104" s="65" t="s">
        <v>281</v>
      </c>
      <c r="G104" s="65" t="s">
        <v>242</v>
      </c>
      <c r="H104" s="65" t="s">
        <v>191</v>
      </c>
      <c r="I104" s="65" t="s">
        <v>188</v>
      </c>
      <c r="J104" s="65" t="s">
        <v>180</v>
      </c>
      <c r="K104" s="117">
        <v>2400</v>
      </c>
      <c r="L104" s="117"/>
      <c r="M104" s="117">
        <v>2400</v>
      </c>
      <c r="N104" s="17" t="s">
        <v>244</v>
      </c>
      <c r="O104" s="120" t="s">
        <v>230</v>
      </c>
    </row>
    <row r="105" spans="1:15">
      <c r="A105" s="128" t="s">
        <v>282</v>
      </c>
      <c r="B105" s="104"/>
      <c r="C105" s="104"/>
      <c r="D105" s="104"/>
      <c r="E105" s="104"/>
      <c r="F105" s="104"/>
      <c r="G105" s="104"/>
      <c r="H105" s="104"/>
      <c r="I105" s="104"/>
      <c r="J105" s="103"/>
      <c r="K105" s="117">
        <f>SUM(K100:K104)</f>
        <v>2784</v>
      </c>
      <c r="L105" s="117">
        <f>SUM(L100:L104)</f>
        <v>27800</v>
      </c>
      <c r="M105" s="117">
        <f>SUM(M100:M104)</f>
        <v>30584</v>
      </c>
      <c r="N105" s="129"/>
      <c r="O105" s="130"/>
    </row>
    <row r="106" spans="1:15">
      <c r="A106" s="113" t="s">
        <v>283</v>
      </c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3"/>
    </row>
    <row r="107" ht="16" customHeight="1" spans="1:15">
      <c r="A107" s="118" t="s">
        <v>53</v>
      </c>
      <c r="B107" s="65" t="s">
        <v>54</v>
      </c>
      <c r="C107" s="65" t="s">
        <v>174</v>
      </c>
      <c r="D107" s="65" t="s">
        <v>55</v>
      </c>
      <c r="E107" s="119" t="s">
        <v>56</v>
      </c>
      <c r="F107" s="65" t="s">
        <v>175</v>
      </c>
      <c r="G107" s="65" t="s">
        <v>176</v>
      </c>
      <c r="H107" s="65" t="s">
        <v>177</v>
      </c>
      <c r="I107" s="65" t="s">
        <v>178</v>
      </c>
      <c r="J107" s="65" t="s">
        <v>179</v>
      </c>
      <c r="K107" s="117" t="s">
        <v>180</v>
      </c>
      <c r="L107" s="117" t="s">
        <v>181</v>
      </c>
      <c r="M107" s="117" t="s">
        <v>182</v>
      </c>
      <c r="N107" s="17" t="s">
        <v>183</v>
      </c>
      <c r="O107" s="129" t="s">
        <v>184</v>
      </c>
    </row>
    <row r="108" ht="31" customHeight="1" spans="1:15">
      <c r="A108" s="118" t="s">
        <v>39</v>
      </c>
      <c r="B108" s="65">
        <v>1</v>
      </c>
      <c r="C108" s="65" t="s">
        <v>168</v>
      </c>
      <c r="D108" s="65" t="s">
        <v>66</v>
      </c>
      <c r="E108" s="119" t="s">
        <v>67</v>
      </c>
      <c r="F108" s="65" t="s">
        <v>284</v>
      </c>
      <c r="G108" s="65" t="s">
        <v>242</v>
      </c>
      <c r="H108" s="65" t="s">
        <v>187</v>
      </c>
      <c r="I108" s="65" t="s">
        <v>188</v>
      </c>
      <c r="J108" s="65" t="s">
        <v>180</v>
      </c>
      <c r="K108" s="117">
        <v>384</v>
      </c>
      <c r="L108" s="117"/>
      <c r="M108" s="117">
        <v>384</v>
      </c>
      <c r="N108" s="17" t="s">
        <v>243</v>
      </c>
      <c r="O108" s="120" t="s">
        <v>190</v>
      </c>
    </row>
    <row r="109" ht="31" customHeight="1" spans="1:15">
      <c r="A109" s="118" t="s">
        <v>39</v>
      </c>
      <c r="B109" s="65">
        <v>2</v>
      </c>
      <c r="C109" s="65" t="s">
        <v>168</v>
      </c>
      <c r="D109" s="65" t="s">
        <v>68</v>
      </c>
      <c r="E109" s="119" t="s">
        <v>69</v>
      </c>
      <c r="F109" s="65" t="s">
        <v>284</v>
      </c>
      <c r="G109" s="65" t="s">
        <v>242</v>
      </c>
      <c r="H109" s="65" t="s">
        <v>191</v>
      </c>
      <c r="I109" s="65" t="s">
        <v>188</v>
      </c>
      <c r="J109" s="65" t="s">
        <v>181</v>
      </c>
      <c r="K109" s="117"/>
      <c r="L109" s="117">
        <v>2400</v>
      </c>
      <c r="M109" s="117">
        <v>2400</v>
      </c>
      <c r="N109" s="17" t="s">
        <v>244</v>
      </c>
      <c r="O109" s="120"/>
    </row>
    <row r="110" ht="31" customHeight="1" spans="1:15">
      <c r="A110" s="118" t="s">
        <v>39</v>
      </c>
      <c r="B110" s="65">
        <v>3</v>
      </c>
      <c r="C110" s="65" t="s">
        <v>168</v>
      </c>
      <c r="D110" s="65" t="s">
        <v>130</v>
      </c>
      <c r="E110" s="119" t="s">
        <v>133</v>
      </c>
      <c r="F110" s="65" t="s">
        <v>284</v>
      </c>
      <c r="G110" s="65" t="s">
        <v>285</v>
      </c>
      <c r="H110" s="65" t="s">
        <v>285</v>
      </c>
      <c r="I110" s="65" t="s">
        <v>195</v>
      </c>
      <c r="J110" s="65" t="s">
        <v>181</v>
      </c>
      <c r="K110" s="117"/>
      <c r="L110" s="117">
        <v>25300</v>
      </c>
      <c r="M110" s="117">
        <v>25300</v>
      </c>
      <c r="N110" s="17" t="s">
        <v>286</v>
      </c>
      <c r="O110" s="120"/>
    </row>
    <row r="111" ht="31" customHeight="1" spans="1:15">
      <c r="A111" s="118" t="s">
        <v>39</v>
      </c>
      <c r="B111" s="65">
        <v>4</v>
      </c>
      <c r="C111" s="65" t="s">
        <v>168</v>
      </c>
      <c r="D111" s="65" t="s">
        <v>68</v>
      </c>
      <c r="E111" s="119" t="s">
        <v>69</v>
      </c>
      <c r="F111" s="65" t="s">
        <v>284</v>
      </c>
      <c r="G111" s="65" t="s">
        <v>242</v>
      </c>
      <c r="H111" s="65" t="s">
        <v>200</v>
      </c>
      <c r="I111" s="65" t="s">
        <v>188</v>
      </c>
      <c r="J111" s="65" t="s">
        <v>181</v>
      </c>
      <c r="K111" s="117"/>
      <c r="L111" s="117">
        <v>2400</v>
      </c>
      <c r="M111" s="117">
        <v>2400</v>
      </c>
      <c r="N111" s="17" t="s">
        <v>244</v>
      </c>
      <c r="O111" s="120"/>
    </row>
    <row r="112" ht="31" customHeight="1" spans="1:15">
      <c r="A112" s="118" t="s">
        <v>39</v>
      </c>
      <c r="B112" s="65">
        <v>5</v>
      </c>
      <c r="C112" s="65" t="s">
        <v>168</v>
      </c>
      <c r="D112" s="65" t="s">
        <v>66</v>
      </c>
      <c r="E112" s="119" t="s">
        <v>67</v>
      </c>
      <c r="F112" s="65" t="s">
        <v>284</v>
      </c>
      <c r="G112" s="65" t="s">
        <v>242</v>
      </c>
      <c r="H112" s="65" t="s">
        <v>194</v>
      </c>
      <c r="I112" s="65" t="s">
        <v>188</v>
      </c>
      <c r="J112" s="65" t="s">
        <v>180</v>
      </c>
      <c r="K112" s="117">
        <v>384</v>
      </c>
      <c r="L112" s="117"/>
      <c r="M112" s="117">
        <v>384</v>
      </c>
      <c r="N112" s="17" t="s">
        <v>243</v>
      </c>
      <c r="O112" s="120" t="s">
        <v>190</v>
      </c>
    </row>
    <row r="113" ht="31" customHeight="1" spans="1:15">
      <c r="A113" s="118" t="s">
        <v>39</v>
      </c>
      <c r="B113" s="65">
        <v>6</v>
      </c>
      <c r="C113" s="65" t="s">
        <v>168</v>
      </c>
      <c r="D113" s="65" t="s">
        <v>98</v>
      </c>
      <c r="E113" s="119" t="s">
        <v>98</v>
      </c>
      <c r="F113" s="65" t="s">
        <v>284</v>
      </c>
      <c r="G113" s="65" t="s">
        <v>242</v>
      </c>
      <c r="H113" s="65" t="s">
        <v>191</v>
      </c>
      <c r="I113" s="65" t="s">
        <v>188</v>
      </c>
      <c r="J113" s="65" t="s">
        <v>180</v>
      </c>
      <c r="K113" s="117">
        <v>2400</v>
      </c>
      <c r="L113" s="117"/>
      <c r="M113" s="117">
        <v>2400</v>
      </c>
      <c r="N113" s="17" t="s">
        <v>244</v>
      </c>
      <c r="O113" s="120" t="s">
        <v>230</v>
      </c>
    </row>
    <row r="114" spans="1:15">
      <c r="A114" s="128" t="s">
        <v>287</v>
      </c>
      <c r="B114" s="104"/>
      <c r="C114" s="104"/>
      <c r="D114" s="104"/>
      <c r="E114" s="104"/>
      <c r="F114" s="104"/>
      <c r="G114" s="104"/>
      <c r="H114" s="104"/>
      <c r="I114" s="104"/>
      <c r="J114" s="103"/>
      <c r="K114" s="117">
        <f>SUM(K108:K113)</f>
        <v>3168</v>
      </c>
      <c r="L114" s="117">
        <f>SUM(L108:L113)</f>
        <v>30100</v>
      </c>
      <c r="M114" s="117">
        <f>SUM(M108:M113)</f>
        <v>33268</v>
      </c>
      <c r="N114" s="129"/>
      <c r="O114" s="130"/>
    </row>
    <row r="115" spans="1:15">
      <c r="A115" s="113" t="s">
        <v>288</v>
      </c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3"/>
    </row>
    <row r="116" ht="16" customHeight="1" spans="1:15">
      <c r="A116" s="118" t="s">
        <v>53</v>
      </c>
      <c r="B116" s="65" t="s">
        <v>54</v>
      </c>
      <c r="C116" s="65" t="s">
        <v>174</v>
      </c>
      <c r="D116" s="65" t="s">
        <v>55</v>
      </c>
      <c r="E116" s="119" t="s">
        <v>56</v>
      </c>
      <c r="F116" s="65" t="s">
        <v>175</v>
      </c>
      <c r="G116" s="65" t="s">
        <v>176</v>
      </c>
      <c r="H116" s="65" t="s">
        <v>177</v>
      </c>
      <c r="I116" s="65" t="s">
        <v>178</v>
      </c>
      <c r="J116" s="65" t="s">
        <v>179</v>
      </c>
      <c r="K116" s="117" t="s">
        <v>180</v>
      </c>
      <c r="L116" s="117" t="s">
        <v>181</v>
      </c>
      <c r="M116" s="117" t="s">
        <v>182</v>
      </c>
      <c r="N116" s="17" t="s">
        <v>183</v>
      </c>
      <c r="O116" s="129" t="s">
        <v>184</v>
      </c>
    </row>
    <row r="117" ht="16" customHeight="1" spans="1:15">
      <c r="A117" s="122" t="s">
        <v>40</v>
      </c>
      <c r="B117" s="123">
        <v>1</v>
      </c>
      <c r="C117" s="123" t="s">
        <v>168</v>
      </c>
      <c r="D117" s="123" t="s">
        <v>136</v>
      </c>
      <c r="E117" s="124" t="s">
        <v>137</v>
      </c>
      <c r="F117" s="123">
        <v>83</v>
      </c>
      <c r="G117" s="123" t="s">
        <v>289</v>
      </c>
      <c r="H117" s="123" t="s">
        <v>290</v>
      </c>
      <c r="I117" s="123" t="s">
        <v>291</v>
      </c>
      <c r="J117" s="123" t="s">
        <v>181</v>
      </c>
      <c r="K117" s="125"/>
      <c r="L117" s="125">
        <v>20000</v>
      </c>
      <c r="M117" s="125">
        <v>20000</v>
      </c>
      <c r="N117" s="126" t="s">
        <v>292</v>
      </c>
      <c r="O117" s="127" t="s">
        <v>293</v>
      </c>
    </row>
    <row r="118" spans="1:15">
      <c r="A118" s="128" t="s">
        <v>294</v>
      </c>
      <c r="B118" s="104"/>
      <c r="C118" s="104"/>
      <c r="D118" s="104"/>
      <c r="E118" s="104"/>
      <c r="F118" s="104"/>
      <c r="G118" s="104"/>
      <c r="H118" s="104"/>
      <c r="I118" s="104"/>
      <c r="J118" s="103"/>
      <c r="K118" s="117">
        <f>SUM(K117:K117)</f>
        <v>0</v>
      </c>
      <c r="L118" s="117">
        <f>SUM(L117:L117)</f>
        <v>20000</v>
      </c>
      <c r="M118" s="117">
        <f>SUM(M117:M117)</f>
        <v>20000</v>
      </c>
      <c r="N118" s="129"/>
      <c r="O118" s="130"/>
    </row>
    <row r="119" spans="1:15">
      <c r="A119" s="113" t="s">
        <v>295</v>
      </c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3"/>
    </row>
    <row r="120" ht="16" customHeight="1" spans="1:15">
      <c r="A120" s="118" t="s">
        <v>53</v>
      </c>
      <c r="B120" s="65" t="s">
        <v>54</v>
      </c>
      <c r="C120" s="65" t="s">
        <v>174</v>
      </c>
      <c r="D120" s="65" t="s">
        <v>55</v>
      </c>
      <c r="E120" s="119" t="s">
        <v>56</v>
      </c>
      <c r="F120" s="65" t="s">
        <v>175</v>
      </c>
      <c r="G120" s="65" t="s">
        <v>176</v>
      </c>
      <c r="H120" s="65" t="s">
        <v>177</v>
      </c>
      <c r="I120" s="65" t="s">
        <v>178</v>
      </c>
      <c r="J120" s="65" t="s">
        <v>179</v>
      </c>
      <c r="K120" s="117" t="s">
        <v>180</v>
      </c>
      <c r="L120" s="117" t="s">
        <v>181</v>
      </c>
      <c r="M120" s="117" t="s">
        <v>182</v>
      </c>
      <c r="N120" s="17" t="s">
        <v>183</v>
      </c>
      <c r="O120" s="129" t="s">
        <v>184</v>
      </c>
    </row>
    <row r="121" ht="16" customHeight="1" spans="1:15">
      <c r="A121" s="122" t="s">
        <v>43</v>
      </c>
      <c r="B121" s="123">
        <v>1</v>
      </c>
      <c r="C121" s="123" t="s">
        <v>168</v>
      </c>
      <c r="D121" s="123" t="s">
        <v>141</v>
      </c>
      <c r="E121" s="124" t="s">
        <v>142</v>
      </c>
      <c r="F121" s="123" t="s">
        <v>296</v>
      </c>
      <c r="G121" s="123" t="s">
        <v>297</v>
      </c>
      <c r="H121" s="123" t="s">
        <v>268</v>
      </c>
      <c r="I121" s="123" t="s">
        <v>188</v>
      </c>
      <c r="J121" s="123" t="s">
        <v>181</v>
      </c>
      <c r="K121" s="125"/>
      <c r="L121" s="125">
        <v>42500</v>
      </c>
      <c r="M121" s="125">
        <v>42500</v>
      </c>
      <c r="N121" s="126" t="s">
        <v>298</v>
      </c>
      <c r="O121" s="127" t="s">
        <v>299</v>
      </c>
    </row>
    <row r="122" spans="1:15">
      <c r="A122" s="128" t="s">
        <v>300</v>
      </c>
      <c r="B122" s="104"/>
      <c r="C122" s="104"/>
      <c r="D122" s="104"/>
      <c r="E122" s="104"/>
      <c r="F122" s="104"/>
      <c r="G122" s="104"/>
      <c r="H122" s="104"/>
      <c r="I122" s="104"/>
      <c r="J122" s="103"/>
      <c r="K122" s="117">
        <f>SUM(K121:K121)</f>
        <v>0</v>
      </c>
      <c r="L122" s="117">
        <f>SUM(L121:L121)</f>
        <v>42500</v>
      </c>
      <c r="M122" s="117">
        <f>SUM(M121:M121)</f>
        <v>42500</v>
      </c>
      <c r="N122" s="129"/>
      <c r="O122" s="130"/>
    </row>
    <row r="123" ht="18.35" spans="1:15">
      <c r="A123" s="131"/>
    </row>
    <row r="124" spans="1:15">
      <c r="A124" s="132" t="s">
        <v>301</v>
      </c>
      <c r="B124" s="133" t="s">
        <v>302</v>
      </c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2"/>
    </row>
    <row r="125" spans="1:15">
      <c r="A125" s="134" t="s">
        <v>303</v>
      </c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3"/>
    </row>
    <row r="126" ht="16" customHeight="1" spans="1:15">
      <c r="A126" s="114" t="s">
        <v>53</v>
      </c>
      <c r="B126" s="62" t="s">
        <v>54</v>
      </c>
      <c r="C126" s="62" t="s">
        <v>174</v>
      </c>
      <c r="D126" s="62" t="s">
        <v>55</v>
      </c>
      <c r="E126" s="78" t="s">
        <v>56</v>
      </c>
      <c r="F126" s="62" t="s">
        <v>175</v>
      </c>
      <c r="G126" s="62" t="s">
        <v>176</v>
      </c>
      <c r="H126" s="62" t="s">
        <v>177</v>
      </c>
      <c r="I126" s="62" t="s">
        <v>178</v>
      </c>
      <c r="J126" s="62" t="s">
        <v>179</v>
      </c>
      <c r="K126" s="115" t="s">
        <v>180</v>
      </c>
      <c r="L126" s="115" t="s">
        <v>181</v>
      </c>
      <c r="M126" s="115" t="s">
        <v>182</v>
      </c>
      <c r="N126" s="78" t="s">
        <v>183</v>
      </c>
      <c r="O126" s="116" t="s">
        <v>184</v>
      </c>
    </row>
    <row r="127" ht="31" customHeight="1" spans="1:15">
      <c r="A127" s="118" t="s">
        <v>26</v>
      </c>
      <c r="B127" s="65">
        <v>1</v>
      </c>
      <c r="C127" s="65" t="s">
        <v>171</v>
      </c>
      <c r="D127" s="65" t="s">
        <v>66</v>
      </c>
      <c r="E127" s="119" t="s">
        <v>67</v>
      </c>
      <c r="F127" s="65" t="s">
        <v>185</v>
      </c>
      <c r="G127" s="65" t="s">
        <v>186</v>
      </c>
      <c r="H127" s="65" t="s">
        <v>187</v>
      </c>
      <c r="I127" s="65" t="s">
        <v>188</v>
      </c>
      <c r="J127" s="65" t="s">
        <v>180</v>
      </c>
      <c r="K127" s="117">
        <v>784</v>
      </c>
      <c r="L127" s="117"/>
      <c r="M127" s="117">
        <v>784</v>
      </c>
      <c r="N127" s="17" t="s">
        <v>189</v>
      </c>
      <c r="O127" s="120" t="s">
        <v>190</v>
      </c>
    </row>
    <row r="128" ht="31" customHeight="1" spans="1:15">
      <c r="A128" s="118" t="s">
        <v>26</v>
      </c>
      <c r="B128" s="65">
        <v>2</v>
      </c>
      <c r="C128" s="65" t="s">
        <v>171</v>
      </c>
      <c r="D128" s="65" t="s">
        <v>68</v>
      </c>
      <c r="E128" s="119" t="s">
        <v>69</v>
      </c>
      <c r="F128" s="65" t="s">
        <v>185</v>
      </c>
      <c r="G128" s="65" t="s">
        <v>186</v>
      </c>
      <c r="H128" s="65" t="s">
        <v>191</v>
      </c>
      <c r="I128" s="65" t="s">
        <v>188</v>
      </c>
      <c r="J128" s="65" t="s">
        <v>181</v>
      </c>
      <c r="K128" s="117"/>
      <c r="L128" s="117">
        <v>5600</v>
      </c>
      <c r="M128" s="117">
        <v>5600</v>
      </c>
      <c r="N128" s="17" t="s">
        <v>192</v>
      </c>
      <c r="O128" s="120"/>
    </row>
    <row r="129" ht="31" customHeight="1" spans="1:15">
      <c r="A129" s="118" t="s">
        <v>26</v>
      </c>
      <c r="B129" s="65">
        <v>3</v>
      </c>
      <c r="C129" s="65" t="s">
        <v>171</v>
      </c>
      <c r="D129" s="65" t="s">
        <v>70</v>
      </c>
      <c r="E129" s="119" t="s">
        <v>71</v>
      </c>
      <c r="F129" s="65" t="s">
        <v>193</v>
      </c>
      <c r="G129" s="65" t="s">
        <v>194</v>
      </c>
      <c r="H129" s="65" t="s">
        <v>194</v>
      </c>
      <c r="I129" s="65" t="s">
        <v>195</v>
      </c>
      <c r="J129" s="65" t="s">
        <v>181</v>
      </c>
      <c r="K129" s="117"/>
      <c r="L129" s="117">
        <v>720</v>
      </c>
      <c r="M129" s="117">
        <v>720</v>
      </c>
      <c r="N129" s="17" t="s">
        <v>196</v>
      </c>
      <c r="O129" s="120"/>
    </row>
    <row r="130" ht="16" customHeight="1" spans="1:15">
      <c r="A130" s="118" t="s">
        <v>26</v>
      </c>
      <c r="B130" s="65">
        <v>4</v>
      </c>
      <c r="C130" s="65" t="s">
        <v>171</v>
      </c>
      <c r="D130" s="65" t="s">
        <v>72</v>
      </c>
      <c r="E130" s="119" t="s">
        <v>73</v>
      </c>
      <c r="F130" s="65" t="s">
        <v>193</v>
      </c>
      <c r="G130" s="65" t="s">
        <v>194</v>
      </c>
      <c r="H130" s="65" t="s">
        <v>194</v>
      </c>
      <c r="I130" s="65" t="s">
        <v>195</v>
      </c>
      <c r="J130" s="65" t="s">
        <v>181</v>
      </c>
      <c r="K130" s="117"/>
      <c r="L130" s="117">
        <v>720</v>
      </c>
      <c r="M130" s="117">
        <v>720</v>
      </c>
      <c r="N130" s="17" t="s">
        <v>196</v>
      </c>
      <c r="O130" s="120"/>
    </row>
    <row r="131" ht="16" customHeight="1" spans="1:15">
      <c r="A131" s="118" t="s">
        <v>26</v>
      </c>
      <c r="B131" s="65">
        <v>5</v>
      </c>
      <c r="C131" s="65" t="s">
        <v>171</v>
      </c>
      <c r="D131" s="65" t="s">
        <v>74</v>
      </c>
      <c r="E131" s="119" t="s">
        <v>75</v>
      </c>
      <c r="F131" s="65" t="s">
        <v>193</v>
      </c>
      <c r="G131" s="65" t="s">
        <v>194</v>
      </c>
      <c r="H131" s="65" t="s">
        <v>194</v>
      </c>
      <c r="I131" s="65" t="s">
        <v>195</v>
      </c>
      <c r="J131" s="65" t="s">
        <v>181</v>
      </c>
      <c r="K131" s="117"/>
      <c r="L131" s="117">
        <v>720</v>
      </c>
      <c r="M131" s="117">
        <v>720</v>
      </c>
      <c r="N131" s="17" t="s">
        <v>196</v>
      </c>
      <c r="O131" s="120"/>
    </row>
    <row r="132" ht="16" customHeight="1" spans="1:15">
      <c r="A132" s="118" t="s">
        <v>26</v>
      </c>
      <c r="B132" s="65">
        <v>6</v>
      </c>
      <c r="C132" s="65" t="s">
        <v>171</v>
      </c>
      <c r="D132" s="65" t="s">
        <v>76</v>
      </c>
      <c r="E132" s="119" t="s">
        <v>77</v>
      </c>
      <c r="F132" s="65" t="s">
        <v>193</v>
      </c>
      <c r="G132" s="65" t="s">
        <v>197</v>
      </c>
      <c r="H132" s="65" t="s">
        <v>197</v>
      </c>
      <c r="I132" s="65" t="s">
        <v>195</v>
      </c>
      <c r="J132" s="65" t="s">
        <v>181</v>
      </c>
      <c r="K132" s="117"/>
      <c r="L132" s="117">
        <v>2880</v>
      </c>
      <c r="M132" s="117">
        <v>2880</v>
      </c>
      <c r="N132" s="17" t="s">
        <v>198</v>
      </c>
      <c r="O132" s="120"/>
    </row>
    <row r="133" ht="16" customHeight="1" spans="1:15">
      <c r="A133" s="118" t="s">
        <v>26</v>
      </c>
      <c r="B133" s="65">
        <v>7</v>
      </c>
      <c r="C133" s="65" t="s">
        <v>171</v>
      </c>
      <c r="D133" s="65" t="s">
        <v>78</v>
      </c>
      <c r="E133" s="119" t="s">
        <v>79</v>
      </c>
      <c r="F133" s="65" t="s">
        <v>193</v>
      </c>
      <c r="G133" s="65" t="s">
        <v>199</v>
      </c>
      <c r="H133" s="65" t="s">
        <v>200</v>
      </c>
      <c r="I133" s="65" t="s">
        <v>201</v>
      </c>
      <c r="J133" s="65" t="s">
        <v>181</v>
      </c>
      <c r="K133" s="117"/>
      <c r="L133" s="117">
        <v>5000</v>
      </c>
      <c r="M133" s="117">
        <v>5000</v>
      </c>
      <c r="N133" s="17" t="s">
        <v>202</v>
      </c>
      <c r="O133" s="120"/>
    </row>
    <row r="134" ht="16" customHeight="1" spans="1:15">
      <c r="A134" s="118" t="s">
        <v>26</v>
      </c>
      <c r="B134" s="65">
        <v>8</v>
      </c>
      <c r="C134" s="65" t="s">
        <v>171</v>
      </c>
      <c r="D134" s="65" t="s">
        <v>80</v>
      </c>
      <c r="E134" s="119" t="s">
        <v>203</v>
      </c>
      <c r="F134" s="65" t="s">
        <v>193</v>
      </c>
      <c r="G134" s="65" t="s">
        <v>204</v>
      </c>
      <c r="H134" s="65" t="s">
        <v>204</v>
      </c>
      <c r="I134" s="65" t="s">
        <v>195</v>
      </c>
      <c r="J134" s="65" t="s">
        <v>181</v>
      </c>
      <c r="K134" s="117"/>
      <c r="L134" s="117">
        <v>7200</v>
      </c>
      <c r="M134" s="117">
        <v>7200</v>
      </c>
      <c r="N134" s="17" t="s">
        <v>205</v>
      </c>
      <c r="O134" s="120"/>
    </row>
    <row r="135" ht="16" customHeight="1" spans="1:15">
      <c r="A135" s="118" t="s">
        <v>26</v>
      </c>
      <c r="B135" s="65">
        <v>9</v>
      </c>
      <c r="C135" s="65" t="s">
        <v>171</v>
      </c>
      <c r="D135" s="65" t="s">
        <v>82</v>
      </c>
      <c r="E135" s="119" t="s">
        <v>83</v>
      </c>
      <c r="F135" s="65" t="s">
        <v>193</v>
      </c>
      <c r="G135" s="65" t="s">
        <v>206</v>
      </c>
      <c r="H135" s="65" t="s">
        <v>206</v>
      </c>
      <c r="I135" s="65" t="s">
        <v>195</v>
      </c>
      <c r="J135" s="65" t="s">
        <v>181</v>
      </c>
      <c r="K135" s="117"/>
      <c r="L135" s="117">
        <v>30500</v>
      </c>
      <c r="M135" s="117">
        <v>30500</v>
      </c>
      <c r="N135" s="17" t="s">
        <v>207</v>
      </c>
      <c r="O135" s="120"/>
    </row>
    <row r="136" ht="16" customHeight="1" spans="1:15">
      <c r="A136" s="118" t="s">
        <v>26</v>
      </c>
      <c r="B136" s="65">
        <v>10</v>
      </c>
      <c r="C136" s="65" t="s">
        <v>171</v>
      </c>
      <c r="D136" s="65" t="s">
        <v>68</v>
      </c>
      <c r="E136" s="119" t="s">
        <v>69</v>
      </c>
      <c r="F136" s="65" t="s">
        <v>193</v>
      </c>
      <c r="G136" s="65" t="s">
        <v>208</v>
      </c>
      <c r="H136" s="65" t="s">
        <v>191</v>
      </c>
      <c r="I136" s="65" t="s">
        <v>188</v>
      </c>
      <c r="J136" s="65" t="s">
        <v>181</v>
      </c>
      <c r="K136" s="117"/>
      <c r="L136" s="117">
        <v>4800</v>
      </c>
      <c r="M136" s="117">
        <v>4800</v>
      </c>
      <c r="N136" s="17" t="s">
        <v>209</v>
      </c>
      <c r="O136" s="120"/>
    </row>
    <row r="137" ht="16" customHeight="1" spans="1:15">
      <c r="A137" s="118" t="s">
        <v>26</v>
      </c>
      <c r="B137" s="65">
        <v>11</v>
      </c>
      <c r="C137" s="65" t="s">
        <v>171</v>
      </c>
      <c r="D137" s="65" t="s">
        <v>84</v>
      </c>
      <c r="E137" s="119" t="s">
        <v>85</v>
      </c>
      <c r="F137" s="65" t="s">
        <v>193</v>
      </c>
      <c r="G137" s="65" t="s">
        <v>200</v>
      </c>
      <c r="H137" s="65" t="s">
        <v>200</v>
      </c>
      <c r="I137" s="65" t="s">
        <v>195</v>
      </c>
      <c r="J137" s="65" t="s">
        <v>181</v>
      </c>
      <c r="K137" s="117"/>
      <c r="L137" s="117">
        <v>24000</v>
      </c>
      <c r="M137" s="117">
        <v>24000</v>
      </c>
      <c r="N137" s="17" t="s">
        <v>211</v>
      </c>
      <c r="O137" s="120"/>
    </row>
    <row r="138" ht="16" customHeight="1" spans="1:15">
      <c r="A138" s="118" t="s">
        <v>26</v>
      </c>
      <c r="B138" s="65">
        <v>12</v>
      </c>
      <c r="C138" s="65" t="s">
        <v>171</v>
      </c>
      <c r="D138" s="65" t="s">
        <v>86</v>
      </c>
      <c r="E138" s="119" t="s">
        <v>212</v>
      </c>
      <c r="F138" s="65" t="s">
        <v>185</v>
      </c>
      <c r="G138" s="65" t="s">
        <v>186</v>
      </c>
      <c r="H138" s="65" t="s">
        <v>200</v>
      </c>
      <c r="I138" s="65" t="s">
        <v>188</v>
      </c>
      <c r="J138" s="65" t="s">
        <v>181</v>
      </c>
      <c r="K138" s="117"/>
      <c r="L138" s="117">
        <v>4200</v>
      </c>
      <c r="M138" s="117">
        <v>4200</v>
      </c>
      <c r="N138" s="17" t="s">
        <v>213</v>
      </c>
      <c r="O138" s="120"/>
    </row>
    <row r="139" ht="16" customHeight="1" spans="1:15">
      <c r="A139" s="118" t="s">
        <v>26</v>
      </c>
      <c r="B139" s="65">
        <v>13</v>
      </c>
      <c r="C139" s="65" t="s">
        <v>171</v>
      </c>
      <c r="D139" s="65" t="s">
        <v>88</v>
      </c>
      <c r="E139" s="119" t="s">
        <v>214</v>
      </c>
      <c r="F139" s="65" t="s">
        <v>193</v>
      </c>
      <c r="G139" s="65" t="s">
        <v>208</v>
      </c>
      <c r="H139" s="65" t="s">
        <v>200</v>
      </c>
      <c r="I139" s="65" t="s">
        <v>188</v>
      </c>
      <c r="J139" s="65" t="s">
        <v>181</v>
      </c>
      <c r="K139" s="117"/>
      <c r="L139" s="117">
        <v>3600</v>
      </c>
      <c r="M139" s="117">
        <v>3600</v>
      </c>
      <c r="N139" s="17" t="s">
        <v>215</v>
      </c>
      <c r="O139" s="120"/>
    </row>
    <row r="140" ht="31" customHeight="1" spans="1:15">
      <c r="A140" s="118" t="s">
        <v>26</v>
      </c>
      <c r="B140" s="65">
        <v>14</v>
      </c>
      <c r="C140" s="65" t="s">
        <v>171</v>
      </c>
      <c r="D140" s="65" t="s">
        <v>90</v>
      </c>
      <c r="E140" s="119" t="s">
        <v>91</v>
      </c>
      <c r="F140" s="65" t="s">
        <v>193</v>
      </c>
      <c r="G140" s="65" t="s">
        <v>208</v>
      </c>
      <c r="H140" s="65" t="s">
        <v>204</v>
      </c>
      <c r="I140" s="65" t="s">
        <v>188</v>
      </c>
      <c r="J140" s="65" t="s">
        <v>181</v>
      </c>
      <c r="K140" s="117"/>
      <c r="L140" s="117">
        <v>39996</v>
      </c>
      <c r="M140" s="117">
        <v>39996</v>
      </c>
      <c r="N140" s="17" t="s">
        <v>217</v>
      </c>
      <c r="O140" s="120" t="s">
        <v>218</v>
      </c>
    </row>
    <row r="141" ht="16" customHeight="1" spans="1:15">
      <c r="A141" s="118" t="s">
        <v>26</v>
      </c>
      <c r="B141" s="65">
        <v>15</v>
      </c>
      <c r="C141" s="65" t="s">
        <v>171</v>
      </c>
      <c r="D141" s="65" t="s">
        <v>92</v>
      </c>
      <c r="E141" s="119" t="s">
        <v>220</v>
      </c>
      <c r="F141" s="65" t="s">
        <v>193</v>
      </c>
      <c r="G141" s="65" t="s">
        <v>221</v>
      </c>
      <c r="H141" s="65" t="s">
        <v>221</v>
      </c>
      <c r="I141" s="65" t="s">
        <v>195</v>
      </c>
      <c r="J141" s="65" t="s">
        <v>181</v>
      </c>
      <c r="K141" s="117"/>
      <c r="L141" s="117">
        <v>7920</v>
      </c>
      <c r="M141" s="117">
        <v>7920</v>
      </c>
      <c r="N141" s="17" t="s">
        <v>222</v>
      </c>
      <c r="O141" s="120"/>
    </row>
    <row r="142" ht="16" customHeight="1" spans="1:15">
      <c r="A142" s="118" t="s">
        <v>26</v>
      </c>
      <c r="B142" s="65">
        <v>16</v>
      </c>
      <c r="C142" s="65" t="s">
        <v>171</v>
      </c>
      <c r="D142" s="65" t="s">
        <v>94</v>
      </c>
      <c r="E142" s="119" t="s">
        <v>224</v>
      </c>
      <c r="F142" s="65" t="s">
        <v>193</v>
      </c>
      <c r="G142" s="65" t="s">
        <v>208</v>
      </c>
      <c r="H142" s="65" t="s">
        <v>191</v>
      </c>
      <c r="I142" s="65" t="s">
        <v>188</v>
      </c>
      <c r="J142" s="65" t="s">
        <v>181</v>
      </c>
      <c r="K142" s="117"/>
      <c r="L142" s="117">
        <v>6000</v>
      </c>
      <c r="M142" s="117">
        <v>6000</v>
      </c>
      <c r="N142" s="17" t="s">
        <v>225</v>
      </c>
      <c r="O142" s="120"/>
    </row>
    <row r="143" ht="16" customHeight="1" spans="1:15">
      <c r="A143" s="118" t="s">
        <v>26</v>
      </c>
      <c r="B143" s="65">
        <v>17</v>
      </c>
      <c r="C143" s="65" t="s">
        <v>171</v>
      </c>
      <c r="D143" s="65" t="s">
        <v>96</v>
      </c>
      <c r="E143" s="119" t="s">
        <v>97</v>
      </c>
      <c r="F143" s="65" t="s">
        <v>193</v>
      </c>
      <c r="G143" s="65" t="s">
        <v>226</v>
      </c>
      <c r="H143" s="65" t="s">
        <v>227</v>
      </c>
      <c r="I143" s="65" t="s">
        <v>201</v>
      </c>
      <c r="J143" s="65" t="s">
        <v>181</v>
      </c>
      <c r="K143" s="117"/>
      <c r="L143" s="117">
        <v>6000</v>
      </c>
      <c r="M143" s="117">
        <v>6000</v>
      </c>
      <c r="N143" s="17" t="s">
        <v>228</v>
      </c>
      <c r="O143" s="120"/>
    </row>
    <row r="144" ht="31" customHeight="1" spans="1:15">
      <c r="A144" s="122" t="s">
        <v>26</v>
      </c>
      <c r="B144" s="123">
        <v>18</v>
      </c>
      <c r="C144" s="123" t="s">
        <v>171</v>
      </c>
      <c r="D144" s="123" t="s">
        <v>68</v>
      </c>
      <c r="E144" s="124" t="s">
        <v>69</v>
      </c>
      <c r="F144" s="123" t="s">
        <v>193</v>
      </c>
      <c r="G144" s="123" t="s">
        <v>208</v>
      </c>
      <c r="H144" s="123" t="s">
        <v>191</v>
      </c>
      <c r="I144" s="123" t="s">
        <v>188</v>
      </c>
      <c r="J144" s="123" t="s">
        <v>181</v>
      </c>
      <c r="K144" s="125"/>
      <c r="L144" s="125">
        <v>4800</v>
      </c>
      <c r="M144" s="125">
        <v>4800</v>
      </c>
      <c r="N144" s="126" t="s">
        <v>209</v>
      </c>
      <c r="O144" s="127"/>
    </row>
    <row r="145" ht="31" customHeight="1" spans="1:15">
      <c r="A145" s="118" t="s">
        <v>26</v>
      </c>
      <c r="B145" s="65">
        <v>19</v>
      </c>
      <c r="C145" s="65" t="s">
        <v>171</v>
      </c>
      <c r="D145" s="65" t="s">
        <v>66</v>
      </c>
      <c r="E145" s="119" t="s">
        <v>67</v>
      </c>
      <c r="F145" s="65" t="s">
        <v>193</v>
      </c>
      <c r="G145" s="65" t="s">
        <v>208</v>
      </c>
      <c r="H145" s="65" t="s">
        <v>200</v>
      </c>
      <c r="I145" s="65" t="s">
        <v>188</v>
      </c>
      <c r="J145" s="65" t="s">
        <v>180</v>
      </c>
      <c r="K145" s="117">
        <v>684</v>
      </c>
      <c r="L145" s="117"/>
      <c r="M145" s="117">
        <v>684</v>
      </c>
      <c r="N145" s="17" t="s">
        <v>229</v>
      </c>
      <c r="O145" s="120" t="s">
        <v>190</v>
      </c>
    </row>
    <row r="146" ht="31" customHeight="1" spans="1:15">
      <c r="A146" s="118" t="s">
        <v>26</v>
      </c>
      <c r="B146" s="65">
        <v>20</v>
      </c>
      <c r="C146" s="65" t="s">
        <v>171</v>
      </c>
      <c r="D146" s="65" t="s">
        <v>98</v>
      </c>
      <c r="E146" s="119" t="s">
        <v>98</v>
      </c>
      <c r="F146" s="65" t="s">
        <v>193</v>
      </c>
      <c r="G146" s="65" t="s">
        <v>208</v>
      </c>
      <c r="H146" s="65" t="s">
        <v>187</v>
      </c>
      <c r="I146" s="65" t="s">
        <v>188</v>
      </c>
      <c r="J146" s="65" t="s">
        <v>180</v>
      </c>
      <c r="K146" s="117">
        <v>4800</v>
      </c>
      <c r="L146" s="117"/>
      <c r="M146" s="117">
        <v>4800</v>
      </c>
      <c r="N146" s="17" t="s">
        <v>209</v>
      </c>
      <c r="O146" s="120" t="s">
        <v>230</v>
      </c>
    </row>
    <row r="147" ht="31" customHeight="1" spans="1:15">
      <c r="A147" s="118"/>
      <c r="B147" s="65"/>
      <c r="C147" s="65"/>
      <c r="D147" s="65"/>
      <c r="E147" s="119"/>
      <c r="F147" s="65"/>
      <c r="G147" s="65"/>
      <c r="H147" s="65"/>
      <c r="I147" s="65"/>
      <c r="J147" s="65"/>
      <c r="K147" s="117"/>
      <c r="L147" s="117"/>
      <c r="M147" s="117"/>
      <c r="N147" s="17"/>
      <c r="O147" s="120"/>
    </row>
    <row r="148" spans="1:15">
      <c r="A148" s="135" t="s">
        <v>231</v>
      </c>
      <c r="B148" s="136"/>
      <c r="C148" s="136"/>
      <c r="D148" s="136"/>
      <c r="E148" s="136"/>
      <c r="F148" s="136"/>
      <c r="G148" s="136"/>
      <c r="H148" s="136"/>
      <c r="I148" s="136"/>
      <c r="J148" s="137"/>
      <c r="K148" s="117">
        <f>SUM(K127:K147)</f>
        <v>6268</v>
      </c>
      <c r="L148" s="117">
        <f>SUM(L127:L147)</f>
        <v>154656</v>
      </c>
      <c r="M148" s="117">
        <f>SUM(M127:M147)</f>
        <v>160924</v>
      </c>
      <c r="N148" s="129"/>
      <c r="O148" s="130"/>
    </row>
    <row r="149" spans="1:15">
      <c r="A149" s="134" t="s">
        <v>304</v>
      </c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3"/>
    </row>
    <row r="150" ht="16" customHeight="1" spans="1:15">
      <c r="A150" s="118" t="s">
        <v>53</v>
      </c>
      <c r="B150" s="65" t="s">
        <v>54</v>
      </c>
      <c r="C150" s="65" t="s">
        <v>174</v>
      </c>
      <c r="D150" s="65" t="s">
        <v>55</v>
      </c>
      <c r="E150" s="119" t="s">
        <v>56</v>
      </c>
      <c r="F150" s="65" t="s">
        <v>175</v>
      </c>
      <c r="G150" s="65" t="s">
        <v>176</v>
      </c>
      <c r="H150" s="65" t="s">
        <v>177</v>
      </c>
      <c r="I150" s="65" t="s">
        <v>178</v>
      </c>
      <c r="J150" s="65" t="s">
        <v>179</v>
      </c>
      <c r="K150" s="117" t="s">
        <v>180</v>
      </c>
      <c r="L150" s="117" t="s">
        <v>181</v>
      </c>
      <c r="M150" s="117" t="s">
        <v>182</v>
      </c>
      <c r="N150" s="17" t="s">
        <v>183</v>
      </c>
      <c r="O150" s="129" t="s">
        <v>184</v>
      </c>
    </row>
    <row r="151" ht="31" customHeight="1" spans="1:15">
      <c r="A151" s="118" t="s">
        <v>27</v>
      </c>
      <c r="B151" s="65">
        <v>1</v>
      </c>
      <c r="C151" s="65" t="s">
        <v>171</v>
      </c>
      <c r="D151" s="65" t="s">
        <v>66</v>
      </c>
      <c r="E151" s="119" t="s">
        <v>67</v>
      </c>
      <c r="F151" s="65" t="s">
        <v>233</v>
      </c>
      <c r="G151" s="65" t="s">
        <v>208</v>
      </c>
      <c r="H151" s="65" t="s">
        <v>187</v>
      </c>
      <c r="I151" s="65" t="s">
        <v>188</v>
      </c>
      <c r="J151" s="65" t="s">
        <v>180</v>
      </c>
      <c r="K151" s="117">
        <v>684</v>
      </c>
      <c r="L151" s="117"/>
      <c r="M151" s="117">
        <v>684</v>
      </c>
      <c r="N151" s="17" t="s">
        <v>229</v>
      </c>
      <c r="O151" s="120" t="s">
        <v>190</v>
      </c>
    </row>
    <row r="152" ht="31" customHeight="1" spans="1:15">
      <c r="A152" s="118" t="s">
        <v>27</v>
      </c>
      <c r="B152" s="65">
        <v>2</v>
      </c>
      <c r="C152" s="65" t="s">
        <v>171</v>
      </c>
      <c r="D152" s="65" t="s">
        <v>68</v>
      </c>
      <c r="E152" s="119" t="s">
        <v>69</v>
      </c>
      <c r="F152" s="65" t="s">
        <v>233</v>
      </c>
      <c r="G152" s="65" t="s">
        <v>208</v>
      </c>
      <c r="H152" s="65" t="s">
        <v>191</v>
      </c>
      <c r="I152" s="65" t="s">
        <v>188</v>
      </c>
      <c r="J152" s="65" t="s">
        <v>181</v>
      </c>
      <c r="K152" s="117"/>
      <c r="L152" s="117">
        <v>4800</v>
      </c>
      <c r="M152" s="117">
        <v>4800</v>
      </c>
      <c r="N152" s="17" t="s">
        <v>209</v>
      </c>
      <c r="O152" s="120"/>
    </row>
    <row r="153" ht="46" customHeight="1" spans="1:15">
      <c r="A153" s="118" t="s">
        <v>27</v>
      </c>
      <c r="B153" s="65">
        <v>3</v>
      </c>
      <c r="C153" s="65" t="s">
        <v>171</v>
      </c>
      <c r="D153" s="65" t="s">
        <v>101</v>
      </c>
      <c r="E153" s="119" t="s">
        <v>102</v>
      </c>
      <c r="F153" s="65" t="s">
        <v>233</v>
      </c>
      <c r="G153" s="65" t="s">
        <v>234</v>
      </c>
      <c r="H153" s="65" t="s">
        <v>227</v>
      </c>
      <c r="I153" s="65" t="s">
        <v>188</v>
      </c>
      <c r="J153" s="65" t="s">
        <v>181</v>
      </c>
      <c r="K153" s="117"/>
      <c r="L153" s="117">
        <v>7150</v>
      </c>
      <c r="M153" s="117">
        <v>7150</v>
      </c>
      <c r="N153" s="17" t="s">
        <v>235</v>
      </c>
      <c r="O153" s="120" t="s">
        <v>236</v>
      </c>
    </row>
    <row r="154" ht="31" customHeight="1" spans="1:15">
      <c r="A154" s="118" t="s">
        <v>27</v>
      </c>
      <c r="B154" s="65">
        <v>4</v>
      </c>
      <c r="C154" s="65" t="s">
        <v>171</v>
      </c>
      <c r="D154" s="65" t="s">
        <v>104</v>
      </c>
      <c r="E154" s="119" t="s">
        <v>105</v>
      </c>
      <c r="F154" s="65" t="s">
        <v>233</v>
      </c>
      <c r="G154" s="65" t="s">
        <v>208</v>
      </c>
      <c r="H154" s="65" t="s">
        <v>187</v>
      </c>
      <c r="I154" s="65" t="s">
        <v>188</v>
      </c>
      <c r="J154" s="65" t="s">
        <v>181</v>
      </c>
      <c r="K154" s="117"/>
      <c r="L154" s="117">
        <v>19000</v>
      </c>
      <c r="M154" s="117">
        <v>19000</v>
      </c>
      <c r="N154" s="17" t="s">
        <v>237</v>
      </c>
      <c r="O154" s="120" t="s">
        <v>238</v>
      </c>
    </row>
    <row r="155" ht="31" customHeight="1" spans="1:15">
      <c r="A155" s="118" t="s">
        <v>27</v>
      </c>
      <c r="B155" s="65">
        <v>5</v>
      </c>
      <c r="C155" s="65" t="s">
        <v>171</v>
      </c>
      <c r="D155" s="65" t="s">
        <v>68</v>
      </c>
      <c r="E155" s="119" t="s">
        <v>69</v>
      </c>
      <c r="F155" s="65" t="s">
        <v>233</v>
      </c>
      <c r="G155" s="65" t="s">
        <v>208</v>
      </c>
      <c r="H155" s="65" t="s">
        <v>191</v>
      </c>
      <c r="I155" s="65" t="s">
        <v>188</v>
      </c>
      <c r="J155" s="65" t="s">
        <v>181</v>
      </c>
      <c r="K155" s="117"/>
      <c r="L155" s="117">
        <v>4800</v>
      </c>
      <c r="M155" s="117">
        <v>4800</v>
      </c>
      <c r="N155" s="17" t="s">
        <v>209</v>
      </c>
      <c r="O155" s="120"/>
    </row>
    <row r="156" ht="31" customHeight="1" spans="1:15">
      <c r="A156" s="118" t="s">
        <v>27</v>
      </c>
      <c r="B156" s="65">
        <v>6</v>
      </c>
      <c r="C156" s="65" t="s">
        <v>171</v>
      </c>
      <c r="D156" s="65" t="s">
        <v>66</v>
      </c>
      <c r="E156" s="119" t="s">
        <v>67</v>
      </c>
      <c r="F156" s="65" t="s">
        <v>233</v>
      </c>
      <c r="G156" s="65" t="s">
        <v>208</v>
      </c>
      <c r="H156" s="65" t="s">
        <v>200</v>
      </c>
      <c r="I156" s="65" t="s">
        <v>188</v>
      </c>
      <c r="J156" s="65" t="s">
        <v>180</v>
      </c>
      <c r="K156" s="117">
        <v>684</v>
      </c>
      <c r="L156" s="117"/>
      <c r="M156" s="117">
        <v>684</v>
      </c>
      <c r="N156" s="17" t="s">
        <v>229</v>
      </c>
      <c r="O156" s="120" t="s">
        <v>190</v>
      </c>
    </row>
    <row r="157" ht="31" customHeight="1" spans="1:15">
      <c r="A157" s="118" t="s">
        <v>27</v>
      </c>
      <c r="B157" s="65">
        <v>7</v>
      </c>
      <c r="C157" s="65" t="s">
        <v>171</v>
      </c>
      <c r="D157" s="65" t="s">
        <v>98</v>
      </c>
      <c r="E157" s="119" t="s">
        <v>98</v>
      </c>
      <c r="F157" s="65" t="s">
        <v>233</v>
      </c>
      <c r="G157" s="65" t="s">
        <v>208</v>
      </c>
      <c r="H157" s="65" t="s">
        <v>187</v>
      </c>
      <c r="I157" s="65" t="s">
        <v>188</v>
      </c>
      <c r="J157" s="65" t="s">
        <v>180</v>
      </c>
      <c r="K157" s="117">
        <v>4800</v>
      </c>
      <c r="L157" s="117"/>
      <c r="M157" s="117">
        <v>4800</v>
      </c>
      <c r="N157" s="17" t="s">
        <v>209</v>
      </c>
      <c r="O157" s="120" t="s">
        <v>230</v>
      </c>
    </row>
    <row r="158" spans="1:15">
      <c r="A158" s="135" t="s">
        <v>239</v>
      </c>
      <c r="B158" s="136"/>
      <c r="C158" s="136"/>
      <c r="D158" s="136"/>
      <c r="E158" s="136"/>
      <c r="F158" s="136"/>
      <c r="G158" s="136"/>
      <c r="H158" s="136"/>
      <c r="I158" s="136"/>
      <c r="J158" s="137"/>
      <c r="K158" s="117">
        <f>SUM(K151:K157)</f>
        <v>6168</v>
      </c>
      <c r="L158" s="117">
        <f>SUM(L151:L157)</f>
        <v>35750</v>
      </c>
      <c r="M158" s="117">
        <f>SUM(M151:M157)</f>
        <v>41918</v>
      </c>
      <c r="N158" s="129"/>
      <c r="O158" s="130"/>
    </row>
    <row r="159" spans="1:15">
      <c r="A159" s="134" t="s">
        <v>305</v>
      </c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3"/>
    </row>
    <row r="160" ht="16" customHeight="1" spans="1:15">
      <c r="A160" s="118" t="s">
        <v>53</v>
      </c>
      <c r="B160" s="65" t="s">
        <v>54</v>
      </c>
      <c r="C160" s="65" t="s">
        <v>174</v>
      </c>
      <c r="D160" s="65" t="s">
        <v>55</v>
      </c>
      <c r="E160" s="119" t="s">
        <v>56</v>
      </c>
      <c r="F160" s="65" t="s">
        <v>175</v>
      </c>
      <c r="G160" s="65" t="s">
        <v>176</v>
      </c>
      <c r="H160" s="65" t="s">
        <v>177</v>
      </c>
      <c r="I160" s="65" t="s">
        <v>178</v>
      </c>
      <c r="J160" s="65" t="s">
        <v>179</v>
      </c>
      <c r="K160" s="117" t="s">
        <v>180</v>
      </c>
      <c r="L160" s="117" t="s">
        <v>181</v>
      </c>
      <c r="M160" s="117" t="s">
        <v>182</v>
      </c>
      <c r="N160" s="17" t="s">
        <v>183</v>
      </c>
      <c r="O160" s="129" t="s">
        <v>184</v>
      </c>
    </row>
    <row r="161" ht="31" customHeight="1" spans="1:15">
      <c r="A161" s="118" t="s">
        <v>30</v>
      </c>
      <c r="B161" s="65">
        <v>1</v>
      </c>
      <c r="C161" s="65" t="s">
        <v>171</v>
      </c>
      <c r="D161" s="65" t="s">
        <v>66</v>
      </c>
      <c r="E161" s="119" t="s">
        <v>67</v>
      </c>
      <c r="F161" s="65" t="s">
        <v>241</v>
      </c>
      <c r="G161" s="65" t="s">
        <v>242</v>
      </c>
      <c r="H161" s="65" t="s">
        <v>187</v>
      </c>
      <c r="I161" s="65" t="s">
        <v>188</v>
      </c>
      <c r="J161" s="65" t="s">
        <v>180</v>
      </c>
      <c r="K161" s="117">
        <v>384</v>
      </c>
      <c r="L161" s="117"/>
      <c r="M161" s="117">
        <v>384</v>
      </c>
      <c r="N161" s="17" t="s">
        <v>243</v>
      </c>
      <c r="O161" s="120" t="s">
        <v>190</v>
      </c>
    </row>
    <row r="162" ht="31" customHeight="1" spans="1:15">
      <c r="A162" s="118" t="s">
        <v>30</v>
      </c>
      <c r="B162" s="65">
        <v>2</v>
      </c>
      <c r="C162" s="65" t="s">
        <v>171</v>
      </c>
      <c r="D162" s="65" t="s">
        <v>68</v>
      </c>
      <c r="E162" s="119" t="s">
        <v>69</v>
      </c>
      <c r="F162" s="65" t="s">
        <v>241</v>
      </c>
      <c r="G162" s="65" t="s">
        <v>242</v>
      </c>
      <c r="H162" s="65" t="s">
        <v>191</v>
      </c>
      <c r="I162" s="65" t="s">
        <v>188</v>
      </c>
      <c r="J162" s="65" t="s">
        <v>181</v>
      </c>
      <c r="K162" s="117"/>
      <c r="L162" s="117">
        <v>2400</v>
      </c>
      <c r="M162" s="117">
        <v>2400</v>
      </c>
      <c r="N162" s="17" t="s">
        <v>244</v>
      </c>
      <c r="O162" s="120"/>
    </row>
    <row r="163" ht="16" customHeight="1" spans="1:15">
      <c r="A163" s="118" t="s">
        <v>30</v>
      </c>
      <c r="B163" s="65">
        <v>3</v>
      </c>
      <c r="C163" s="65" t="s">
        <v>171</v>
      </c>
      <c r="D163" s="65" t="s">
        <v>82</v>
      </c>
      <c r="E163" s="119" t="s">
        <v>83</v>
      </c>
      <c r="F163" s="65" t="s">
        <v>241</v>
      </c>
      <c r="G163" s="65" t="s">
        <v>206</v>
      </c>
      <c r="H163" s="65" t="s">
        <v>206</v>
      </c>
      <c r="I163" s="65" t="s">
        <v>195</v>
      </c>
      <c r="J163" s="65" t="s">
        <v>181</v>
      </c>
      <c r="K163" s="117"/>
      <c r="L163" s="117">
        <v>30500</v>
      </c>
      <c r="M163" s="117">
        <v>30500</v>
      </c>
      <c r="N163" s="17" t="s">
        <v>207</v>
      </c>
      <c r="O163" s="120"/>
    </row>
    <row r="164" ht="31" customHeight="1" spans="1:15">
      <c r="A164" s="118" t="s">
        <v>30</v>
      </c>
      <c r="B164" s="65">
        <v>4</v>
      </c>
      <c r="C164" s="65" t="s">
        <v>171</v>
      </c>
      <c r="D164" s="65" t="s">
        <v>84</v>
      </c>
      <c r="E164" s="119" t="s">
        <v>85</v>
      </c>
      <c r="F164" s="65" t="s">
        <v>241</v>
      </c>
      <c r="G164" s="65" t="s">
        <v>194</v>
      </c>
      <c r="H164" s="65" t="s">
        <v>194</v>
      </c>
      <c r="I164" s="65" t="s">
        <v>195</v>
      </c>
      <c r="J164" s="65" t="s">
        <v>181</v>
      </c>
      <c r="K164" s="117"/>
      <c r="L164" s="117">
        <v>12000</v>
      </c>
      <c r="M164" s="117">
        <v>12000</v>
      </c>
      <c r="N164" s="17" t="s">
        <v>245</v>
      </c>
      <c r="O164" s="120"/>
    </row>
    <row r="165" ht="16" customHeight="1" spans="1:15">
      <c r="A165" s="118" t="s">
        <v>30</v>
      </c>
      <c r="B165" s="65">
        <v>5</v>
      </c>
      <c r="C165" s="65" t="s">
        <v>171</v>
      </c>
      <c r="D165" s="65" t="s">
        <v>96</v>
      </c>
      <c r="E165" s="119" t="s">
        <v>97</v>
      </c>
      <c r="F165" s="65" t="s">
        <v>241</v>
      </c>
      <c r="G165" s="65" t="s">
        <v>246</v>
      </c>
      <c r="H165" s="65" t="s">
        <v>200</v>
      </c>
      <c r="I165" s="65" t="s">
        <v>201</v>
      </c>
      <c r="J165" s="65" t="s">
        <v>181</v>
      </c>
      <c r="K165" s="117"/>
      <c r="L165" s="117">
        <v>3000</v>
      </c>
      <c r="M165" s="117">
        <v>3000</v>
      </c>
      <c r="N165" s="17" t="s">
        <v>247</v>
      </c>
      <c r="O165" s="120"/>
    </row>
    <row r="166" ht="16" customHeight="1" spans="1:15">
      <c r="A166" s="118" t="s">
        <v>30</v>
      </c>
      <c r="B166" s="65">
        <v>6</v>
      </c>
      <c r="C166" s="65" t="s">
        <v>171</v>
      </c>
      <c r="D166" s="65" t="s">
        <v>109</v>
      </c>
      <c r="E166" s="119" t="s">
        <v>110</v>
      </c>
      <c r="F166" s="65" t="s">
        <v>241</v>
      </c>
      <c r="G166" s="65" t="s">
        <v>248</v>
      </c>
      <c r="H166" s="65" t="s">
        <v>248</v>
      </c>
      <c r="I166" s="65" t="s">
        <v>195</v>
      </c>
      <c r="J166" s="65" t="s">
        <v>181</v>
      </c>
      <c r="K166" s="117"/>
      <c r="L166" s="117">
        <v>7158</v>
      </c>
      <c r="M166" s="117">
        <v>7158</v>
      </c>
      <c r="N166" s="17" t="s">
        <v>249</v>
      </c>
      <c r="O166" s="120" t="s">
        <v>249</v>
      </c>
    </row>
    <row r="167" ht="31" customHeight="1" spans="1:15">
      <c r="A167" s="122" t="s">
        <v>30</v>
      </c>
      <c r="B167" s="123">
        <v>7</v>
      </c>
      <c r="C167" s="123" t="s">
        <v>171</v>
      </c>
      <c r="D167" s="123" t="s">
        <v>68</v>
      </c>
      <c r="E167" s="124" t="s">
        <v>69</v>
      </c>
      <c r="F167" s="123" t="s">
        <v>241</v>
      </c>
      <c r="G167" s="123" t="s">
        <v>242</v>
      </c>
      <c r="H167" s="123" t="s">
        <v>200</v>
      </c>
      <c r="I167" s="123" t="s">
        <v>188</v>
      </c>
      <c r="J167" s="123" t="s">
        <v>181</v>
      </c>
      <c r="K167" s="125"/>
      <c r="L167" s="125">
        <v>2400</v>
      </c>
      <c r="M167" s="125">
        <v>2400</v>
      </c>
      <c r="N167" s="126" t="s">
        <v>244</v>
      </c>
      <c r="O167" s="127"/>
    </row>
    <row r="168" ht="46" customHeight="1" spans="1:15">
      <c r="A168" s="118" t="s">
        <v>30</v>
      </c>
      <c r="B168" s="65">
        <v>8</v>
      </c>
      <c r="C168" s="65" t="s">
        <v>171</v>
      </c>
      <c r="D168" s="65" t="s">
        <v>66</v>
      </c>
      <c r="E168" s="119" t="s">
        <v>67</v>
      </c>
      <c r="F168" s="65" t="s">
        <v>241</v>
      </c>
      <c r="G168" s="65" t="s">
        <v>242</v>
      </c>
      <c r="H168" s="65" t="s">
        <v>194</v>
      </c>
      <c r="I168" s="65" t="s">
        <v>188</v>
      </c>
      <c r="J168" s="65" t="s">
        <v>180</v>
      </c>
      <c r="K168" s="117">
        <v>384</v>
      </c>
      <c r="L168" s="117"/>
      <c r="M168" s="117">
        <v>384</v>
      </c>
      <c r="N168" s="17" t="s">
        <v>243</v>
      </c>
      <c r="O168" s="120" t="s">
        <v>190</v>
      </c>
    </row>
    <row r="169" ht="31" customHeight="1" spans="1:15">
      <c r="A169" s="118" t="s">
        <v>30</v>
      </c>
      <c r="B169" s="65">
        <v>9</v>
      </c>
      <c r="C169" s="65" t="s">
        <v>171</v>
      </c>
      <c r="D169" s="65" t="s">
        <v>98</v>
      </c>
      <c r="E169" s="119" t="s">
        <v>98</v>
      </c>
      <c r="F169" s="65" t="s">
        <v>241</v>
      </c>
      <c r="G169" s="65" t="s">
        <v>242</v>
      </c>
      <c r="H169" s="65" t="s">
        <v>191</v>
      </c>
      <c r="I169" s="65" t="s">
        <v>188</v>
      </c>
      <c r="J169" s="65" t="s">
        <v>180</v>
      </c>
      <c r="K169" s="117">
        <v>2400</v>
      </c>
      <c r="L169" s="117"/>
      <c r="M169" s="117">
        <v>2400</v>
      </c>
      <c r="N169" s="17" t="s">
        <v>244</v>
      </c>
      <c r="O169" s="120" t="s">
        <v>230</v>
      </c>
    </row>
    <row r="170" ht="31" customHeight="1" spans="1:15">
      <c r="A170" s="118"/>
      <c r="B170" s="65"/>
      <c r="C170" s="65"/>
      <c r="D170" s="65"/>
      <c r="E170" s="119"/>
      <c r="F170" s="65"/>
      <c r="G170" s="65"/>
      <c r="H170" s="65"/>
      <c r="I170" s="65"/>
      <c r="J170" s="65"/>
      <c r="K170" s="117"/>
      <c r="L170" s="117"/>
      <c r="M170" s="117"/>
      <c r="N170" s="17"/>
      <c r="O170" s="120"/>
    </row>
    <row r="171" ht="31" customHeight="1" spans="1:15">
      <c r="A171" s="118"/>
      <c r="B171" s="65"/>
      <c r="C171" s="65"/>
      <c r="D171" s="65"/>
      <c r="E171" s="119"/>
      <c r="F171" s="65"/>
      <c r="G171" s="65"/>
      <c r="H171" s="65"/>
      <c r="I171" s="65"/>
      <c r="J171" s="65"/>
      <c r="K171" s="117"/>
      <c r="L171" s="117"/>
      <c r="M171" s="117"/>
      <c r="N171" s="17"/>
      <c r="O171" s="120"/>
    </row>
    <row r="172" spans="1:15">
      <c r="A172" s="135" t="s">
        <v>250</v>
      </c>
      <c r="B172" s="136"/>
      <c r="C172" s="136"/>
      <c r="D172" s="136"/>
      <c r="E172" s="136"/>
      <c r="F172" s="136"/>
      <c r="G172" s="136"/>
      <c r="H172" s="136"/>
      <c r="I172" s="136"/>
      <c r="J172" s="137"/>
      <c r="K172" s="117">
        <f>SUM(K161:K171)</f>
        <v>3168</v>
      </c>
      <c r="L172" s="117">
        <f>SUM(L161:L171)</f>
        <v>57458</v>
      </c>
      <c r="M172" s="117">
        <f>SUM(M161:M171)</f>
        <v>60626</v>
      </c>
      <c r="N172" s="129"/>
      <c r="O172" s="130"/>
    </row>
    <row r="173" spans="1:15">
      <c r="A173" s="134" t="s">
        <v>306</v>
      </c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3"/>
    </row>
    <row r="174" ht="16" customHeight="1" spans="1:15">
      <c r="A174" s="118" t="s">
        <v>53</v>
      </c>
      <c r="B174" s="65" t="s">
        <v>54</v>
      </c>
      <c r="C174" s="65" t="s">
        <v>174</v>
      </c>
      <c r="D174" s="65" t="s">
        <v>55</v>
      </c>
      <c r="E174" s="119" t="s">
        <v>56</v>
      </c>
      <c r="F174" s="65" t="s">
        <v>175</v>
      </c>
      <c r="G174" s="65" t="s">
        <v>176</v>
      </c>
      <c r="H174" s="65" t="s">
        <v>177</v>
      </c>
      <c r="I174" s="65" t="s">
        <v>178</v>
      </c>
      <c r="J174" s="65" t="s">
        <v>179</v>
      </c>
      <c r="K174" s="117" t="s">
        <v>180</v>
      </c>
      <c r="L174" s="117" t="s">
        <v>181</v>
      </c>
      <c r="M174" s="117" t="s">
        <v>182</v>
      </c>
      <c r="N174" s="17" t="s">
        <v>183</v>
      </c>
      <c r="O174" s="129" t="s">
        <v>184</v>
      </c>
    </row>
    <row r="175" ht="31" customHeight="1" spans="1:15">
      <c r="A175" s="118" t="s">
        <v>31</v>
      </c>
      <c r="B175" s="65">
        <v>1</v>
      </c>
      <c r="C175" s="65" t="s">
        <v>171</v>
      </c>
      <c r="D175" s="65" t="s">
        <v>66</v>
      </c>
      <c r="E175" s="119" t="s">
        <v>67</v>
      </c>
      <c r="F175" s="65" t="s">
        <v>252</v>
      </c>
      <c r="G175" s="65" t="s">
        <v>242</v>
      </c>
      <c r="H175" s="65" t="s">
        <v>187</v>
      </c>
      <c r="I175" s="65" t="s">
        <v>188</v>
      </c>
      <c r="J175" s="65" t="s">
        <v>180</v>
      </c>
      <c r="K175" s="117">
        <v>384</v>
      </c>
      <c r="L175" s="117"/>
      <c r="M175" s="117">
        <v>384</v>
      </c>
      <c r="N175" s="17" t="s">
        <v>243</v>
      </c>
      <c r="O175" s="120" t="s">
        <v>190</v>
      </c>
    </row>
    <row r="176" ht="31" customHeight="1" spans="1:15">
      <c r="A176" s="118" t="s">
        <v>31</v>
      </c>
      <c r="B176" s="65">
        <v>2</v>
      </c>
      <c r="C176" s="65" t="s">
        <v>171</v>
      </c>
      <c r="D176" s="65" t="s">
        <v>68</v>
      </c>
      <c r="E176" s="119" t="s">
        <v>69</v>
      </c>
      <c r="F176" s="65" t="s">
        <v>252</v>
      </c>
      <c r="G176" s="65" t="s">
        <v>242</v>
      </c>
      <c r="H176" s="65" t="s">
        <v>191</v>
      </c>
      <c r="I176" s="65" t="s">
        <v>188</v>
      </c>
      <c r="J176" s="65" t="s">
        <v>181</v>
      </c>
      <c r="K176" s="117"/>
      <c r="L176" s="117">
        <v>2400</v>
      </c>
      <c r="M176" s="117">
        <v>2400</v>
      </c>
      <c r="N176" s="17" t="s">
        <v>244</v>
      </c>
      <c r="O176" s="120"/>
    </row>
    <row r="177" ht="16" customHeight="1" spans="1:15">
      <c r="A177" s="118" t="s">
        <v>31</v>
      </c>
      <c r="B177" s="65">
        <v>3</v>
      </c>
      <c r="C177" s="65" t="s">
        <v>171</v>
      </c>
      <c r="D177" s="65" t="s">
        <v>112</v>
      </c>
      <c r="E177" s="119" t="s">
        <v>113</v>
      </c>
      <c r="F177" s="65" t="s">
        <v>252</v>
      </c>
      <c r="G177" s="65" t="s">
        <v>253</v>
      </c>
      <c r="H177" s="65" t="s">
        <v>253</v>
      </c>
      <c r="I177" s="65" t="s">
        <v>195</v>
      </c>
      <c r="J177" s="65" t="s">
        <v>181</v>
      </c>
      <c r="K177" s="117"/>
      <c r="L177" s="117">
        <v>120000</v>
      </c>
      <c r="M177" s="117">
        <v>120000</v>
      </c>
      <c r="N177" s="17" t="s">
        <v>254</v>
      </c>
      <c r="O177" s="120" t="s">
        <v>255</v>
      </c>
    </row>
    <row r="178" ht="31" customHeight="1" spans="1:15">
      <c r="A178" s="118" t="s">
        <v>31</v>
      </c>
      <c r="B178" s="65">
        <v>4</v>
      </c>
      <c r="C178" s="65" t="s">
        <v>171</v>
      </c>
      <c r="D178" s="65" t="s">
        <v>68</v>
      </c>
      <c r="E178" s="119" t="s">
        <v>69</v>
      </c>
      <c r="F178" s="65" t="s">
        <v>252</v>
      </c>
      <c r="G178" s="65" t="s">
        <v>242</v>
      </c>
      <c r="H178" s="65" t="s">
        <v>200</v>
      </c>
      <c r="I178" s="65" t="s">
        <v>188</v>
      </c>
      <c r="J178" s="65" t="s">
        <v>181</v>
      </c>
      <c r="K178" s="117"/>
      <c r="L178" s="117">
        <v>2400</v>
      </c>
      <c r="M178" s="117">
        <v>2400</v>
      </c>
      <c r="N178" s="17" t="s">
        <v>244</v>
      </c>
      <c r="O178" s="120"/>
    </row>
    <row r="179" ht="31" customHeight="1" spans="1:15">
      <c r="A179" s="118" t="s">
        <v>31</v>
      </c>
      <c r="B179" s="65">
        <v>5</v>
      </c>
      <c r="C179" s="65" t="s">
        <v>171</v>
      </c>
      <c r="D179" s="65" t="s">
        <v>66</v>
      </c>
      <c r="E179" s="119" t="s">
        <v>67</v>
      </c>
      <c r="F179" s="65" t="s">
        <v>252</v>
      </c>
      <c r="G179" s="65" t="s">
        <v>242</v>
      </c>
      <c r="H179" s="65" t="s">
        <v>194</v>
      </c>
      <c r="I179" s="65" t="s">
        <v>188</v>
      </c>
      <c r="J179" s="65" t="s">
        <v>180</v>
      </c>
      <c r="K179" s="117">
        <v>384</v>
      </c>
      <c r="L179" s="117"/>
      <c r="M179" s="117">
        <v>384</v>
      </c>
      <c r="N179" s="17" t="s">
        <v>243</v>
      </c>
      <c r="O179" s="120" t="s">
        <v>190</v>
      </c>
    </row>
    <row r="180" ht="31" customHeight="1" spans="1:15">
      <c r="A180" s="118" t="s">
        <v>31</v>
      </c>
      <c r="B180" s="65">
        <v>6</v>
      </c>
      <c r="C180" s="65" t="s">
        <v>171</v>
      </c>
      <c r="D180" s="65" t="s">
        <v>98</v>
      </c>
      <c r="E180" s="119" t="s">
        <v>98</v>
      </c>
      <c r="F180" s="65" t="s">
        <v>252</v>
      </c>
      <c r="G180" s="65" t="s">
        <v>242</v>
      </c>
      <c r="H180" s="65" t="s">
        <v>191</v>
      </c>
      <c r="I180" s="65" t="s">
        <v>188</v>
      </c>
      <c r="J180" s="65" t="s">
        <v>180</v>
      </c>
      <c r="K180" s="117">
        <v>2400</v>
      </c>
      <c r="L180" s="117"/>
      <c r="M180" s="117">
        <v>2400</v>
      </c>
      <c r="N180" s="17" t="s">
        <v>244</v>
      </c>
      <c r="O180" s="120" t="s">
        <v>230</v>
      </c>
    </row>
    <row r="181" spans="1:15">
      <c r="A181" s="135" t="s">
        <v>256</v>
      </c>
      <c r="B181" s="136"/>
      <c r="C181" s="136"/>
      <c r="D181" s="136"/>
      <c r="E181" s="136"/>
      <c r="F181" s="136"/>
      <c r="G181" s="136"/>
      <c r="H181" s="136"/>
      <c r="I181" s="136"/>
      <c r="J181" s="137"/>
      <c r="K181" s="117">
        <f>SUM(K175:K180)</f>
        <v>3168</v>
      </c>
      <c r="L181" s="117">
        <f>SUM(L175:L180)</f>
        <v>124800</v>
      </c>
      <c r="M181" s="117">
        <f>SUM(M175:M180)</f>
        <v>127968</v>
      </c>
      <c r="N181" s="129"/>
      <c r="O181" s="130"/>
    </row>
    <row r="182" spans="1:15">
      <c r="A182" s="134" t="s">
        <v>307</v>
      </c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3"/>
    </row>
    <row r="183" ht="16" customHeight="1" spans="1:15">
      <c r="A183" s="118" t="s">
        <v>53</v>
      </c>
      <c r="B183" s="65" t="s">
        <v>54</v>
      </c>
      <c r="C183" s="65" t="s">
        <v>174</v>
      </c>
      <c r="D183" s="65" t="s">
        <v>55</v>
      </c>
      <c r="E183" s="119" t="s">
        <v>56</v>
      </c>
      <c r="F183" s="65" t="s">
        <v>175</v>
      </c>
      <c r="G183" s="65" t="s">
        <v>176</v>
      </c>
      <c r="H183" s="65" t="s">
        <v>177</v>
      </c>
      <c r="I183" s="65" t="s">
        <v>178</v>
      </c>
      <c r="J183" s="65" t="s">
        <v>179</v>
      </c>
      <c r="K183" s="117" t="s">
        <v>180</v>
      </c>
      <c r="L183" s="117" t="s">
        <v>181</v>
      </c>
      <c r="M183" s="117" t="s">
        <v>182</v>
      </c>
      <c r="N183" s="17" t="s">
        <v>183</v>
      </c>
      <c r="O183" s="129" t="s">
        <v>184</v>
      </c>
    </row>
    <row r="184" ht="31" customHeight="1" spans="1:15">
      <c r="A184" s="118" t="s">
        <v>32</v>
      </c>
      <c r="B184" s="65">
        <v>1</v>
      </c>
      <c r="C184" s="65" t="s">
        <v>171</v>
      </c>
      <c r="D184" s="65" t="s">
        <v>66</v>
      </c>
      <c r="E184" s="119" t="s">
        <v>67</v>
      </c>
      <c r="F184" s="65" t="s">
        <v>258</v>
      </c>
      <c r="G184" s="65" t="s">
        <v>242</v>
      </c>
      <c r="H184" s="65" t="s">
        <v>187</v>
      </c>
      <c r="I184" s="65" t="s">
        <v>188</v>
      </c>
      <c r="J184" s="65" t="s">
        <v>180</v>
      </c>
      <c r="K184" s="117">
        <v>384</v>
      </c>
      <c r="L184" s="117"/>
      <c r="M184" s="117">
        <v>384</v>
      </c>
      <c r="N184" s="17" t="s">
        <v>243</v>
      </c>
      <c r="O184" s="120" t="s">
        <v>190</v>
      </c>
    </row>
    <row r="185" ht="31" customHeight="1" spans="1:15">
      <c r="A185" s="118" t="s">
        <v>32</v>
      </c>
      <c r="B185" s="65">
        <v>2</v>
      </c>
      <c r="C185" s="65" t="s">
        <v>171</v>
      </c>
      <c r="D185" s="65" t="s">
        <v>68</v>
      </c>
      <c r="E185" s="119" t="s">
        <v>69</v>
      </c>
      <c r="F185" s="65" t="s">
        <v>258</v>
      </c>
      <c r="G185" s="65" t="s">
        <v>242</v>
      </c>
      <c r="H185" s="65" t="s">
        <v>191</v>
      </c>
      <c r="I185" s="65" t="s">
        <v>188</v>
      </c>
      <c r="J185" s="65" t="s">
        <v>181</v>
      </c>
      <c r="K185" s="117"/>
      <c r="L185" s="117">
        <v>2400</v>
      </c>
      <c r="M185" s="117">
        <v>2400</v>
      </c>
      <c r="N185" s="17" t="s">
        <v>244</v>
      </c>
      <c r="O185" s="120"/>
    </row>
    <row r="186" ht="16" customHeight="1" spans="1:15">
      <c r="A186" s="118" t="s">
        <v>32</v>
      </c>
      <c r="B186" s="65">
        <v>3</v>
      </c>
      <c r="C186" s="65" t="s">
        <v>171</v>
      </c>
      <c r="D186" s="65" t="s">
        <v>115</v>
      </c>
      <c r="E186" s="119" t="s">
        <v>116</v>
      </c>
      <c r="F186" s="65" t="s">
        <v>258</v>
      </c>
      <c r="G186" s="65" t="s">
        <v>194</v>
      </c>
      <c r="H186" s="65" t="s">
        <v>194</v>
      </c>
      <c r="I186" s="65" t="s">
        <v>195</v>
      </c>
      <c r="J186" s="65" t="s">
        <v>181</v>
      </c>
      <c r="K186" s="117"/>
      <c r="L186" s="117">
        <v>3480</v>
      </c>
      <c r="M186" s="117">
        <v>3480</v>
      </c>
      <c r="N186" s="17" t="s">
        <v>259</v>
      </c>
      <c r="O186" s="120"/>
    </row>
    <row r="187" ht="31" customHeight="1" spans="1:15">
      <c r="A187" s="118" t="s">
        <v>32</v>
      </c>
      <c r="B187" s="65">
        <v>4</v>
      </c>
      <c r="C187" s="65" t="s">
        <v>171</v>
      </c>
      <c r="D187" s="65" t="s">
        <v>68</v>
      </c>
      <c r="E187" s="119" t="s">
        <v>69</v>
      </c>
      <c r="F187" s="65" t="s">
        <v>258</v>
      </c>
      <c r="G187" s="65" t="s">
        <v>242</v>
      </c>
      <c r="H187" s="65" t="s">
        <v>200</v>
      </c>
      <c r="I187" s="65" t="s">
        <v>188</v>
      </c>
      <c r="J187" s="65" t="s">
        <v>181</v>
      </c>
      <c r="K187" s="117"/>
      <c r="L187" s="117">
        <v>2400</v>
      </c>
      <c r="M187" s="117">
        <v>2400</v>
      </c>
      <c r="N187" s="17" t="s">
        <v>244</v>
      </c>
      <c r="O187" s="120"/>
    </row>
    <row r="188" ht="31" customHeight="1" spans="1:15">
      <c r="A188" s="118" t="s">
        <v>32</v>
      </c>
      <c r="B188" s="65">
        <v>5</v>
      </c>
      <c r="C188" s="65" t="s">
        <v>171</v>
      </c>
      <c r="D188" s="65" t="s">
        <v>66</v>
      </c>
      <c r="E188" s="119" t="s">
        <v>67</v>
      </c>
      <c r="F188" s="65" t="s">
        <v>258</v>
      </c>
      <c r="G188" s="65" t="s">
        <v>242</v>
      </c>
      <c r="H188" s="65" t="s">
        <v>194</v>
      </c>
      <c r="I188" s="65" t="s">
        <v>188</v>
      </c>
      <c r="J188" s="65" t="s">
        <v>180</v>
      </c>
      <c r="K188" s="117">
        <v>384</v>
      </c>
      <c r="L188" s="117"/>
      <c r="M188" s="117">
        <v>384</v>
      </c>
      <c r="N188" s="17" t="s">
        <v>243</v>
      </c>
      <c r="O188" s="120" t="s">
        <v>190</v>
      </c>
    </row>
    <row r="189" ht="31" customHeight="1" spans="1:15">
      <c r="A189" s="118" t="s">
        <v>32</v>
      </c>
      <c r="B189" s="65">
        <v>6</v>
      </c>
      <c r="C189" s="65" t="s">
        <v>171</v>
      </c>
      <c r="D189" s="65" t="s">
        <v>98</v>
      </c>
      <c r="E189" s="119" t="s">
        <v>98</v>
      </c>
      <c r="F189" s="65" t="s">
        <v>258</v>
      </c>
      <c r="G189" s="65" t="s">
        <v>242</v>
      </c>
      <c r="H189" s="65" t="s">
        <v>191</v>
      </c>
      <c r="I189" s="65" t="s">
        <v>188</v>
      </c>
      <c r="J189" s="65" t="s">
        <v>180</v>
      </c>
      <c r="K189" s="117">
        <v>2400</v>
      </c>
      <c r="L189" s="117"/>
      <c r="M189" s="117">
        <v>2400</v>
      </c>
      <c r="N189" s="17" t="s">
        <v>244</v>
      </c>
      <c r="O189" s="120" t="s">
        <v>230</v>
      </c>
    </row>
    <row r="190" spans="1:15">
      <c r="A190" s="135" t="s">
        <v>260</v>
      </c>
      <c r="B190" s="136"/>
      <c r="C190" s="136"/>
      <c r="D190" s="136"/>
      <c r="E190" s="136"/>
      <c r="F190" s="136"/>
      <c r="G190" s="136"/>
      <c r="H190" s="136"/>
      <c r="I190" s="136"/>
      <c r="J190" s="137"/>
      <c r="K190" s="117">
        <f>SUM(K184:K189)</f>
        <v>3168</v>
      </c>
      <c r="L190" s="117">
        <f>SUM(L184:L189)</f>
        <v>8280</v>
      </c>
      <c r="M190" s="117">
        <f>SUM(M184:M189)</f>
        <v>11448</v>
      </c>
      <c r="N190" s="129"/>
      <c r="O190" s="130"/>
    </row>
    <row r="191" spans="1:15">
      <c r="A191" s="134" t="s">
        <v>308</v>
      </c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3"/>
    </row>
    <row r="192" ht="16" customHeight="1" spans="1:15">
      <c r="A192" s="118" t="s">
        <v>53</v>
      </c>
      <c r="B192" s="65" t="s">
        <v>54</v>
      </c>
      <c r="C192" s="65" t="s">
        <v>174</v>
      </c>
      <c r="D192" s="65" t="s">
        <v>55</v>
      </c>
      <c r="E192" s="119" t="s">
        <v>56</v>
      </c>
      <c r="F192" s="65" t="s">
        <v>175</v>
      </c>
      <c r="G192" s="65" t="s">
        <v>176</v>
      </c>
      <c r="H192" s="65" t="s">
        <v>177</v>
      </c>
      <c r="I192" s="65" t="s">
        <v>178</v>
      </c>
      <c r="J192" s="65" t="s">
        <v>179</v>
      </c>
      <c r="K192" s="117" t="s">
        <v>180</v>
      </c>
      <c r="L192" s="117" t="s">
        <v>181</v>
      </c>
      <c r="M192" s="117" t="s">
        <v>182</v>
      </c>
      <c r="N192" s="17" t="s">
        <v>183</v>
      </c>
      <c r="O192" s="129" t="s">
        <v>184</v>
      </c>
    </row>
    <row r="193" ht="16" customHeight="1" spans="1:15">
      <c r="A193" s="118" t="s">
        <v>33</v>
      </c>
      <c r="B193" s="65">
        <v>1</v>
      </c>
      <c r="C193" s="65" t="s">
        <v>171</v>
      </c>
      <c r="D193" s="65" t="s">
        <v>68</v>
      </c>
      <c r="E193" s="119" t="s">
        <v>69</v>
      </c>
      <c r="F193" s="65" t="s">
        <v>262</v>
      </c>
      <c r="G193" s="65" t="s">
        <v>263</v>
      </c>
      <c r="H193" s="65" t="s">
        <v>191</v>
      </c>
      <c r="I193" s="65" t="s">
        <v>188</v>
      </c>
      <c r="J193" s="65" t="s">
        <v>181</v>
      </c>
      <c r="K193" s="117"/>
      <c r="L193" s="117">
        <v>3200</v>
      </c>
      <c r="M193" s="117">
        <v>3200</v>
      </c>
      <c r="N193" s="17" t="s">
        <v>264</v>
      </c>
      <c r="O193" s="138"/>
    </row>
    <row r="194" ht="31" customHeight="1" spans="1:15">
      <c r="A194" s="118" t="s">
        <v>33</v>
      </c>
      <c r="B194" s="65">
        <v>2</v>
      </c>
      <c r="C194" s="65" t="s">
        <v>171</v>
      </c>
      <c r="D194" s="65" t="s">
        <v>118</v>
      </c>
      <c r="E194" s="119" t="s">
        <v>119</v>
      </c>
      <c r="F194" s="65" t="s">
        <v>262</v>
      </c>
      <c r="G194" s="65" t="s">
        <v>265</v>
      </c>
      <c r="H194" s="65" t="s">
        <v>265</v>
      </c>
      <c r="I194" s="65" t="s">
        <v>195</v>
      </c>
      <c r="J194" s="65" t="s">
        <v>181</v>
      </c>
      <c r="K194" s="117"/>
      <c r="L194" s="117">
        <v>50850</v>
      </c>
      <c r="M194" s="117">
        <v>50850</v>
      </c>
      <c r="N194" s="17" t="s">
        <v>266</v>
      </c>
      <c r="O194" s="120"/>
    </row>
    <row r="195" ht="16" customHeight="1" spans="1:15">
      <c r="A195" s="118" t="s">
        <v>33</v>
      </c>
      <c r="B195" s="65">
        <v>3</v>
      </c>
      <c r="C195" s="65" t="s">
        <v>171</v>
      </c>
      <c r="D195" s="65" t="s">
        <v>68</v>
      </c>
      <c r="E195" s="119" t="s">
        <v>69</v>
      </c>
      <c r="F195" s="65" t="s">
        <v>262</v>
      </c>
      <c r="G195" s="65" t="s">
        <v>263</v>
      </c>
      <c r="H195" s="65" t="s">
        <v>200</v>
      </c>
      <c r="I195" s="65" t="s">
        <v>188</v>
      </c>
      <c r="J195" s="65" t="s">
        <v>181</v>
      </c>
      <c r="K195" s="117"/>
      <c r="L195" s="117">
        <v>3200</v>
      </c>
      <c r="M195" s="117">
        <v>3200</v>
      </c>
      <c r="N195" s="17" t="s">
        <v>264</v>
      </c>
      <c r="O195" s="120"/>
    </row>
    <row r="196" ht="31" customHeight="1" spans="1:15">
      <c r="A196" s="118" t="s">
        <v>33</v>
      </c>
      <c r="B196" s="65">
        <v>4</v>
      </c>
      <c r="C196" s="65" t="s">
        <v>171</v>
      </c>
      <c r="D196" s="65" t="s">
        <v>98</v>
      </c>
      <c r="E196" s="119" t="s">
        <v>98</v>
      </c>
      <c r="F196" s="65" t="s">
        <v>262</v>
      </c>
      <c r="G196" s="65" t="s">
        <v>263</v>
      </c>
      <c r="H196" s="65" t="s">
        <v>191</v>
      </c>
      <c r="I196" s="65" t="s">
        <v>188</v>
      </c>
      <c r="J196" s="65" t="s">
        <v>180</v>
      </c>
      <c r="K196" s="117">
        <v>3200</v>
      </c>
      <c r="L196" s="117"/>
      <c r="M196" s="117">
        <v>3200</v>
      </c>
      <c r="N196" s="17" t="s">
        <v>264</v>
      </c>
      <c r="O196" s="120" t="s">
        <v>230</v>
      </c>
    </row>
    <row r="197" ht="31" customHeight="1" spans="1:15">
      <c r="A197" s="118" t="s">
        <v>33</v>
      </c>
      <c r="B197" s="65">
        <v>5</v>
      </c>
      <c r="C197" s="65" t="s">
        <v>171</v>
      </c>
      <c r="D197" s="65" t="s">
        <v>121</v>
      </c>
      <c r="E197" s="119" t="s">
        <v>121</v>
      </c>
      <c r="F197" s="65" t="s">
        <v>262</v>
      </c>
      <c r="G197" s="65" t="s">
        <v>267</v>
      </c>
      <c r="H197" s="65" t="s">
        <v>268</v>
      </c>
      <c r="I197" s="65" t="s">
        <v>269</v>
      </c>
      <c r="J197" s="65" t="s">
        <v>181</v>
      </c>
      <c r="K197" s="117"/>
      <c r="L197" s="117">
        <v>21450</v>
      </c>
      <c r="M197" s="117">
        <v>21450</v>
      </c>
      <c r="N197" s="17" t="s">
        <v>270</v>
      </c>
      <c r="O197" s="120" t="s">
        <v>271</v>
      </c>
    </row>
    <row r="198" ht="46" customHeight="1" spans="1:15">
      <c r="A198" s="118"/>
      <c r="B198" s="65"/>
      <c r="C198" s="65"/>
      <c r="D198" s="65"/>
      <c r="E198" s="119"/>
      <c r="F198" s="65"/>
      <c r="G198" s="65"/>
      <c r="H198" s="65"/>
      <c r="I198" s="65"/>
      <c r="J198" s="65"/>
      <c r="K198" s="117"/>
      <c r="L198" s="117"/>
      <c r="M198" s="117"/>
      <c r="N198" s="17"/>
      <c r="O198" s="120"/>
    </row>
    <row r="199" spans="1:15">
      <c r="A199" s="135" t="s">
        <v>272</v>
      </c>
      <c r="B199" s="136"/>
      <c r="C199" s="136"/>
      <c r="D199" s="136"/>
      <c r="E199" s="136"/>
      <c r="F199" s="136"/>
      <c r="G199" s="136"/>
      <c r="H199" s="136"/>
      <c r="I199" s="136"/>
      <c r="J199" s="137"/>
      <c r="K199" s="117">
        <f>SUM(K193:K198)</f>
        <v>3200</v>
      </c>
      <c r="L199" s="117">
        <f>SUM(L193:L198)</f>
        <v>78700</v>
      </c>
      <c r="M199" s="117">
        <f>SUM(M193:M198)</f>
        <v>81900</v>
      </c>
      <c r="N199" s="129"/>
      <c r="O199" s="130"/>
    </row>
    <row r="200" spans="1:15">
      <c r="A200" s="134" t="s">
        <v>309</v>
      </c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3"/>
    </row>
    <row r="201" ht="16" customHeight="1" spans="1:15">
      <c r="A201" s="118" t="s">
        <v>53</v>
      </c>
      <c r="B201" s="65" t="s">
        <v>54</v>
      </c>
      <c r="C201" s="65" t="s">
        <v>174</v>
      </c>
      <c r="D201" s="65" t="s">
        <v>55</v>
      </c>
      <c r="E201" s="119" t="s">
        <v>56</v>
      </c>
      <c r="F201" s="65" t="s">
        <v>175</v>
      </c>
      <c r="G201" s="65" t="s">
        <v>176</v>
      </c>
      <c r="H201" s="65" t="s">
        <v>177</v>
      </c>
      <c r="I201" s="65" t="s">
        <v>178</v>
      </c>
      <c r="J201" s="65" t="s">
        <v>179</v>
      </c>
      <c r="K201" s="117" t="s">
        <v>180</v>
      </c>
      <c r="L201" s="117" t="s">
        <v>181</v>
      </c>
      <c r="M201" s="117" t="s">
        <v>182</v>
      </c>
      <c r="N201" s="17" t="s">
        <v>183</v>
      </c>
      <c r="O201" s="129" t="s">
        <v>184</v>
      </c>
    </row>
    <row r="202" ht="16" customHeight="1" spans="1:15">
      <c r="A202" s="118" t="s">
        <v>35</v>
      </c>
      <c r="B202" s="65">
        <v>1</v>
      </c>
      <c r="C202" s="65" t="s">
        <v>171</v>
      </c>
      <c r="D202" s="65" t="s">
        <v>68</v>
      </c>
      <c r="E202" s="119" t="s">
        <v>69</v>
      </c>
      <c r="F202" s="65" t="s">
        <v>274</v>
      </c>
      <c r="G202" s="65" t="s">
        <v>242</v>
      </c>
      <c r="H202" s="65" t="s">
        <v>191</v>
      </c>
      <c r="I202" s="65" t="s">
        <v>188</v>
      </c>
      <c r="J202" s="65" t="s">
        <v>181</v>
      </c>
      <c r="K202" s="117"/>
      <c r="L202" s="117">
        <v>2400</v>
      </c>
      <c r="M202" s="117">
        <v>2400</v>
      </c>
      <c r="N202" s="17" t="s">
        <v>244</v>
      </c>
      <c r="O202" s="138"/>
    </row>
    <row r="203" ht="31" customHeight="1" spans="1:15">
      <c r="A203" s="118" t="s">
        <v>35</v>
      </c>
      <c r="B203" s="65">
        <v>2</v>
      </c>
      <c r="C203" s="65" t="s">
        <v>171</v>
      </c>
      <c r="D203" s="65" t="s">
        <v>123</v>
      </c>
      <c r="E203" s="119" t="s">
        <v>124</v>
      </c>
      <c r="F203" s="65" t="s">
        <v>274</v>
      </c>
      <c r="G203" s="65" t="s">
        <v>199</v>
      </c>
      <c r="H203" s="65" t="s">
        <v>200</v>
      </c>
      <c r="I203" s="65" t="s">
        <v>201</v>
      </c>
      <c r="J203" s="65" t="s">
        <v>181</v>
      </c>
      <c r="K203" s="117"/>
      <c r="L203" s="117">
        <v>5000</v>
      </c>
      <c r="M203" s="117">
        <v>5000</v>
      </c>
      <c r="N203" s="17" t="s">
        <v>202</v>
      </c>
      <c r="O203" s="120"/>
    </row>
    <row r="204" ht="16" customHeight="1" spans="1:15">
      <c r="A204" s="118" t="s">
        <v>35</v>
      </c>
      <c r="B204" s="65">
        <v>3</v>
      </c>
      <c r="C204" s="65" t="s">
        <v>171</v>
      </c>
      <c r="D204" s="65" t="s">
        <v>68</v>
      </c>
      <c r="E204" s="119" t="s">
        <v>69</v>
      </c>
      <c r="F204" s="65" t="s">
        <v>274</v>
      </c>
      <c r="G204" s="65" t="s">
        <v>242</v>
      </c>
      <c r="H204" s="65" t="s">
        <v>200</v>
      </c>
      <c r="I204" s="65" t="s">
        <v>188</v>
      </c>
      <c r="J204" s="65" t="s">
        <v>181</v>
      </c>
      <c r="K204" s="117"/>
      <c r="L204" s="117">
        <v>2400</v>
      </c>
      <c r="M204" s="117">
        <v>2400</v>
      </c>
      <c r="N204" s="17" t="s">
        <v>244</v>
      </c>
      <c r="O204" s="120"/>
    </row>
    <row r="205" ht="31" customHeight="1" spans="1:15">
      <c r="A205" s="118" t="s">
        <v>35</v>
      </c>
      <c r="B205" s="65">
        <v>4</v>
      </c>
      <c r="C205" s="65" t="s">
        <v>171</v>
      </c>
      <c r="D205" s="65" t="s">
        <v>98</v>
      </c>
      <c r="E205" s="119" t="s">
        <v>98</v>
      </c>
      <c r="F205" s="65" t="s">
        <v>274</v>
      </c>
      <c r="G205" s="65" t="s">
        <v>242</v>
      </c>
      <c r="H205" s="65" t="s">
        <v>191</v>
      </c>
      <c r="I205" s="65" t="s">
        <v>188</v>
      </c>
      <c r="J205" s="65" t="s">
        <v>180</v>
      </c>
      <c r="K205" s="117">
        <v>2400</v>
      </c>
      <c r="L205" s="117"/>
      <c r="M205" s="117">
        <v>2400</v>
      </c>
      <c r="N205" s="17" t="s">
        <v>244</v>
      </c>
      <c r="O205" s="120" t="s">
        <v>230</v>
      </c>
    </row>
    <row r="206" ht="31" customHeight="1" spans="1:15">
      <c r="A206" s="118"/>
      <c r="B206" s="65"/>
      <c r="C206" s="65"/>
      <c r="D206" s="65"/>
      <c r="E206" s="119"/>
      <c r="F206" s="65"/>
      <c r="G206" s="65"/>
      <c r="H206" s="65"/>
      <c r="I206" s="65"/>
      <c r="J206" s="65"/>
      <c r="K206" s="117"/>
      <c r="L206" s="117"/>
      <c r="M206" s="117"/>
      <c r="N206" s="17"/>
      <c r="O206" s="120"/>
    </row>
    <row r="207" spans="1:15">
      <c r="A207" s="135" t="s">
        <v>275</v>
      </c>
      <c r="B207" s="136"/>
      <c r="C207" s="136"/>
      <c r="D207" s="136"/>
      <c r="E207" s="136"/>
      <c r="F207" s="136"/>
      <c r="G207" s="136"/>
      <c r="H207" s="136"/>
      <c r="I207" s="136"/>
      <c r="J207" s="137"/>
      <c r="K207" s="117">
        <f>SUM(K202:K206)</f>
        <v>2400</v>
      </c>
      <c r="L207" s="117">
        <f>SUM(L202:L206)</f>
        <v>9800</v>
      </c>
      <c r="M207" s="117">
        <f>SUM(M202:M206)</f>
        <v>12200</v>
      </c>
      <c r="N207" s="129"/>
      <c r="O207" s="130"/>
    </row>
    <row r="208" spans="1:15">
      <c r="A208" s="134" t="s">
        <v>310</v>
      </c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3"/>
    </row>
    <row r="209" ht="16" customHeight="1" spans="1:15">
      <c r="A209" s="118" t="s">
        <v>53</v>
      </c>
      <c r="B209" s="65" t="s">
        <v>54</v>
      </c>
      <c r="C209" s="65" t="s">
        <v>174</v>
      </c>
      <c r="D209" s="65" t="s">
        <v>55</v>
      </c>
      <c r="E209" s="119" t="s">
        <v>56</v>
      </c>
      <c r="F209" s="65" t="s">
        <v>175</v>
      </c>
      <c r="G209" s="65" t="s">
        <v>176</v>
      </c>
      <c r="H209" s="65" t="s">
        <v>177</v>
      </c>
      <c r="I209" s="65" t="s">
        <v>178</v>
      </c>
      <c r="J209" s="65" t="s">
        <v>179</v>
      </c>
      <c r="K209" s="117" t="s">
        <v>180</v>
      </c>
      <c r="L209" s="117" t="s">
        <v>181</v>
      </c>
      <c r="M209" s="117" t="s">
        <v>182</v>
      </c>
      <c r="N209" s="17" t="s">
        <v>183</v>
      </c>
      <c r="O209" s="129" t="s">
        <v>184</v>
      </c>
    </row>
    <row r="210" ht="31" customHeight="1" spans="1:15">
      <c r="A210" s="118" t="s">
        <v>37</v>
      </c>
      <c r="B210" s="65">
        <v>1</v>
      </c>
      <c r="C210" s="65" t="s">
        <v>171</v>
      </c>
      <c r="D210" s="65" t="s">
        <v>66</v>
      </c>
      <c r="E210" s="119" t="s">
        <v>67</v>
      </c>
      <c r="F210" s="65" t="s">
        <v>277</v>
      </c>
      <c r="G210" s="65" t="s">
        <v>242</v>
      </c>
      <c r="H210" s="65" t="s">
        <v>187</v>
      </c>
      <c r="I210" s="65" t="s">
        <v>188</v>
      </c>
      <c r="J210" s="65" t="s">
        <v>180</v>
      </c>
      <c r="K210" s="117">
        <v>384</v>
      </c>
      <c r="L210" s="117"/>
      <c r="M210" s="117">
        <v>384</v>
      </c>
      <c r="N210" s="17" t="s">
        <v>243</v>
      </c>
      <c r="O210" s="120" t="s">
        <v>190</v>
      </c>
    </row>
    <row r="211" ht="31" customHeight="1" spans="1:15">
      <c r="A211" s="118" t="s">
        <v>37</v>
      </c>
      <c r="B211" s="65">
        <v>2</v>
      </c>
      <c r="C211" s="65" t="s">
        <v>171</v>
      </c>
      <c r="D211" s="65" t="s">
        <v>68</v>
      </c>
      <c r="E211" s="119" t="s">
        <v>69</v>
      </c>
      <c r="F211" s="65" t="s">
        <v>277</v>
      </c>
      <c r="G211" s="65" t="s">
        <v>242</v>
      </c>
      <c r="H211" s="65" t="s">
        <v>191</v>
      </c>
      <c r="I211" s="65" t="s">
        <v>188</v>
      </c>
      <c r="J211" s="65" t="s">
        <v>181</v>
      </c>
      <c r="K211" s="117"/>
      <c r="L211" s="117">
        <v>2400</v>
      </c>
      <c r="M211" s="117">
        <v>2400</v>
      </c>
      <c r="N211" s="17" t="s">
        <v>244</v>
      </c>
      <c r="O211" s="120"/>
    </row>
    <row r="212" ht="16" customHeight="1" spans="1:15">
      <c r="A212" s="118" t="s">
        <v>37</v>
      </c>
      <c r="B212" s="65">
        <v>3</v>
      </c>
      <c r="C212" s="65" t="s">
        <v>171</v>
      </c>
      <c r="D212" s="65" t="s">
        <v>127</v>
      </c>
      <c r="E212" s="119" t="s">
        <v>128</v>
      </c>
      <c r="F212" s="65" t="s">
        <v>277</v>
      </c>
      <c r="G212" s="65" t="s">
        <v>253</v>
      </c>
      <c r="H212" s="65" t="s">
        <v>253</v>
      </c>
      <c r="I212" s="65" t="s">
        <v>195</v>
      </c>
      <c r="J212" s="65" t="s">
        <v>181</v>
      </c>
      <c r="K212" s="117"/>
      <c r="L212" s="117">
        <v>23000</v>
      </c>
      <c r="M212" s="117">
        <v>23000</v>
      </c>
      <c r="N212" s="17" t="s">
        <v>278</v>
      </c>
      <c r="O212" s="120"/>
    </row>
    <row r="213" ht="31" customHeight="1" spans="1:15">
      <c r="A213" s="118" t="s">
        <v>37</v>
      </c>
      <c r="B213" s="65">
        <v>4</v>
      </c>
      <c r="C213" s="65" t="s">
        <v>171</v>
      </c>
      <c r="D213" s="65" t="s">
        <v>68</v>
      </c>
      <c r="E213" s="119" t="s">
        <v>69</v>
      </c>
      <c r="F213" s="65" t="s">
        <v>277</v>
      </c>
      <c r="G213" s="65" t="s">
        <v>242</v>
      </c>
      <c r="H213" s="65" t="s">
        <v>200</v>
      </c>
      <c r="I213" s="65" t="s">
        <v>188</v>
      </c>
      <c r="J213" s="65" t="s">
        <v>181</v>
      </c>
      <c r="K213" s="117"/>
      <c r="L213" s="117">
        <v>2400</v>
      </c>
      <c r="M213" s="117">
        <v>2400</v>
      </c>
      <c r="N213" s="17" t="s">
        <v>244</v>
      </c>
      <c r="O213" s="120"/>
    </row>
    <row r="214" ht="31" customHeight="1" spans="1:15">
      <c r="A214" s="118" t="s">
        <v>37</v>
      </c>
      <c r="B214" s="65">
        <v>5</v>
      </c>
      <c r="C214" s="65" t="s">
        <v>171</v>
      </c>
      <c r="D214" s="65" t="s">
        <v>66</v>
      </c>
      <c r="E214" s="119" t="s">
        <v>67</v>
      </c>
      <c r="F214" s="65" t="s">
        <v>277</v>
      </c>
      <c r="G214" s="65" t="s">
        <v>242</v>
      </c>
      <c r="H214" s="65" t="s">
        <v>194</v>
      </c>
      <c r="I214" s="65" t="s">
        <v>188</v>
      </c>
      <c r="J214" s="65" t="s">
        <v>180</v>
      </c>
      <c r="K214" s="117">
        <v>384</v>
      </c>
      <c r="L214" s="117"/>
      <c r="M214" s="117">
        <v>384</v>
      </c>
      <c r="N214" s="17" t="s">
        <v>243</v>
      </c>
      <c r="O214" s="120" t="s">
        <v>190</v>
      </c>
    </row>
    <row r="215" ht="31" customHeight="1" spans="1:15">
      <c r="A215" s="118" t="s">
        <v>37</v>
      </c>
      <c r="B215" s="65">
        <v>6</v>
      </c>
      <c r="C215" s="65" t="s">
        <v>171</v>
      </c>
      <c r="D215" s="65" t="s">
        <v>98</v>
      </c>
      <c r="E215" s="119" t="s">
        <v>98</v>
      </c>
      <c r="F215" s="65" t="s">
        <v>277</v>
      </c>
      <c r="G215" s="65" t="s">
        <v>242</v>
      </c>
      <c r="H215" s="65" t="s">
        <v>191</v>
      </c>
      <c r="I215" s="65" t="s">
        <v>188</v>
      </c>
      <c r="J215" s="65" t="s">
        <v>180</v>
      </c>
      <c r="K215" s="117">
        <v>2400</v>
      </c>
      <c r="L215" s="117"/>
      <c r="M215" s="117">
        <v>2400</v>
      </c>
      <c r="N215" s="17" t="s">
        <v>244</v>
      </c>
      <c r="O215" s="120" t="s">
        <v>230</v>
      </c>
    </row>
    <row r="216" spans="1:15">
      <c r="A216" s="135" t="s">
        <v>279</v>
      </c>
      <c r="B216" s="136"/>
      <c r="C216" s="136"/>
      <c r="D216" s="136"/>
      <c r="E216" s="136"/>
      <c r="F216" s="136"/>
      <c r="G216" s="136"/>
      <c r="H216" s="136"/>
      <c r="I216" s="136"/>
      <c r="J216" s="137"/>
      <c r="K216" s="117">
        <f>SUM(K210:K215)</f>
        <v>3168</v>
      </c>
      <c r="L216" s="117">
        <f>SUM(L210:L215)</f>
        <v>27800</v>
      </c>
      <c r="M216" s="117">
        <f>SUM(M210:M215)</f>
        <v>30968</v>
      </c>
      <c r="N216" s="129"/>
      <c r="O216" s="130"/>
    </row>
    <row r="217" spans="1:15">
      <c r="A217" s="134" t="s">
        <v>311</v>
      </c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3"/>
    </row>
    <row r="218" ht="16" customHeight="1" spans="1:15">
      <c r="A218" s="118" t="s">
        <v>53</v>
      </c>
      <c r="B218" s="65" t="s">
        <v>54</v>
      </c>
      <c r="C218" s="65" t="s">
        <v>174</v>
      </c>
      <c r="D218" s="65" t="s">
        <v>55</v>
      </c>
      <c r="E218" s="119" t="s">
        <v>56</v>
      </c>
      <c r="F218" s="65" t="s">
        <v>175</v>
      </c>
      <c r="G218" s="65" t="s">
        <v>176</v>
      </c>
      <c r="H218" s="65" t="s">
        <v>177</v>
      </c>
      <c r="I218" s="65" t="s">
        <v>178</v>
      </c>
      <c r="J218" s="65" t="s">
        <v>179</v>
      </c>
      <c r="K218" s="117" t="s">
        <v>180</v>
      </c>
      <c r="L218" s="117" t="s">
        <v>181</v>
      </c>
      <c r="M218" s="117" t="s">
        <v>182</v>
      </c>
      <c r="N218" s="17" t="s">
        <v>183</v>
      </c>
      <c r="O218" s="129" t="s">
        <v>184</v>
      </c>
    </row>
    <row r="219" ht="31" customHeight="1" spans="1:15">
      <c r="A219" s="118" t="s">
        <v>38</v>
      </c>
      <c r="B219" s="65">
        <v>1</v>
      </c>
      <c r="C219" s="65" t="s">
        <v>171</v>
      </c>
      <c r="D219" s="65" t="s">
        <v>66</v>
      </c>
      <c r="E219" s="119" t="s">
        <v>67</v>
      </c>
      <c r="F219" s="65" t="s">
        <v>281</v>
      </c>
      <c r="G219" s="65" t="s">
        <v>242</v>
      </c>
      <c r="H219" s="65" t="s">
        <v>187</v>
      </c>
      <c r="I219" s="65" t="s">
        <v>188</v>
      </c>
      <c r="J219" s="65" t="s">
        <v>180</v>
      </c>
      <c r="K219" s="117">
        <v>384</v>
      </c>
      <c r="L219" s="117"/>
      <c r="M219" s="117">
        <v>384</v>
      </c>
      <c r="N219" s="17" t="s">
        <v>243</v>
      </c>
      <c r="O219" s="120" t="s">
        <v>190</v>
      </c>
    </row>
    <row r="220" ht="31" customHeight="1" spans="1:15">
      <c r="A220" s="118" t="s">
        <v>38</v>
      </c>
      <c r="B220" s="65">
        <v>2</v>
      </c>
      <c r="C220" s="65" t="s">
        <v>171</v>
      </c>
      <c r="D220" s="65" t="s">
        <v>68</v>
      </c>
      <c r="E220" s="119" t="s">
        <v>69</v>
      </c>
      <c r="F220" s="65" t="s">
        <v>281</v>
      </c>
      <c r="G220" s="65" t="s">
        <v>242</v>
      </c>
      <c r="H220" s="65" t="s">
        <v>191</v>
      </c>
      <c r="I220" s="65" t="s">
        <v>188</v>
      </c>
      <c r="J220" s="65" t="s">
        <v>181</v>
      </c>
      <c r="K220" s="117"/>
      <c r="L220" s="117">
        <v>2400</v>
      </c>
      <c r="M220" s="117">
        <v>2400</v>
      </c>
      <c r="N220" s="17" t="s">
        <v>244</v>
      </c>
      <c r="O220" s="120"/>
    </row>
    <row r="221" ht="31" customHeight="1" spans="1:15">
      <c r="A221" s="118" t="s">
        <v>38</v>
      </c>
      <c r="B221" s="65">
        <v>3</v>
      </c>
      <c r="C221" s="65" t="s">
        <v>171</v>
      </c>
      <c r="D221" s="65" t="s">
        <v>130</v>
      </c>
      <c r="E221" s="119" t="s">
        <v>131</v>
      </c>
      <c r="F221" s="65" t="s">
        <v>281</v>
      </c>
      <c r="G221" s="65" t="s">
        <v>253</v>
      </c>
      <c r="H221" s="65" t="s">
        <v>253</v>
      </c>
      <c r="I221" s="65" t="s">
        <v>195</v>
      </c>
      <c r="J221" s="65" t="s">
        <v>181</v>
      </c>
      <c r="K221" s="117"/>
      <c r="L221" s="117">
        <v>23000</v>
      </c>
      <c r="M221" s="117">
        <v>23000</v>
      </c>
      <c r="N221" s="17" t="s">
        <v>278</v>
      </c>
      <c r="O221" s="120"/>
    </row>
    <row r="222" ht="31" customHeight="1" spans="1:15">
      <c r="A222" s="118" t="s">
        <v>38</v>
      </c>
      <c r="B222" s="65">
        <v>4</v>
      </c>
      <c r="C222" s="65" t="s">
        <v>171</v>
      </c>
      <c r="D222" s="65" t="s">
        <v>68</v>
      </c>
      <c r="E222" s="119" t="s">
        <v>69</v>
      </c>
      <c r="F222" s="65" t="s">
        <v>281</v>
      </c>
      <c r="G222" s="65" t="s">
        <v>242</v>
      </c>
      <c r="H222" s="65" t="s">
        <v>200</v>
      </c>
      <c r="I222" s="65" t="s">
        <v>188</v>
      </c>
      <c r="J222" s="65" t="s">
        <v>181</v>
      </c>
      <c r="K222" s="117"/>
      <c r="L222" s="117">
        <v>2400</v>
      </c>
      <c r="M222" s="117">
        <v>2400</v>
      </c>
      <c r="N222" s="17" t="s">
        <v>244</v>
      </c>
      <c r="O222" s="120"/>
    </row>
    <row r="223" ht="31" customHeight="1" spans="1:15">
      <c r="A223" s="118" t="s">
        <v>38</v>
      </c>
      <c r="B223" s="65">
        <v>5</v>
      </c>
      <c r="C223" s="65" t="s">
        <v>171</v>
      </c>
      <c r="D223" s="65" t="s">
        <v>98</v>
      </c>
      <c r="E223" s="119" t="s">
        <v>98</v>
      </c>
      <c r="F223" s="65" t="s">
        <v>281</v>
      </c>
      <c r="G223" s="65" t="s">
        <v>242</v>
      </c>
      <c r="H223" s="65" t="s">
        <v>191</v>
      </c>
      <c r="I223" s="65" t="s">
        <v>188</v>
      </c>
      <c r="J223" s="65" t="s">
        <v>180</v>
      </c>
      <c r="K223" s="117">
        <v>2400</v>
      </c>
      <c r="L223" s="117"/>
      <c r="M223" s="117">
        <v>2400</v>
      </c>
      <c r="N223" s="17" t="s">
        <v>244</v>
      </c>
      <c r="O223" s="120" t="s">
        <v>230</v>
      </c>
    </row>
    <row r="224" spans="1:15">
      <c r="A224" s="135" t="s">
        <v>282</v>
      </c>
      <c r="B224" s="136"/>
      <c r="C224" s="136"/>
      <c r="D224" s="136"/>
      <c r="E224" s="136"/>
      <c r="F224" s="136"/>
      <c r="G224" s="136"/>
      <c r="H224" s="136"/>
      <c r="I224" s="136"/>
      <c r="J224" s="137"/>
      <c r="K224" s="117">
        <f>SUM(K219:K223)</f>
        <v>2784</v>
      </c>
      <c r="L224" s="117">
        <f>SUM(L219:L223)</f>
        <v>27800</v>
      </c>
      <c r="M224" s="117">
        <f>SUM(M219:M223)</f>
        <v>30584</v>
      </c>
      <c r="N224" s="129"/>
      <c r="O224" s="130"/>
    </row>
    <row r="225" spans="1:15">
      <c r="A225" s="134" t="s">
        <v>312</v>
      </c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3"/>
    </row>
    <row r="226" ht="16" customHeight="1" spans="1:15">
      <c r="A226" s="118" t="s">
        <v>53</v>
      </c>
      <c r="B226" s="65" t="s">
        <v>54</v>
      </c>
      <c r="C226" s="65" t="s">
        <v>174</v>
      </c>
      <c r="D226" s="65" t="s">
        <v>55</v>
      </c>
      <c r="E226" s="119" t="s">
        <v>56</v>
      </c>
      <c r="F226" s="65" t="s">
        <v>175</v>
      </c>
      <c r="G226" s="65" t="s">
        <v>176</v>
      </c>
      <c r="H226" s="65" t="s">
        <v>177</v>
      </c>
      <c r="I226" s="65" t="s">
        <v>178</v>
      </c>
      <c r="J226" s="65" t="s">
        <v>179</v>
      </c>
      <c r="K226" s="117" t="s">
        <v>180</v>
      </c>
      <c r="L226" s="117" t="s">
        <v>181</v>
      </c>
      <c r="M226" s="117" t="s">
        <v>182</v>
      </c>
      <c r="N226" s="17" t="s">
        <v>183</v>
      </c>
      <c r="O226" s="129" t="s">
        <v>184</v>
      </c>
    </row>
    <row r="227" ht="31" customHeight="1" spans="1:15">
      <c r="A227" s="118" t="s">
        <v>39</v>
      </c>
      <c r="B227" s="65">
        <v>1</v>
      </c>
      <c r="C227" s="65" t="s">
        <v>171</v>
      </c>
      <c r="D227" s="65" t="s">
        <v>66</v>
      </c>
      <c r="E227" s="119" t="s">
        <v>67</v>
      </c>
      <c r="F227" s="65" t="s">
        <v>284</v>
      </c>
      <c r="G227" s="65" t="s">
        <v>242</v>
      </c>
      <c r="H227" s="65" t="s">
        <v>187</v>
      </c>
      <c r="I227" s="65" t="s">
        <v>188</v>
      </c>
      <c r="J227" s="65" t="s">
        <v>180</v>
      </c>
      <c r="K227" s="117">
        <v>384</v>
      </c>
      <c r="L227" s="117"/>
      <c r="M227" s="117">
        <v>384</v>
      </c>
      <c r="N227" s="17" t="s">
        <v>243</v>
      </c>
      <c r="O227" s="120" t="s">
        <v>190</v>
      </c>
    </row>
    <row r="228" ht="31" customHeight="1" spans="1:15">
      <c r="A228" s="118" t="s">
        <v>39</v>
      </c>
      <c r="B228" s="65">
        <v>2</v>
      </c>
      <c r="C228" s="65" t="s">
        <v>171</v>
      </c>
      <c r="D228" s="65" t="s">
        <v>68</v>
      </c>
      <c r="E228" s="119" t="s">
        <v>69</v>
      </c>
      <c r="F228" s="65" t="s">
        <v>284</v>
      </c>
      <c r="G228" s="65" t="s">
        <v>242</v>
      </c>
      <c r="H228" s="65" t="s">
        <v>191</v>
      </c>
      <c r="I228" s="65" t="s">
        <v>188</v>
      </c>
      <c r="J228" s="65" t="s">
        <v>181</v>
      </c>
      <c r="K228" s="117"/>
      <c r="L228" s="117">
        <v>2400</v>
      </c>
      <c r="M228" s="117">
        <v>2400</v>
      </c>
      <c r="N228" s="17" t="s">
        <v>244</v>
      </c>
      <c r="O228" s="120"/>
    </row>
    <row r="229" ht="31" customHeight="1" spans="1:15">
      <c r="A229" s="118" t="s">
        <v>39</v>
      </c>
      <c r="B229" s="65">
        <v>3</v>
      </c>
      <c r="C229" s="65" t="s">
        <v>171</v>
      </c>
      <c r="D229" s="65" t="s">
        <v>130</v>
      </c>
      <c r="E229" s="119" t="s">
        <v>133</v>
      </c>
      <c r="F229" s="65" t="s">
        <v>284</v>
      </c>
      <c r="G229" s="65" t="s">
        <v>285</v>
      </c>
      <c r="H229" s="65" t="s">
        <v>285</v>
      </c>
      <c r="I229" s="65" t="s">
        <v>195</v>
      </c>
      <c r="J229" s="65" t="s">
        <v>181</v>
      </c>
      <c r="K229" s="117"/>
      <c r="L229" s="117">
        <v>25300</v>
      </c>
      <c r="M229" s="117">
        <v>25300</v>
      </c>
      <c r="N229" s="17" t="s">
        <v>286</v>
      </c>
      <c r="O229" s="120"/>
    </row>
    <row r="230" ht="31" customHeight="1" spans="1:15">
      <c r="A230" s="118" t="s">
        <v>39</v>
      </c>
      <c r="B230" s="65">
        <v>4</v>
      </c>
      <c r="C230" s="65" t="s">
        <v>171</v>
      </c>
      <c r="D230" s="65" t="s">
        <v>68</v>
      </c>
      <c r="E230" s="119" t="s">
        <v>69</v>
      </c>
      <c r="F230" s="65" t="s">
        <v>284</v>
      </c>
      <c r="G230" s="65" t="s">
        <v>242</v>
      </c>
      <c r="H230" s="65" t="s">
        <v>200</v>
      </c>
      <c r="I230" s="65" t="s">
        <v>188</v>
      </c>
      <c r="J230" s="65" t="s">
        <v>181</v>
      </c>
      <c r="K230" s="117"/>
      <c r="L230" s="117">
        <v>2400</v>
      </c>
      <c r="M230" s="117">
        <v>2400</v>
      </c>
      <c r="N230" s="17" t="s">
        <v>244</v>
      </c>
      <c r="O230" s="120"/>
    </row>
    <row r="231" ht="31" customHeight="1" spans="1:15">
      <c r="A231" s="118" t="s">
        <v>39</v>
      </c>
      <c r="B231" s="65">
        <v>5</v>
      </c>
      <c r="C231" s="65" t="s">
        <v>171</v>
      </c>
      <c r="D231" s="65" t="s">
        <v>66</v>
      </c>
      <c r="E231" s="119" t="s">
        <v>67</v>
      </c>
      <c r="F231" s="65" t="s">
        <v>284</v>
      </c>
      <c r="G231" s="65" t="s">
        <v>242</v>
      </c>
      <c r="H231" s="65" t="s">
        <v>194</v>
      </c>
      <c r="I231" s="65" t="s">
        <v>188</v>
      </c>
      <c r="J231" s="65" t="s">
        <v>180</v>
      </c>
      <c r="K231" s="117">
        <v>384</v>
      </c>
      <c r="L231" s="117"/>
      <c r="M231" s="117">
        <v>384</v>
      </c>
      <c r="N231" s="17" t="s">
        <v>243</v>
      </c>
      <c r="O231" s="120" t="s">
        <v>190</v>
      </c>
    </row>
    <row r="232" ht="31" customHeight="1" spans="1:15">
      <c r="A232" s="118" t="s">
        <v>39</v>
      </c>
      <c r="B232" s="65">
        <v>6</v>
      </c>
      <c r="C232" s="65" t="s">
        <v>171</v>
      </c>
      <c r="D232" s="65" t="s">
        <v>98</v>
      </c>
      <c r="E232" s="119" t="s">
        <v>98</v>
      </c>
      <c r="F232" s="65" t="s">
        <v>284</v>
      </c>
      <c r="G232" s="65" t="s">
        <v>242</v>
      </c>
      <c r="H232" s="65" t="s">
        <v>191</v>
      </c>
      <c r="I232" s="65" t="s">
        <v>188</v>
      </c>
      <c r="J232" s="65" t="s">
        <v>180</v>
      </c>
      <c r="K232" s="117">
        <v>2400</v>
      </c>
      <c r="L232" s="117"/>
      <c r="M232" s="117">
        <v>2400</v>
      </c>
      <c r="N232" s="17" t="s">
        <v>244</v>
      </c>
      <c r="O232" s="120" t="s">
        <v>230</v>
      </c>
    </row>
    <row r="233" spans="1:15">
      <c r="A233" s="135" t="s">
        <v>287</v>
      </c>
      <c r="B233" s="136"/>
      <c r="C233" s="136"/>
      <c r="D233" s="136"/>
      <c r="E233" s="136"/>
      <c r="F233" s="136"/>
      <c r="G233" s="136"/>
      <c r="H233" s="136"/>
      <c r="I233" s="136"/>
      <c r="J233" s="137"/>
      <c r="K233" s="117">
        <f>SUM(K227:K232)</f>
        <v>3168</v>
      </c>
      <c r="L233" s="117">
        <f>SUM(L227:L232)</f>
        <v>30100</v>
      </c>
      <c r="M233" s="117">
        <f>SUM(M227:M232)</f>
        <v>33268</v>
      </c>
      <c r="N233" s="129"/>
      <c r="O233" s="130"/>
    </row>
    <row r="234" spans="1:15">
      <c r="A234" s="134" t="s">
        <v>313</v>
      </c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3"/>
    </row>
    <row r="235" ht="16" customHeight="1" spans="1:15">
      <c r="A235" s="118" t="s">
        <v>53</v>
      </c>
      <c r="B235" s="65" t="s">
        <v>54</v>
      </c>
      <c r="C235" s="65" t="s">
        <v>174</v>
      </c>
      <c r="D235" s="65" t="s">
        <v>55</v>
      </c>
      <c r="E235" s="119" t="s">
        <v>56</v>
      </c>
      <c r="F235" s="65" t="s">
        <v>175</v>
      </c>
      <c r="G235" s="65" t="s">
        <v>176</v>
      </c>
      <c r="H235" s="65" t="s">
        <v>177</v>
      </c>
      <c r="I235" s="65" t="s">
        <v>178</v>
      </c>
      <c r="J235" s="65" t="s">
        <v>179</v>
      </c>
      <c r="K235" s="117" t="s">
        <v>180</v>
      </c>
      <c r="L235" s="117" t="s">
        <v>181</v>
      </c>
      <c r="M235" s="117" t="s">
        <v>182</v>
      </c>
      <c r="N235" s="17" t="s">
        <v>183</v>
      </c>
      <c r="O235" s="129" t="s">
        <v>184</v>
      </c>
    </row>
    <row r="236" ht="31" customHeight="1" spans="1:15">
      <c r="A236" s="118" t="s">
        <v>42</v>
      </c>
      <c r="B236" s="65">
        <v>1</v>
      </c>
      <c r="C236" s="65" t="s">
        <v>171</v>
      </c>
      <c r="D236" s="65" t="s">
        <v>66</v>
      </c>
      <c r="E236" s="119" t="s">
        <v>67</v>
      </c>
      <c r="F236" s="65" t="s">
        <v>314</v>
      </c>
      <c r="G236" s="65" t="s">
        <v>315</v>
      </c>
      <c r="H236" s="65" t="s">
        <v>187</v>
      </c>
      <c r="I236" s="65" t="s">
        <v>188</v>
      </c>
      <c r="J236" s="65" t="s">
        <v>180</v>
      </c>
      <c r="K236" s="117">
        <v>750</v>
      </c>
      <c r="L236" s="117"/>
      <c r="M236" s="117">
        <v>750</v>
      </c>
      <c r="N236" s="17" t="s">
        <v>316</v>
      </c>
      <c r="O236" s="120" t="s">
        <v>317</v>
      </c>
    </row>
    <row r="237" ht="31" customHeight="1" spans="1:15">
      <c r="A237" s="118" t="s">
        <v>42</v>
      </c>
      <c r="B237" s="65">
        <v>2</v>
      </c>
      <c r="C237" s="65" t="s">
        <v>171</v>
      </c>
      <c r="D237" s="65" t="s">
        <v>68</v>
      </c>
      <c r="E237" s="119" t="s">
        <v>69</v>
      </c>
      <c r="F237" s="65" t="s">
        <v>314</v>
      </c>
      <c r="G237" s="65" t="s">
        <v>242</v>
      </c>
      <c r="H237" s="65" t="s">
        <v>191</v>
      </c>
      <c r="I237" s="65" t="s">
        <v>188</v>
      </c>
      <c r="J237" s="65" t="s">
        <v>181</v>
      </c>
      <c r="K237" s="117"/>
      <c r="L237" s="117">
        <v>2400</v>
      </c>
      <c r="M237" s="117">
        <v>2400</v>
      </c>
      <c r="N237" s="17" t="s">
        <v>244</v>
      </c>
      <c r="O237" s="120"/>
    </row>
    <row r="238" ht="16" customHeight="1" spans="1:15">
      <c r="A238" s="118" t="s">
        <v>42</v>
      </c>
      <c r="B238" s="65">
        <v>3</v>
      </c>
      <c r="C238" s="65" t="s">
        <v>171</v>
      </c>
      <c r="D238" s="65" t="s">
        <v>139</v>
      </c>
      <c r="E238" s="119" t="s">
        <v>140</v>
      </c>
      <c r="F238" s="65" t="s">
        <v>314</v>
      </c>
      <c r="G238" s="65" t="s">
        <v>318</v>
      </c>
      <c r="H238" s="65" t="s">
        <v>318</v>
      </c>
      <c r="I238" s="65" t="s">
        <v>195</v>
      </c>
      <c r="J238" s="65" t="s">
        <v>181</v>
      </c>
      <c r="K238" s="117"/>
      <c r="L238" s="117">
        <v>6400</v>
      </c>
      <c r="M238" s="117">
        <v>6400</v>
      </c>
      <c r="N238" s="17" t="s">
        <v>319</v>
      </c>
      <c r="O238" s="120"/>
    </row>
    <row r="239" ht="16" customHeight="1" spans="1:15">
      <c r="A239" s="118" t="s">
        <v>42</v>
      </c>
      <c r="B239" s="65">
        <v>4</v>
      </c>
      <c r="C239" s="65" t="s">
        <v>171</v>
      </c>
      <c r="D239" s="65" t="s">
        <v>139</v>
      </c>
      <c r="E239" s="119" t="s">
        <v>143</v>
      </c>
      <c r="F239" s="65" t="s">
        <v>314</v>
      </c>
      <c r="G239" s="65" t="s">
        <v>318</v>
      </c>
      <c r="H239" s="65" t="s">
        <v>318</v>
      </c>
      <c r="I239" s="65" t="s">
        <v>195</v>
      </c>
      <c r="J239" s="65" t="s">
        <v>181</v>
      </c>
      <c r="K239" s="117"/>
      <c r="L239" s="117">
        <v>6400</v>
      </c>
      <c r="M239" s="117">
        <v>6400</v>
      </c>
      <c r="N239" s="17" t="s">
        <v>319</v>
      </c>
      <c r="O239" s="120"/>
    </row>
    <row r="240" ht="16" customHeight="1" spans="1:15">
      <c r="A240" s="118" t="s">
        <v>42</v>
      </c>
      <c r="B240" s="65">
        <v>5</v>
      </c>
      <c r="C240" s="65" t="s">
        <v>171</v>
      </c>
      <c r="D240" s="65" t="s">
        <v>139</v>
      </c>
      <c r="E240" s="119" t="s">
        <v>144</v>
      </c>
      <c r="F240" s="65" t="s">
        <v>314</v>
      </c>
      <c r="G240" s="65" t="s">
        <v>318</v>
      </c>
      <c r="H240" s="65" t="s">
        <v>318</v>
      </c>
      <c r="I240" s="65" t="s">
        <v>195</v>
      </c>
      <c r="J240" s="65" t="s">
        <v>181</v>
      </c>
      <c r="K240" s="117"/>
      <c r="L240" s="117">
        <v>6400</v>
      </c>
      <c r="M240" s="117">
        <v>6400</v>
      </c>
      <c r="N240" s="17" t="s">
        <v>319</v>
      </c>
      <c r="O240" s="120"/>
    </row>
    <row r="241" ht="16" customHeight="1" spans="1:15">
      <c r="A241" s="118" t="s">
        <v>42</v>
      </c>
      <c r="B241" s="65">
        <v>6</v>
      </c>
      <c r="C241" s="65" t="s">
        <v>171</v>
      </c>
      <c r="D241" s="65" t="s">
        <v>139</v>
      </c>
      <c r="E241" s="119" t="s">
        <v>145</v>
      </c>
      <c r="F241" s="65" t="s">
        <v>314</v>
      </c>
      <c r="G241" s="65" t="s">
        <v>318</v>
      </c>
      <c r="H241" s="65" t="s">
        <v>318</v>
      </c>
      <c r="I241" s="65" t="s">
        <v>195</v>
      </c>
      <c r="J241" s="65" t="s">
        <v>181</v>
      </c>
      <c r="K241" s="117"/>
      <c r="L241" s="117">
        <v>6400</v>
      </c>
      <c r="M241" s="117">
        <v>6400</v>
      </c>
      <c r="N241" s="17" t="s">
        <v>319</v>
      </c>
      <c r="O241" s="120"/>
    </row>
    <row r="242" ht="16" customHeight="1" spans="1:15">
      <c r="A242" s="118" t="s">
        <v>42</v>
      </c>
      <c r="B242" s="65">
        <v>7</v>
      </c>
      <c r="C242" s="65" t="s">
        <v>171</v>
      </c>
      <c r="D242" s="65" t="s">
        <v>139</v>
      </c>
      <c r="E242" s="119" t="s">
        <v>146</v>
      </c>
      <c r="F242" s="65" t="s">
        <v>314</v>
      </c>
      <c r="G242" s="65" t="s">
        <v>318</v>
      </c>
      <c r="H242" s="65" t="s">
        <v>318</v>
      </c>
      <c r="I242" s="65" t="s">
        <v>195</v>
      </c>
      <c r="J242" s="65" t="s">
        <v>181</v>
      </c>
      <c r="K242" s="117"/>
      <c r="L242" s="117">
        <v>6400</v>
      </c>
      <c r="M242" s="117">
        <v>6400</v>
      </c>
      <c r="N242" s="17" t="s">
        <v>319</v>
      </c>
      <c r="O242" s="120"/>
    </row>
    <row r="243" ht="31" customHeight="1" spans="1:15">
      <c r="A243" s="118" t="s">
        <v>42</v>
      </c>
      <c r="B243" s="65">
        <v>8</v>
      </c>
      <c r="C243" s="65" t="s">
        <v>171</v>
      </c>
      <c r="D243" s="65" t="s">
        <v>68</v>
      </c>
      <c r="E243" s="119" t="s">
        <v>69</v>
      </c>
      <c r="F243" s="65" t="s">
        <v>314</v>
      </c>
      <c r="G243" s="65" t="s">
        <v>242</v>
      </c>
      <c r="H243" s="65" t="s">
        <v>191</v>
      </c>
      <c r="I243" s="65" t="s">
        <v>188</v>
      </c>
      <c r="J243" s="65" t="s">
        <v>181</v>
      </c>
      <c r="K243" s="117"/>
      <c r="L243" s="117">
        <v>2400</v>
      </c>
      <c r="M243" s="117">
        <v>2400</v>
      </c>
      <c r="N243" s="17" t="s">
        <v>244</v>
      </c>
      <c r="O243" s="120"/>
    </row>
    <row r="244" ht="31" customHeight="1" spans="1:15">
      <c r="A244" s="118" t="s">
        <v>42</v>
      </c>
      <c r="B244" s="65">
        <v>9</v>
      </c>
      <c r="C244" s="65" t="s">
        <v>171</v>
      </c>
      <c r="D244" s="65" t="s">
        <v>66</v>
      </c>
      <c r="E244" s="119" t="s">
        <v>67</v>
      </c>
      <c r="F244" s="65" t="s">
        <v>314</v>
      </c>
      <c r="G244" s="65" t="s">
        <v>315</v>
      </c>
      <c r="H244" s="65" t="s">
        <v>191</v>
      </c>
      <c r="I244" s="65" t="s">
        <v>188</v>
      </c>
      <c r="J244" s="65" t="s">
        <v>180</v>
      </c>
      <c r="K244" s="117">
        <v>750</v>
      </c>
      <c r="L244" s="117"/>
      <c r="M244" s="117">
        <v>750</v>
      </c>
      <c r="N244" s="17" t="s">
        <v>316</v>
      </c>
      <c r="O244" s="120" t="s">
        <v>317</v>
      </c>
    </row>
    <row r="245" ht="31" customHeight="1" spans="1:15">
      <c r="A245" s="118" t="s">
        <v>42</v>
      </c>
      <c r="B245" s="65">
        <v>10</v>
      </c>
      <c r="C245" s="65" t="s">
        <v>171</v>
      </c>
      <c r="D245" s="65" t="s">
        <v>98</v>
      </c>
      <c r="E245" s="119" t="s">
        <v>98</v>
      </c>
      <c r="F245" s="65" t="s">
        <v>314</v>
      </c>
      <c r="G245" s="65" t="s">
        <v>315</v>
      </c>
      <c r="H245" s="65" t="s">
        <v>191</v>
      </c>
      <c r="I245" s="65" t="s">
        <v>188</v>
      </c>
      <c r="J245" s="65" t="s">
        <v>180</v>
      </c>
      <c r="K245" s="117">
        <v>6000</v>
      </c>
      <c r="L245" s="117"/>
      <c r="M245" s="117">
        <v>6000</v>
      </c>
      <c r="N245" s="17" t="s">
        <v>320</v>
      </c>
      <c r="O245" s="120" t="s">
        <v>230</v>
      </c>
    </row>
    <row r="246" spans="1:15">
      <c r="A246" s="135" t="s">
        <v>321</v>
      </c>
      <c r="B246" s="136"/>
      <c r="C246" s="136"/>
      <c r="D246" s="136"/>
      <c r="E246" s="136"/>
      <c r="F246" s="136"/>
      <c r="G246" s="136"/>
      <c r="H246" s="136"/>
      <c r="I246" s="136"/>
      <c r="J246" s="137"/>
      <c r="K246" s="117">
        <f>SUM(K236:K245)</f>
        <v>7500</v>
      </c>
      <c r="L246" s="117">
        <f>SUM(L236:L245)</f>
        <v>36800</v>
      </c>
      <c r="M246" s="117">
        <f>SUM(M236:M245)</f>
        <v>44300</v>
      </c>
      <c r="N246" s="129"/>
      <c r="O246" s="130"/>
    </row>
    <row r="247" spans="1:15">
      <c r="A247" s="13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3"/>
    </row>
    <row r="248" ht="16" customHeight="1" spans="1:15">
      <c r="A248" s="118"/>
      <c r="B248" s="65"/>
      <c r="C248" s="65"/>
      <c r="D248" s="65"/>
      <c r="E248" s="119"/>
      <c r="F248" s="65"/>
      <c r="G248" s="65"/>
      <c r="H248" s="65"/>
      <c r="I248" s="65"/>
      <c r="J248" s="65"/>
      <c r="K248" s="117"/>
      <c r="L248" s="117"/>
      <c r="M248" s="117"/>
      <c r="N248" s="17"/>
      <c r="O248" s="129"/>
    </row>
    <row r="249" ht="31" customHeight="1" spans="1:15">
      <c r="A249" s="118"/>
      <c r="B249" s="65"/>
      <c r="C249" s="65"/>
      <c r="D249" s="65"/>
      <c r="E249" s="119"/>
      <c r="F249" s="65"/>
      <c r="G249" s="65"/>
      <c r="H249" s="65"/>
      <c r="I249" s="65"/>
      <c r="J249" s="65"/>
      <c r="K249" s="117"/>
      <c r="L249" s="117"/>
      <c r="M249" s="117"/>
      <c r="N249" s="17"/>
      <c r="O249" s="120"/>
    </row>
    <row r="250" ht="31" customHeight="1" spans="1:15">
      <c r="A250" s="118"/>
      <c r="B250" s="65"/>
      <c r="C250" s="65"/>
      <c r="D250" s="65"/>
      <c r="E250" s="119"/>
      <c r="F250" s="65"/>
      <c r="G250" s="65"/>
      <c r="H250" s="65"/>
      <c r="I250" s="65"/>
      <c r="J250" s="65"/>
      <c r="K250" s="117"/>
      <c r="L250" s="117"/>
      <c r="M250" s="117"/>
      <c r="N250" s="17"/>
      <c r="O250" s="120"/>
    </row>
    <row r="251" ht="16" customHeight="1" spans="1:15">
      <c r="A251" s="118"/>
      <c r="B251" s="65"/>
      <c r="C251" s="65"/>
      <c r="D251" s="65"/>
      <c r="E251" s="119"/>
      <c r="F251" s="65"/>
      <c r="G251" s="65"/>
      <c r="H251" s="65"/>
      <c r="I251" s="65"/>
      <c r="J251" s="65"/>
      <c r="K251" s="117"/>
      <c r="L251" s="117"/>
      <c r="M251" s="117"/>
      <c r="N251" s="17"/>
      <c r="O251" s="120"/>
    </row>
    <row r="252" ht="31" customHeight="1" spans="1:15">
      <c r="A252" s="118"/>
      <c r="B252" s="65"/>
      <c r="C252" s="65"/>
      <c r="D252" s="65"/>
      <c r="E252" s="119"/>
      <c r="F252" s="65"/>
      <c r="G252" s="65"/>
      <c r="H252" s="65"/>
      <c r="I252" s="65"/>
      <c r="J252" s="65"/>
      <c r="K252" s="117"/>
      <c r="L252" s="117"/>
      <c r="M252" s="117"/>
      <c r="N252" s="17"/>
      <c r="O252" s="120"/>
    </row>
    <row r="253" ht="31" customHeight="1" spans="1:15">
      <c r="A253" s="118"/>
      <c r="B253" s="65"/>
      <c r="C253" s="65"/>
      <c r="D253" s="65"/>
      <c r="E253" s="119"/>
      <c r="F253" s="65"/>
      <c r="G253" s="65"/>
      <c r="H253" s="65"/>
      <c r="I253" s="65"/>
      <c r="J253" s="65"/>
      <c r="K253" s="117"/>
      <c r="L253" s="117"/>
      <c r="M253" s="117"/>
      <c r="N253" s="17"/>
      <c r="O253" s="120"/>
    </row>
    <row r="254" ht="31.75" customHeight="1" spans="1:15">
      <c r="A254" s="139"/>
      <c r="B254" s="140"/>
      <c r="C254" s="140"/>
      <c r="D254" s="140"/>
      <c r="E254" s="141"/>
      <c r="F254" s="140"/>
      <c r="G254" s="140"/>
      <c r="H254" s="140"/>
      <c r="I254" s="140"/>
      <c r="J254" s="140"/>
      <c r="K254" s="142"/>
      <c r="L254" s="142"/>
      <c r="M254" s="142"/>
      <c r="N254" s="143"/>
      <c r="O254" s="144"/>
    </row>
    <row r="255" spans="1:15">
      <c r="A255" s="135"/>
      <c r="B255" s="136"/>
      <c r="C255" s="136"/>
      <c r="D255" s="136"/>
      <c r="E255" s="136"/>
      <c r="F255" s="136"/>
      <c r="G255" s="136"/>
      <c r="H255" s="136"/>
      <c r="I255" s="136"/>
      <c r="J255" s="137"/>
      <c r="K255" s="117"/>
      <c r="L255" s="117"/>
      <c r="M255" s="117"/>
      <c r="N255" s="129"/>
      <c r="O255" s="130"/>
    </row>
    <row r="256" spans="1:15">
      <c r="A256" s="134" t="s">
        <v>134</v>
      </c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3"/>
    </row>
    <row r="257" ht="16" customHeight="1" spans="1:15">
      <c r="A257" s="118" t="s">
        <v>53</v>
      </c>
      <c r="B257" s="65" t="s">
        <v>54</v>
      </c>
      <c r="C257" s="65" t="s">
        <v>174</v>
      </c>
      <c r="D257" s="65" t="s">
        <v>55</v>
      </c>
      <c r="E257" s="119" t="s">
        <v>56</v>
      </c>
      <c r="F257" s="65" t="s">
        <v>175</v>
      </c>
      <c r="G257" s="65" t="s">
        <v>176</v>
      </c>
      <c r="H257" s="65" t="s">
        <v>177</v>
      </c>
      <c r="I257" s="65" t="s">
        <v>178</v>
      </c>
      <c r="J257" s="65" t="s">
        <v>179</v>
      </c>
      <c r="K257" s="117" t="s">
        <v>180</v>
      </c>
      <c r="L257" s="117" t="s">
        <v>181</v>
      </c>
      <c r="M257" s="117" t="s">
        <v>182</v>
      </c>
      <c r="N257" s="17" t="s">
        <v>183</v>
      </c>
      <c r="O257" s="129" t="s">
        <v>184</v>
      </c>
    </row>
    <row r="258" ht="16" customHeight="1" spans="1:15">
      <c r="A258" s="122" t="s">
        <v>40</v>
      </c>
      <c r="B258" s="123">
        <v>1</v>
      </c>
      <c r="C258" s="123" t="s">
        <v>171</v>
      </c>
      <c r="D258" s="123" t="s">
        <v>136</v>
      </c>
      <c r="E258" s="124" t="s">
        <v>137</v>
      </c>
      <c r="F258" s="145">
        <v>98</v>
      </c>
      <c r="G258" s="123" t="s">
        <v>289</v>
      </c>
      <c r="H258" s="123" t="s">
        <v>290</v>
      </c>
      <c r="I258" s="123" t="s">
        <v>291</v>
      </c>
      <c r="J258" s="123" t="s">
        <v>181</v>
      </c>
      <c r="K258" s="125"/>
      <c r="L258" s="125">
        <v>20000</v>
      </c>
      <c r="M258" s="125">
        <v>20000</v>
      </c>
      <c r="N258" s="126" t="s">
        <v>292</v>
      </c>
      <c r="O258" s="127" t="s">
        <v>293</v>
      </c>
    </row>
    <row r="259" spans="1:15">
      <c r="A259" s="135" t="s">
        <v>294</v>
      </c>
      <c r="B259" s="136"/>
      <c r="C259" s="136"/>
      <c r="D259" s="136"/>
      <c r="E259" s="136"/>
      <c r="F259" s="136"/>
      <c r="G259" s="136"/>
      <c r="H259" s="136"/>
      <c r="I259" s="136"/>
      <c r="J259" s="137"/>
      <c r="K259" s="117">
        <f>SUM(K258:K258)</f>
        <v>0</v>
      </c>
      <c r="L259" s="117">
        <f>SUM(L258:L258)</f>
        <v>20000</v>
      </c>
      <c r="M259" s="117">
        <f>SUM(M258:M258)</f>
        <v>20000</v>
      </c>
      <c r="N259" s="129"/>
      <c r="O259" s="130"/>
    </row>
    <row r="260" spans="1:15">
      <c r="A260" s="134" t="s">
        <v>138</v>
      </c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3"/>
    </row>
    <row r="261" ht="16" customHeight="1" spans="1:15">
      <c r="A261" s="118" t="s">
        <v>53</v>
      </c>
      <c r="B261" s="65" t="s">
        <v>54</v>
      </c>
      <c r="C261" s="65" t="s">
        <v>174</v>
      </c>
      <c r="D261" s="65" t="s">
        <v>55</v>
      </c>
      <c r="E261" s="119" t="s">
        <v>56</v>
      </c>
      <c r="F261" s="65" t="s">
        <v>175</v>
      </c>
      <c r="G261" s="65" t="s">
        <v>176</v>
      </c>
      <c r="H261" s="65" t="s">
        <v>177</v>
      </c>
      <c r="I261" s="65" t="s">
        <v>178</v>
      </c>
      <c r="J261" s="65" t="s">
        <v>179</v>
      </c>
      <c r="K261" s="117" t="s">
        <v>180</v>
      </c>
      <c r="L261" s="117" t="s">
        <v>181</v>
      </c>
      <c r="M261" s="117" t="s">
        <v>182</v>
      </c>
      <c r="N261" s="17" t="s">
        <v>183</v>
      </c>
      <c r="O261" s="129" t="s">
        <v>184</v>
      </c>
    </row>
    <row r="262" ht="16" customHeight="1" spans="1:15">
      <c r="A262" s="122" t="s">
        <v>43</v>
      </c>
      <c r="B262" s="123">
        <v>1</v>
      </c>
      <c r="C262" s="123" t="s">
        <v>171</v>
      </c>
      <c r="D262" s="123" t="s">
        <v>141</v>
      </c>
      <c r="E262" s="124" t="s">
        <v>142</v>
      </c>
      <c r="F262" s="145" t="s">
        <v>322</v>
      </c>
      <c r="G262" s="123" t="s">
        <v>297</v>
      </c>
      <c r="H262" s="123" t="s">
        <v>268</v>
      </c>
      <c r="I262" s="123" t="s">
        <v>188</v>
      </c>
      <c r="J262" s="123" t="s">
        <v>181</v>
      </c>
      <c r="K262" s="125"/>
      <c r="L262" s="125">
        <v>42500</v>
      </c>
      <c r="M262" s="125">
        <v>42500</v>
      </c>
      <c r="N262" s="126" t="s">
        <v>298</v>
      </c>
      <c r="O262" s="127" t="s">
        <v>299</v>
      </c>
    </row>
    <row r="263" spans="1:15">
      <c r="A263" s="135" t="s">
        <v>300</v>
      </c>
      <c r="B263" s="136"/>
      <c r="C263" s="136"/>
      <c r="D263" s="136"/>
      <c r="E263" s="136"/>
      <c r="F263" s="136"/>
      <c r="G263" s="136"/>
      <c r="H263" s="136"/>
      <c r="I263" s="136"/>
      <c r="J263" s="137"/>
      <c r="K263" s="117">
        <f>SUM(K262:K262)</f>
        <v>0</v>
      </c>
      <c r="L263" s="117">
        <f>SUM(L262:L262)</f>
        <v>42500</v>
      </c>
      <c r="M263" s="117">
        <f>SUM(M262:M262)</f>
        <v>42500</v>
      </c>
      <c r="N263" s="129"/>
      <c r="O263" s="130"/>
    </row>
    <row r="264" ht="16" customHeight="1" spans="1:15">
      <c r="A264" s="146"/>
      <c r="B264" s="147"/>
      <c r="C264" s="147"/>
      <c r="D264" s="148"/>
      <c r="E264" s="149"/>
      <c r="F264" s="150"/>
      <c r="G264" s="150"/>
      <c r="H264" s="151"/>
      <c r="I264" s="62"/>
      <c r="J264" s="62"/>
      <c r="K264" s="115"/>
      <c r="L264" s="115"/>
      <c r="M264" s="115"/>
      <c r="N264" s="78"/>
      <c r="O264" s="116"/>
    </row>
    <row r="265" ht="31" customHeight="1" spans="1:15">
      <c r="A265" s="152"/>
      <c r="B265" s="153"/>
      <c r="C265" s="153"/>
      <c r="D265" s="154"/>
      <c r="E265" s="155"/>
      <c r="F265" s="156"/>
      <c r="G265" s="156"/>
      <c r="H265" s="157"/>
      <c r="I265" s="65"/>
      <c r="J265" s="65"/>
      <c r="K265" s="117"/>
      <c r="L265" s="117"/>
      <c r="M265" s="117"/>
      <c r="N265" s="17"/>
      <c r="O265" s="120"/>
    </row>
    <row r="266" ht="31" customHeight="1" spans="1:15">
      <c r="A266" s="158"/>
      <c r="B266" s="159"/>
      <c r="C266" s="159"/>
      <c r="D266" s="160"/>
      <c r="E266" s="155"/>
      <c r="F266" s="156"/>
      <c r="G266" s="156"/>
      <c r="H266" s="157"/>
      <c r="I266" s="65"/>
      <c r="J266" s="65"/>
      <c r="K266" s="117"/>
      <c r="L266" s="117"/>
      <c r="M266" s="117"/>
      <c r="N266" s="17"/>
      <c r="O266" s="120"/>
    </row>
  </sheetData>
  <mergeCells count="103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B10:O10"/>
    <mergeCell ref="Q10:W10"/>
    <mergeCell ref="A11:O11"/>
    <mergeCell ref="A33:J33"/>
    <mergeCell ref="N33:O33"/>
    <mergeCell ref="A34:O34"/>
    <mergeCell ref="A43:J43"/>
    <mergeCell ref="N43:O43"/>
    <mergeCell ref="A44:O44"/>
    <mergeCell ref="A55:J55"/>
    <mergeCell ref="N55:O55"/>
    <mergeCell ref="A56:O56"/>
    <mergeCell ref="A64:J64"/>
    <mergeCell ref="N64:O64"/>
    <mergeCell ref="A65:O65"/>
    <mergeCell ref="A73:J73"/>
    <mergeCell ref="N73:O73"/>
    <mergeCell ref="A74:O74"/>
    <mergeCell ref="A81:J81"/>
    <mergeCell ref="N81:O81"/>
    <mergeCell ref="A82:O82"/>
    <mergeCell ref="A88:J88"/>
    <mergeCell ref="N88:O88"/>
    <mergeCell ref="A89:O89"/>
    <mergeCell ref="A97:J97"/>
    <mergeCell ref="N97:O97"/>
    <mergeCell ref="A98:O98"/>
    <mergeCell ref="A105:J105"/>
    <mergeCell ref="N105:O105"/>
    <mergeCell ref="A106:O106"/>
    <mergeCell ref="A114:J114"/>
    <mergeCell ref="N114:O114"/>
    <mergeCell ref="A115:O115"/>
    <mergeCell ref="A118:J118"/>
    <mergeCell ref="N118:O118"/>
    <mergeCell ref="A119:O119"/>
    <mergeCell ref="A122:J122"/>
    <mergeCell ref="N122:O122"/>
    <mergeCell ref="A123:O123"/>
    <mergeCell ref="B124:O124"/>
    <mergeCell ref="A125:O125"/>
    <mergeCell ref="A148:J148"/>
    <mergeCell ref="N148:O148"/>
    <mergeCell ref="A149:O149"/>
    <mergeCell ref="A158:J158"/>
    <mergeCell ref="N158:O158"/>
    <mergeCell ref="A159:O159"/>
    <mergeCell ref="A172:J172"/>
    <mergeCell ref="N172:O172"/>
    <mergeCell ref="A173:O173"/>
    <mergeCell ref="A181:J181"/>
    <mergeCell ref="N181:O181"/>
    <mergeCell ref="A182:O182"/>
    <mergeCell ref="A190:J190"/>
    <mergeCell ref="N190:O190"/>
    <mergeCell ref="A191:O191"/>
    <mergeCell ref="A199:J199"/>
    <mergeCell ref="N199:O199"/>
    <mergeCell ref="A200:O200"/>
    <mergeCell ref="A207:J207"/>
    <mergeCell ref="N207:O207"/>
    <mergeCell ref="A208:O208"/>
    <mergeCell ref="A216:J216"/>
    <mergeCell ref="N216:O216"/>
    <mergeCell ref="A217:O217"/>
    <mergeCell ref="A224:J224"/>
    <mergeCell ref="N224:O224"/>
    <mergeCell ref="A225:O225"/>
    <mergeCell ref="A233:J233"/>
    <mergeCell ref="N233:O233"/>
    <mergeCell ref="A234:O234"/>
    <mergeCell ref="A246:J246"/>
    <mergeCell ref="N246:O246"/>
    <mergeCell ref="A247:O247"/>
    <mergeCell ref="A255:J255"/>
    <mergeCell ref="N255:O255"/>
    <mergeCell ref="A256:O256"/>
    <mergeCell ref="A259:J259"/>
    <mergeCell ref="N259:O259"/>
    <mergeCell ref="A260:O260"/>
    <mergeCell ref="A263:J263"/>
    <mergeCell ref="N263:O263"/>
    <mergeCell ref="F264:H264"/>
    <mergeCell ref="F265:H265"/>
    <mergeCell ref="F266:H266"/>
    <mergeCell ref="A264:D266"/>
  </mergeCells>
  <pageMargins left="0.7" right="0.7" top="0.75" bottom="0.75" header="0.3" footer="0.3"/>
  <headerFooter/>
  <ignoredErrors>
    <ignoredError sqref="U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5"/>
  <sheetViews>
    <sheetView showGridLines="0" topLeftCell="J6" workbookViewId="0">
      <selection activeCell="N12" sqref="N12"/>
    </sheetView>
  </sheetViews>
  <sheetFormatPr defaultColWidth="9.64285714285714" defaultRowHeight="17.6"/>
  <cols>
    <col min="1" max="1" width="14" customWidth="1"/>
    <col min="2" max="2" width="10" customWidth="1"/>
    <col min="3" max="3" width="8" customWidth="1"/>
    <col min="4" max="4" width="25.1428571428571" customWidth="1"/>
    <col min="5" max="5" width="13" customWidth="1"/>
    <col min="6" max="6" width="42.2589285714286" customWidth="1"/>
    <col min="7" max="7" width="12" customWidth="1"/>
    <col min="8" max="8" width="14" customWidth="1"/>
    <col min="9" max="10" width="12" customWidth="1"/>
    <col min="11" max="11" width="22" customWidth="1"/>
    <col min="12" max="12" width="14" customWidth="1"/>
    <col min="13" max="13" width="52" customWidth="1"/>
    <col min="14" max="14" width="63.0982142857143" customWidth="1"/>
    <col min="15" max="15" width="12.0535714285714" customWidth="1"/>
    <col min="16" max="16" width="15.1785714285714" customWidth="1"/>
    <col min="17" max="17" width="12.4910714285714" customWidth="1"/>
    <col min="18" max="18" width="13.2857142857143" customWidth="1"/>
    <col min="19" max="19" width="11.9017857142857" customWidth="1"/>
    <col min="20" max="16380" width="9.64285714285714" customWidth="1"/>
  </cols>
  <sheetData>
    <row r="1" ht="23.2" customHeight="1" spans="1:18">
      <c r="A1" s="56" t="s">
        <v>323</v>
      </c>
      <c r="P1" s="57" t="s">
        <v>166</v>
      </c>
    </row>
    <row r="2" spans="1:18">
      <c r="A2" s="58" t="s">
        <v>148</v>
      </c>
      <c r="B2" s="59" t="s">
        <v>149</v>
      </c>
      <c r="C2" s="58" t="s">
        <v>150</v>
      </c>
      <c r="D2" s="59" t="s">
        <v>151</v>
      </c>
      <c r="E2" s="60"/>
      <c r="F2" s="60"/>
      <c r="G2" s="60"/>
      <c r="H2" s="60"/>
      <c r="I2" s="60"/>
      <c r="J2" s="60"/>
      <c r="K2" s="60"/>
      <c r="L2" s="61"/>
      <c r="M2" s="83"/>
      <c r="N2" s="60"/>
      <c r="P2" s="62" t="s">
        <v>3</v>
      </c>
      <c r="Q2" s="63" t="s">
        <v>168</v>
      </c>
      <c r="R2" s="64" t="s">
        <v>171</v>
      </c>
    </row>
    <row r="3" spans="1:18">
      <c r="A3" s="58" t="s">
        <v>154</v>
      </c>
      <c r="B3" s="59" t="s">
        <v>155</v>
      </c>
      <c r="C3" s="58" t="s">
        <v>162</v>
      </c>
      <c r="D3" s="59" t="s">
        <v>163</v>
      </c>
      <c r="E3" s="60"/>
      <c r="F3" s="60"/>
      <c r="G3" s="60"/>
      <c r="H3" s="60"/>
      <c r="I3" s="60"/>
      <c r="J3" s="60"/>
      <c r="K3" s="60"/>
      <c r="L3" s="61"/>
      <c r="M3" s="83"/>
      <c r="N3" s="60"/>
      <c r="P3" s="65" t="s">
        <v>26</v>
      </c>
      <c r="Q3" s="66">
        <f t="shared" ref="Q3:Q12" si="0">SUMIFS($L$1:$L$175,$C$1:$C$175,"DV",$A$1:$A$175,$P3)</f>
        <v>161416</v>
      </c>
      <c r="R3" s="67">
        <f t="shared" ref="R3:R15" si="1">SUMIFS($L$1:$L$175,$C$1:$C$175,"PV",$A$1:$A$175,$P3)</f>
        <v>161416</v>
      </c>
    </row>
    <row r="4" spans="1:18">
      <c r="A4" s="58" t="s">
        <v>152</v>
      </c>
      <c r="B4" s="59" t="s">
        <v>153</v>
      </c>
      <c r="C4" s="58" t="s">
        <v>156</v>
      </c>
      <c r="D4" s="59" t="s">
        <v>157</v>
      </c>
      <c r="E4" s="60"/>
      <c r="F4" s="60"/>
      <c r="G4" s="60"/>
      <c r="H4" s="60"/>
      <c r="I4" s="60"/>
      <c r="J4" s="60"/>
      <c r="K4" s="60"/>
      <c r="L4" s="61"/>
      <c r="M4" s="83"/>
      <c r="N4" s="60"/>
      <c r="P4" s="65" t="s">
        <v>27</v>
      </c>
      <c r="Q4" s="66">
        <f t="shared" si="0"/>
        <v>35750</v>
      </c>
      <c r="R4" s="67">
        <f t="shared" si="1"/>
        <v>35750</v>
      </c>
    </row>
    <row r="5" spans="1:18">
      <c r="A5" s="58" t="s">
        <v>158</v>
      </c>
      <c r="B5" s="59" t="s">
        <v>159</v>
      </c>
      <c r="C5" s="58" t="s">
        <v>160</v>
      </c>
      <c r="D5" s="59" t="s">
        <v>161</v>
      </c>
      <c r="E5" s="60"/>
      <c r="F5" s="60"/>
      <c r="G5" s="60"/>
      <c r="H5" s="60"/>
      <c r="I5" s="60"/>
      <c r="J5" s="60"/>
      <c r="K5" s="60"/>
      <c r="L5" s="61"/>
      <c r="M5" s="83"/>
      <c r="N5" s="60"/>
      <c r="P5" s="65" t="s">
        <v>30</v>
      </c>
      <c r="Q5" s="66">
        <f t="shared" si="0"/>
        <v>57458</v>
      </c>
      <c r="R5" s="67">
        <f t="shared" si="1"/>
        <v>57458</v>
      </c>
    </row>
    <row r="6" spans="1:18">
      <c r="A6" s="84" t="s">
        <v>164</v>
      </c>
      <c r="B6" s="85" t="s">
        <v>324</v>
      </c>
      <c r="P6" s="65" t="s">
        <v>31</v>
      </c>
      <c r="Q6" s="66">
        <f t="shared" si="0"/>
        <v>104800</v>
      </c>
      <c r="R6" s="67">
        <f t="shared" si="1"/>
        <v>104800</v>
      </c>
    </row>
    <row r="7" spans="1:18">
      <c r="A7" s="70" t="s">
        <v>167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7"/>
      <c r="P7" s="65" t="s">
        <v>32</v>
      </c>
      <c r="Q7" s="66">
        <f t="shared" si="0"/>
        <v>8280</v>
      </c>
      <c r="R7" s="67">
        <f t="shared" si="1"/>
        <v>8280</v>
      </c>
    </row>
    <row r="8" spans="1:18">
      <c r="A8" s="72" t="s">
        <v>53</v>
      </c>
      <c r="B8" s="72" t="s">
        <v>54</v>
      </c>
      <c r="C8" s="72" t="s">
        <v>174</v>
      </c>
      <c r="D8" s="72" t="s">
        <v>325</v>
      </c>
      <c r="E8" s="72" t="s">
        <v>55</v>
      </c>
      <c r="F8" s="72" t="s">
        <v>56</v>
      </c>
      <c r="G8" s="72" t="s">
        <v>175</v>
      </c>
      <c r="H8" s="72" t="s">
        <v>176</v>
      </c>
      <c r="I8" s="72" t="s">
        <v>177</v>
      </c>
      <c r="J8" s="72" t="s">
        <v>178</v>
      </c>
      <c r="K8" s="72" t="s">
        <v>326</v>
      </c>
      <c r="L8" s="88" t="s">
        <v>327</v>
      </c>
      <c r="M8" s="72" t="s">
        <v>183</v>
      </c>
      <c r="N8" s="72" t="s">
        <v>184</v>
      </c>
      <c r="P8" s="65" t="s">
        <v>33</v>
      </c>
      <c r="Q8" s="66">
        <f t="shared" si="0"/>
        <v>68530</v>
      </c>
      <c r="R8" s="67">
        <f t="shared" si="1"/>
        <v>68530</v>
      </c>
    </row>
    <row r="9" ht="31" customHeight="1" spans="1:18">
      <c r="A9" s="74" t="s">
        <v>26</v>
      </c>
      <c r="B9" s="74">
        <v>2</v>
      </c>
      <c r="C9" s="74" t="s">
        <v>168</v>
      </c>
      <c r="D9" s="74" t="s">
        <v>50</v>
      </c>
      <c r="E9" s="74" t="s">
        <v>68</v>
      </c>
      <c r="F9" s="74" t="s">
        <v>69</v>
      </c>
      <c r="G9" s="74" t="s">
        <v>185</v>
      </c>
      <c r="H9" s="74" t="s">
        <v>186</v>
      </c>
      <c r="I9" s="74" t="s">
        <v>191</v>
      </c>
      <c r="J9" s="74" t="s">
        <v>188</v>
      </c>
      <c r="K9" s="74" t="s">
        <v>328</v>
      </c>
      <c r="L9" s="75">
        <v>5600</v>
      </c>
      <c r="M9" s="89" t="s">
        <v>192</v>
      </c>
      <c r="N9" s="74"/>
      <c r="P9" s="65" t="s">
        <v>35</v>
      </c>
      <c r="Q9" s="66">
        <f t="shared" si="0"/>
        <v>8900</v>
      </c>
      <c r="R9" s="67">
        <f t="shared" si="1"/>
        <v>8900</v>
      </c>
    </row>
    <row r="10" ht="46" customHeight="1" spans="1:18">
      <c r="A10" s="74" t="s">
        <v>26</v>
      </c>
      <c r="B10" s="74">
        <v>3</v>
      </c>
      <c r="C10" s="74" t="s">
        <v>168</v>
      </c>
      <c r="D10" s="74" t="s">
        <v>50</v>
      </c>
      <c r="E10" s="74" t="s">
        <v>70</v>
      </c>
      <c r="F10" s="74" t="s">
        <v>71</v>
      </c>
      <c r="G10" s="74" t="s">
        <v>193</v>
      </c>
      <c r="H10" s="74" t="s">
        <v>194</v>
      </c>
      <c r="I10" s="74" t="s">
        <v>194</v>
      </c>
      <c r="J10" s="74" t="s">
        <v>195</v>
      </c>
      <c r="K10" s="74" t="s">
        <v>329</v>
      </c>
      <c r="L10" s="75">
        <v>720</v>
      </c>
      <c r="M10" s="89" t="s">
        <v>196</v>
      </c>
      <c r="N10" s="74"/>
      <c r="P10" s="65" t="s">
        <v>37</v>
      </c>
      <c r="Q10" s="66">
        <f t="shared" si="0"/>
        <v>27800</v>
      </c>
      <c r="R10" s="67">
        <f t="shared" si="1"/>
        <v>27800</v>
      </c>
    </row>
    <row r="11" ht="16" customHeight="1" spans="1:18">
      <c r="A11" s="74" t="s">
        <v>26</v>
      </c>
      <c r="B11" s="74">
        <v>4</v>
      </c>
      <c r="C11" s="74" t="s">
        <v>168</v>
      </c>
      <c r="D11" s="74" t="s">
        <v>50</v>
      </c>
      <c r="E11" s="74" t="s">
        <v>72</v>
      </c>
      <c r="F11" s="74" t="s">
        <v>73</v>
      </c>
      <c r="G11" s="74" t="s">
        <v>193</v>
      </c>
      <c r="H11" s="74" t="s">
        <v>194</v>
      </c>
      <c r="I11" s="74" t="s">
        <v>194</v>
      </c>
      <c r="J11" s="74" t="s">
        <v>195</v>
      </c>
      <c r="K11" s="74" t="s">
        <v>329</v>
      </c>
      <c r="L11" s="75">
        <v>720</v>
      </c>
      <c r="M11" s="89" t="s">
        <v>196</v>
      </c>
      <c r="N11" s="74"/>
      <c r="P11" s="65" t="s">
        <v>38</v>
      </c>
      <c r="Q11" s="66">
        <f t="shared" si="0"/>
        <v>27800</v>
      </c>
      <c r="R11" s="67">
        <f t="shared" si="1"/>
        <v>27800</v>
      </c>
    </row>
    <row r="12" ht="16" customHeight="1" spans="1:18">
      <c r="A12" s="74" t="s">
        <v>26</v>
      </c>
      <c r="B12" s="74">
        <v>5</v>
      </c>
      <c r="C12" s="74" t="s">
        <v>168</v>
      </c>
      <c r="D12" s="74" t="s">
        <v>50</v>
      </c>
      <c r="E12" s="74" t="s">
        <v>74</v>
      </c>
      <c r="F12" s="74" t="s">
        <v>75</v>
      </c>
      <c r="G12" s="74" t="s">
        <v>193</v>
      </c>
      <c r="H12" s="74" t="s">
        <v>194</v>
      </c>
      <c r="I12" s="74" t="s">
        <v>194</v>
      </c>
      <c r="J12" s="74" t="s">
        <v>195</v>
      </c>
      <c r="K12" s="74" t="s">
        <v>329</v>
      </c>
      <c r="L12" s="75">
        <v>720</v>
      </c>
      <c r="M12" s="89" t="s">
        <v>196</v>
      </c>
      <c r="N12" s="74"/>
      <c r="P12" s="65" t="s">
        <v>39</v>
      </c>
      <c r="Q12" s="66">
        <f t="shared" si="0"/>
        <v>30100</v>
      </c>
      <c r="R12" s="67">
        <f t="shared" si="1"/>
        <v>30100</v>
      </c>
    </row>
    <row r="13" ht="31" customHeight="1" spans="1:18">
      <c r="A13" s="74" t="s">
        <v>26</v>
      </c>
      <c r="B13" s="74">
        <v>6</v>
      </c>
      <c r="C13" s="74" t="s">
        <v>168</v>
      </c>
      <c r="D13" s="74" t="s">
        <v>50</v>
      </c>
      <c r="E13" s="74" t="s">
        <v>76</v>
      </c>
      <c r="F13" s="74" t="s">
        <v>77</v>
      </c>
      <c r="G13" s="74" t="s">
        <v>193</v>
      </c>
      <c r="H13" s="74" t="s">
        <v>197</v>
      </c>
      <c r="I13" s="74" t="s">
        <v>197</v>
      </c>
      <c r="J13" s="74" t="s">
        <v>195</v>
      </c>
      <c r="K13" s="74" t="s">
        <v>329</v>
      </c>
      <c r="L13" s="75">
        <v>2880</v>
      </c>
      <c r="M13" s="89" t="s">
        <v>198</v>
      </c>
      <c r="N13" s="74"/>
      <c r="P13" s="65" t="s">
        <v>42</v>
      </c>
      <c r="Q13" s="66" t="s">
        <v>210</v>
      </c>
      <c r="R13" s="67">
        <f t="shared" si="1"/>
        <v>36800</v>
      </c>
    </row>
    <row r="14" ht="31" customHeight="1" spans="1:18">
      <c r="A14" s="74" t="s">
        <v>26</v>
      </c>
      <c r="B14" s="74">
        <v>7</v>
      </c>
      <c r="C14" s="74" t="s">
        <v>168</v>
      </c>
      <c r="D14" s="74" t="s">
        <v>50</v>
      </c>
      <c r="E14" s="74" t="s">
        <v>78</v>
      </c>
      <c r="F14" s="74" t="s">
        <v>79</v>
      </c>
      <c r="G14" s="74" t="s">
        <v>193</v>
      </c>
      <c r="H14" s="74" t="s">
        <v>199</v>
      </c>
      <c r="I14" s="74" t="s">
        <v>200</v>
      </c>
      <c r="J14" s="74" t="s">
        <v>201</v>
      </c>
      <c r="K14" s="74" t="s">
        <v>330</v>
      </c>
      <c r="L14" s="75">
        <v>3360</v>
      </c>
      <c r="M14" s="89" t="s">
        <v>331</v>
      </c>
      <c r="N14" s="74"/>
      <c r="P14" s="65" t="s">
        <v>40</v>
      </c>
      <c r="Q14" s="66">
        <f>SUMIFS($L$1:$L$175,$C$1:$C$175,"DV",$A$1:$A$175,$P14)</f>
        <v>0</v>
      </c>
      <c r="R14" s="67">
        <f t="shared" si="1"/>
        <v>0</v>
      </c>
    </row>
    <row r="15" ht="31" customHeight="1" spans="1:18">
      <c r="A15" s="74" t="s">
        <v>26</v>
      </c>
      <c r="B15" s="74">
        <v>8</v>
      </c>
      <c r="C15" s="74" t="s">
        <v>168</v>
      </c>
      <c r="D15" s="74" t="s">
        <v>50</v>
      </c>
      <c r="E15" s="74" t="s">
        <v>80</v>
      </c>
      <c r="F15" s="74" t="s">
        <v>203</v>
      </c>
      <c r="G15" s="74" t="s">
        <v>193</v>
      </c>
      <c r="H15" s="74" t="s">
        <v>204</v>
      </c>
      <c r="I15" s="74" t="s">
        <v>204</v>
      </c>
      <c r="J15" s="74" t="s">
        <v>195</v>
      </c>
      <c r="K15" s="74" t="s">
        <v>329</v>
      </c>
      <c r="L15" s="75">
        <v>7200</v>
      </c>
      <c r="M15" s="89" t="s">
        <v>205</v>
      </c>
      <c r="N15" s="74"/>
      <c r="P15" s="65" t="s">
        <v>43</v>
      </c>
      <c r="Q15" s="66">
        <f>SUMIFS($L$1:$L$175,$C$1:$C$175,"DV",$A$1:$A$175,$P15)</f>
        <v>42500</v>
      </c>
      <c r="R15" s="67">
        <f t="shared" si="1"/>
        <v>42500</v>
      </c>
    </row>
    <row r="16" ht="16" customHeight="1" spans="1:18">
      <c r="A16" s="74" t="s">
        <v>26</v>
      </c>
      <c r="B16" s="74">
        <v>9</v>
      </c>
      <c r="C16" s="74" t="s">
        <v>168</v>
      </c>
      <c r="D16" s="74" t="s">
        <v>50</v>
      </c>
      <c r="E16" s="74" t="s">
        <v>82</v>
      </c>
      <c r="F16" s="74" t="s">
        <v>83</v>
      </c>
      <c r="G16" s="74" t="s">
        <v>193</v>
      </c>
      <c r="H16" s="74" t="s">
        <v>206</v>
      </c>
      <c r="I16" s="74" t="s">
        <v>206</v>
      </c>
      <c r="J16" s="74" t="s">
        <v>195</v>
      </c>
      <c r="K16" s="74" t="s">
        <v>332</v>
      </c>
      <c r="L16" s="75">
        <v>30500</v>
      </c>
      <c r="M16" s="89" t="s">
        <v>207</v>
      </c>
      <c r="N16" s="74"/>
      <c r="P16" s="65" t="s">
        <v>216</v>
      </c>
      <c r="Q16" s="66">
        <v>12000</v>
      </c>
      <c r="R16" s="67">
        <v>12000</v>
      </c>
    </row>
    <row r="17" ht="16" customHeight="1" spans="1:18">
      <c r="A17" s="74" t="s">
        <v>26</v>
      </c>
      <c r="B17" s="74">
        <v>10</v>
      </c>
      <c r="C17" s="74" t="s">
        <v>168</v>
      </c>
      <c r="D17" s="74" t="s">
        <v>50</v>
      </c>
      <c r="E17" s="74" t="s">
        <v>68</v>
      </c>
      <c r="F17" s="74" t="s">
        <v>69</v>
      </c>
      <c r="G17" s="74" t="s">
        <v>193</v>
      </c>
      <c r="H17" s="74" t="s">
        <v>208</v>
      </c>
      <c r="I17" s="74" t="s">
        <v>191</v>
      </c>
      <c r="J17" s="74" t="s">
        <v>188</v>
      </c>
      <c r="K17" s="74" t="s">
        <v>328</v>
      </c>
      <c r="L17" s="75">
        <v>4800</v>
      </c>
      <c r="M17" s="89" t="s">
        <v>209</v>
      </c>
      <c r="N17" s="74"/>
      <c r="P17" s="76" t="s">
        <v>219</v>
      </c>
      <c r="Q17" s="66">
        <v>0</v>
      </c>
      <c r="R17" s="67">
        <v>0</v>
      </c>
    </row>
    <row r="18" ht="16" customHeight="1" spans="1:18">
      <c r="A18" s="74" t="s">
        <v>26</v>
      </c>
      <c r="B18" s="74">
        <v>11</v>
      </c>
      <c r="C18" s="74" t="s">
        <v>168</v>
      </c>
      <c r="D18" s="74" t="s">
        <v>50</v>
      </c>
      <c r="E18" s="74" t="s">
        <v>84</v>
      </c>
      <c r="F18" s="74" t="s">
        <v>85</v>
      </c>
      <c r="G18" s="74" t="s">
        <v>193</v>
      </c>
      <c r="H18" s="74" t="s">
        <v>200</v>
      </c>
      <c r="I18" s="74" t="s">
        <v>200</v>
      </c>
      <c r="J18" s="74" t="s">
        <v>195</v>
      </c>
      <c r="K18" s="74" t="s">
        <v>333</v>
      </c>
      <c r="L18" s="75">
        <v>24000</v>
      </c>
      <c r="M18" s="89" t="s">
        <v>211</v>
      </c>
      <c r="N18" s="74"/>
      <c r="P18" s="77" t="s">
        <v>223</v>
      </c>
      <c r="Q18" s="66">
        <f>SUM(Q3:Q17)</f>
        <v>585334</v>
      </c>
      <c r="R18" s="67">
        <f>SUM(R3:R17)</f>
        <v>622134</v>
      </c>
    </row>
    <row r="19" ht="16" customHeight="1" spans="1:18">
      <c r="A19" s="74" t="s">
        <v>26</v>
      </c>
      <c r="B19" s="74">
        <v>12</v>
      </c>
      <c r="C19" s="74" t="s">
        <v>168</v>
      </c>
      <c r="D19" s="74" t="s">
        <v>50</v>
      </c>
      <c r="E19" s="74" t="s">
        <v>86</v>
      </c>
      <c r="F19" s="74" t="s">
        <v>212</v>
      </c>
      <c r="G19" s="74" t="s">
        <v>185</v>
      </c>
      <c r="H19" s="74" t="s">
        <v>186</v>
      </c>
      <c r="I19" s="74" t="s">
        <v>200</v>
      </c>
      <c r="J19" s="74" t="s">
        <v>188</v>
      </c>
      <c r="K19" s="74" t="s">
        <v>334</v>
      </c>
      <c r="L19" s="75">
        <v>4200</v>
      </c>
      <c r="M19" s="89" t="s">
        <v>213</v>
      </c>
      <c r="N19" s="74"/>
      <c r="P19" s="78"/>
      <c r="Q19" s="66"/>
      <c r="R19" s="67"/>
    </row>
    <row r="20" ht="16" customHeight="1" spans="1:18">
      <c r="A20" s="74" t="s">
        <v>26</v>
      </c>
      <c r="B20" s="74">
        <v>13</v>
      </c>
      <c r="C20" s="74" t="s">
        <v>168</v>
      </c>
      <c r="D20" s="74" t="s">
        <v>50</v>
      </c>
      <c r="E20" s="74" t="s">
        <v>88</v>
      </c>
      <c r="F20" s="74" t="s">
        <v>214</v>
      </c>
      <c r="G20" s="74" t="s">
        <v>193</v>
      </c>
      <c r="H20" s="74" t="s">
        <v>208</v>
      </c>
      <c r="I20" s="74" t="s">
        <v>200</v>
      </c>
      <c r="J20" s="74" t="s">
        <v>188</v>
      </c>
      <c r="K20" s="74" t="s">
        <v>335</v>
      </c>
      <c r="L20" s="75">
        <v>3996</v>
      </c>
      <c r="M20" s="89" t="s">
        <v>336</v>
      </c>
      <c r="N20" s="74"/>
    </row>
    <row r="21" ht="16" customHeight="1" spans="1:18">
      <c r="A21" s="74" t="s">
        <v>26</v>
      </c>
      <c r="B21" s="74">
        <v>14</v>
      </c>
      <c r="C21" s="74" t="s">
        <v>168</v>
      </c>
      <c r="D21" s="74" t="s">
        <v>50</v>
      </c>
      <c r="E21" s="74" t="s">
        <v>90</v>
      </c>
      <c r="F21" s="74" t="s">
        <v>91</v>
      </c>
      <c r="G21" s="74" t="s">
        <v>193</v>
      </c>
      <c r="H21" s="74" t="s">
        <v>208</v>
      </c>
      <c r="I21" s="74" t="s">
        <v>204</v>
      </c>
      <c r="J21" s="74" t="s">
        <v>188</v>
      </c>
      <c r="K21" s="74" t="s">
        <v>337</v>
      </c>
      <c r="L21" s="75">
        <v>48000</v>
      </c>
      <c r="M21" s="89" t="s">
        <v>338</v>
      </c>
      <c r="N21" s="74" t="s">
        <v>218</v>
      </c>
    </row>
    <row r="22" ht="16" customHeight="1" spans="1:18">
      <c r="A22" s="74" t="s">
        <v>26</v>
      </c>
      <c r="B22" s="74">
        <v>15</v>
      </c>
      <c r="C22" s="74" t="s">
        <v>168</v>
      </c>
      <c r="D22" s="74" t="s">
        <v>50</v>
      </c>
      <c r="E22" s="74" t="s">
        <v>92</v>
      </c>
      <c r="F22" s="74" t="s">
        <v>220</v>
      </c>
      <c r="G22" s="74" t="s">
        <v>193</v>
      </c>
      <c r="H22" s="74" t="s">
        <v>221</v>
      </c>
      <c r="I22" s="74" t="s">
        <v>221</v>
      </c>
      <c r="J22" s="74" t="s">
        <v>195</v>
      </c>
      <c r="K22" s="74" t="s">
        <v>329</v>
      </c>
      <c r="L22" s="75">
        <v>7920</v>
      </c>
      <c r="M22" s="89" t="s">
        <v>222</v>
      </c>
      <c r="N22" s="74"/>
    </row>
    <row r="23" ht="16" customHeight="1" spans="1:18">
      <c r="A23" s="74" t="s">
        <v>26</v>
      </c>
      <c r="B23" s="74">
        <v>16</v>
      </c>
      <c r="C23" s="74" t="s">
        <v>168</v>
      </c>
      <c r="D23" s="74" t="s">
        <v>50</v>
      </c>
      <c r="E23" s="74" t="s">
        <v>94</v>
      </c>
      <c r="F23" s="74" t="s">
        <v>224</v>
      </c>
      <c r="G23" s="74" t="s">
        <v>193</v>
      </c>
      <c r="H23" s="74" t="s">
        <v>208</v>
      </c>
      <c r="I23" s="74" t="s">
        <v>191</v>
      </c>
      <c r="J23" s="74" t="s">
        <v>188</v>
      </c>
      <c r="K23" s="74" t="s">
        <v>339</v>
      </c>
      <c r="L23" s="75">
        <v>6000</v>
      </c>
      <c r="M23" s="89" t="s">
        <v>225</v>
      </c>
      <c r="N23" s="74"/>
    </row>
    <row r="24" ht="16" customHeight="1" spans="1:18">
      <c r="A24" s="74" t="s">
        <v>26</v>
      </c>
      <c r="B24" s="74">
        <v>17</v>
      </c>
      <c r="C24" s="74" t="s">
        <v>168</v>
      </c>
      <c r="D24" s="74" t="s">
        <v>50</v>
      </c>
      <c r="E24" s="74" t="s">
        <v>96</v>
      </c>
      <c r="F24" s="74" t="s">
        <v>97</v>
      </c>
      <c r="G24" s="74" t="s">
        <v>193</v>
      </c>
      <c r="H24" s="74" t="s">
        <v>226</v>
      </c>
      <c r="I24" s="74" t="s">
        <v>227</v>
      </c>
      <c r="J24" s="74" t="s">
        <v>201</v>
      </c>
      <c r="K24" s="74" t="s">
        <v>340</v>
      </c>
      <c r="L24" s="75">
        <v>6000</v>
      </c>
      <c r="M24" s="89" t="s">
        <v>341</v>
      </c>
      <c r="N24" s="74"/>
    </row>
    <row r="25" ht="31" customHeight="1" spans="1:18">
      <c r="A25" s="74" t="s">
        <v>26</v>
      </c>
      <c r="B25" s="74">
        <v>18</v>
      </c>
      <c r="C25" s="74" t="s">
        <v>168</v>
      </c>
      <c r="D25" s="74" t="s">
        <v>50</v>
      </c>
      <c r="E25" s="74" t="s">
        <v>68</v>
      </c>
      <c r="F25" s="74" t="s">
        <v>69</v>
      </c>
      <c r="G25" s="74" t="s">
        <v>193</v>
      </c>
      <c r="H25" s="74" t="s">
        <v>208</v>
      </c>
      <c r="I25" s="74" t="s">
        <v>191</v>
      </c>
      <c r="J25" s="74" t="s">
        <v>188</v>
      </c>
      <c r="K25" s="74" t="s">
        <v>328</v>
      </c>
      <c r="L25" s="75">
        <v>4800</v>
      </c>
      <c r="M25" s="89" t="s">
        <v>209</v>
      </c>
      <c r="N25" s="74"/>
    </row>
    <row r="26" ht="31" customHeight="1" spans="1:18">
      <c r="A26" s="70" t="s">
        <v>232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7"/>
    </row>
    <row r="27" ht="31" customHeight="1" spans="1:18">
      <c r="A27" s="72" t="s">
        <v>53</v>
      </c>
      <c r="B27" s="72" t="s">
        <v>54</v>
      </c>
      <c r="C27" s="72" t="s">
        <v>174</v>
      </c>
      <c r="D27" s="72" t="s">
        <v>325</v>
      </c>
      <c r="E27" s="72" t="s">
        <v>55</v>
      </c>
      <c r="F27" s="72" t="s">
        <v>56</v>
      </c>
      <c r="G27" s="72" t="s">
        <v>175</v>
      </c>
      <c r="H27" s="72" t="s">
        <v>176</v>
      </c>
      <c r="I27" s="72" t="s">
        <v>177</v>
      </c>
      <c r="J27" s="72" t="s">
        <v>178</v>
      </c>
      <c r="K27" s="72" t="s">
        <v>326</v>
      </c>
      <c r="L27" s="73" t="s">
        <v>327</v>
      </c>
      <c r="M27" s="72" t="s">
        <v>183</v>
      </c>
      <c r="N27" s="72" t="s">
        <v>184</v>
      </c>
    </row>
    <row r="28" ht="31" customHeight="1" spans="1:18">
      <c r="A28" s="74" t="s">
        <v>27</v>
      </c>
      <c r="B28" s="74">
        <v>2</v>
      </c>
      <c r="C28" s="74" t="s">
        <v>168</v>
      </c>
      <c r="D28" s="74" t="s">
        <v>100</v>
      </c>
      <c r="E28" s="74" t="s">
        <v>68</v>
      </c>
      <c r="F28" s="74" t="s">
        <v>69</v>
      </c>
      <c r="G28" s="74" t="s">
        <v>233</v>
      </c>
      <c r="H28" s="74" t="s">
        <v>208</v>
      </c>
      <c r="I28" s="74" t="s">
        <v>191</v>
      </c>
      <c r="J28" s="74" t="s">
        <v>188</v>
      </c>
      <c r="K28" s="74" t="s">
        <v>328</v>
      </c>
      <c r="L28" s="75">
        <v>4800</v>
      </c>
      <c r="M28" s="89" t="s">
        <v>209</v>
      </c>
      <c r="N28" s="74"/>
    </row>
    <row r="29" ht="31" customHeight="1" spans="1:18">
      <c r="A29" s="74" t="s">
        <v>27</v>
      </c>
      <c r="B29" s="74">
        <v>3</v>
      </c>
      <c r="C29" s="74" t="s">
        <v>168</v>
      </c>
      <c r="D29" s="74" t="s">
        <v>100</v>
      </c>
      <c r="E29" s="74" t="s">
        <v>101</v>
      </c>
      <c r="F29" s="74" t="s">
        <v>102</v>
      </c>
      <c r="G29" s="74" t="s">
        <v>233</v>
      </c>
      <c r="H29" s="74" t="s">
        <v>234</v>
      </c>
      <c r="I29" s="74" t="s">
        <v>227</v>
      </c>
      <c r="J29" s="74" t="s">
        <v>188</v>
      </c>
      <c r="K29" s="74" t="s">
        <v>342</v>
      </c>
      <c r="L29" s="75">
        <v>7150</v>
      </c>
      <c r="M29" s="89" t="s">
        <v>235</v>
      </c>
      <c r="N29" s="74" t="s">
        <v>236</v>
      </c>
    </row>
    <row r="30" spans="1:18">
      <c r="A30" s="74" t="s">
        <v>27</v>
      </c>
      <c r="B30" s="74">
        <v>4</v>
      </c>
      <c r="C30" s="74" t="s">
        <v>168</v>
      </c>
      <c r="D30" s="74" t="s">
        <v>100</v>
      </c>
      <c r="E30" s="74" t="s">
        <v>104</v>
      </c>
      <c r="F30" s="74" t="s">
        <v>105</v>
      </c>
      <c r="G30" s="74" t="s">
        <v>233</v>
      </c>
      <c r="H30" s="74" t="s">
        <v>208</v>
      </c>
      <c r="I30" s="74" t="s">
        <v>187</v>
      </c>
      <c r="J30" s="74" t="s">
        <v>188</v>
      </c>
      <c r="K30" s="74" t="s">
        <v>343</v>
      </c>
      <c r="L30" s="75">
        <v>19000</v>
      </c>
      <c r="M30" s="89" t="s">
        <v>344</v>
      </c>
      <c r="N30" s="74" t="s">
        <v>238</v>
      </c>
    </row>
    <row r="31" ht="31" customHeight="1" spans="1:18">
      <c r="A31" s="74" t="s">
        <v>27</v>
      </c>
      <c r="B31" s="74">
        <v>5</v>
      </c>
      <c r="C31" s="74" t="s">
        <v>168</v>
      </c>
      <c r="D31" s="74" t="s">
        <v>100</v>
      </c>
      <c r="E31" s="74" t="s">
        <v>68</v>
      </c>
      <c r="F31" s="74" t="s">
        <v>69</v>
      </c>
      <c r="G31" s="74" t="s">
        <v>233</v>
      </c>
      <c r="H31" s="74" t="s">
        <v>208</v>
      </c>
      <c r="I31" s="74" t="s">
        <v>191</v>
      </c>
      <c r="J31" s="74" t="s">
        <v>188</v>
      </c>
      <c r="K31" s="74" t="s">
        <v>328</v>
      </c>
      <c r="L31" s="75">
        <v>4800</v>
      </c>
      <c r="M31" s="89" t="s">
        <v>209</v>
      </c>
      <c r="N31" s="74"/>
    </row>
    <row r="32" spans="1:18">
      <c r="A32" s="70" t="s">
        <v>240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7"/>
    </row>
    <row r="33" spans="1:14">
      <c r="A33" s="72" t="s">
        <v>53</v>
      </c>
      <c r="B33" s="72" t="s">
        <v>54</v>
      </c>
      <c r="C33" s="72" t="s">
        <v>174</v>
      </c>
      <c r="D33" s="72" t="s">
        <v>325</v>
      </c>
      <c r="E33" s="72" t="s">
        <v>55</v>
      </c>
      <c r="F33" s="72" t="s">
        <v>56</v>
      </c>
      <c r="G33" s="72" t="s">
        <v>175</v>
      </c>
      <c r="H33" s="72" t="s">
        <v>176</v>
      </c>
      <c r="I33" s="72" t="s">
        <v>177</v>
      </c>
      <c r="J33" s="72" t="s">
        <v>178</v>
      </c>
      <c r="K33" s="72" t="s">
        <v>326</v>
      </c>
      <c r="L33" s="73" t="s">
        <v>327</v>
      </c>
      <c r="M33" s="72" t="s">
        <v>183</v>
      </c>
      <c r="N33" s="72" t="s">
        <v>184</v>
      </c>
    </row>
    <row r="34" ht="31" customHeight="1" spans="1:14">
      <c r="A34" s="74" t="s">
        <v>30</v>
      </c>
      <c r="B34" s="74">
        <v>2</v>
      </c>
      <c r="C34" s="74" t="s">
        <v>168</v>
      </c>
      <c r="D34" s="74" t="s">
        <v>107</v>
      </c>
      <c r="E34" s="74" t="s">
        <v>68</v>
      </c>
      <c r="F34" s="74" t="s">
        <v>69</v>
      </c>
      <c r="G34" s="74" t="s">
        <v>241</v>
      </c>
      <c r="H34" s="74" t="s">
        <v>242</v>
      </c>
      <c r="I34" s="74" t="s">
        <v>191</v>
      </c>
      <c r="J34" s="74" t="s">
        <v>188</v>
      </c>
      <c r="K34" s="74" t="s">
        <v>328</v>
      </c>
      <c r="L34" s="75">
        <v>2400</v>
      </c>
      <c r="M34" s="89" t="s">
        <v>244</v>
      </c>
      <c r="N34" s="74"/>
    </row>
    <row r="35" spans="1:14">
      <c r="A35" s="74" t="s">
        <v>30</v>
      </c>
      <c r="B35" s="74">
        <v>3</v>
      </c>
      <c r="C35" s="74" t="s">
        <v>168</v>
      </c>
      <c r="D35" s="74" t="s">
        <v>107</v>
      </c>
      <c r="E35" s="74" t="s">
        <v>82</v>
      </c>
      <c r="F35" s="74" t="s">
        <v>83</v>
      </c>
      <c r="G35" s="74" t="s">
        <v>241</v>
      </c>
      <c r="H35" s="74" t="s">
        <v>206</v>
      </c>
      <c r="I35" s="74" t="s">
        <v>206</v>
      </c>
      <c r="J35" s="74" t="s">
        <v>195</v>
      </c>
      <c r="K35" s="74" t="s">
        <v>332</v>
      </c>
      <c r="L35" s="75">
        <v>30500</v>
      </c>
      <c r="M35" s="89" t="s">
        <v>207</v>
      </c>
      <c r="N35" s="74"/>
    </row>
    <row r="36" ht="31" customHeight="1" spans="1:14">
      <c r="A36" s="74" t="s">
        <v>30</v>
      </c>
      <c r="B36" s="74">
        <v>4</v>
      </c>
      <c r="C36" s="74" t="s">
        <v>168</v>
      </c>
      <c r="D36" s="74" t="s">
        <v>107</v>
      </c>
      <c r="E36" s="74" t="s">
        <v>84</v>
      </c>
      <c r="F36" s="74" t="s">
        <v>85</v>
      </c>
      <c r="G36" s="74" t="s">
        <v>241</v>
      </c>
      <c r="H36" s="74" t="s">
        <v>194</v>
      </c>
      <c r="I36" s="74" t="s">
        <v>194</v>
      </c>
      <c r="J36" s="74" t="s">
        <v>195</v>
      </c>
      <c r="K36" s="74" t="s">
        <v>333</v>
      </c>
      <c r="L36" s="75">
        <v>12000</v>
      </c>
      <c r="M36" s="89" t="s">
        <v>245</v>
      </c>
      <c r="N36" s="74"/>
    </row>
    <row r="37" spans="1:14">
      <c r="A37" s="74" t="s">
        <v>30</v>
      </c>
      <c r="B37" s="74">
        <v>5</v>
      </c>
      <c r="C37" s="74" t="s">
        <v>168</v>
      </c>
      <c r="D37" s="74" t="s">
        <v>107</v>
      </c>
      <c r="E37" s="74" t="s">
        <v>96</v>
      </c>
      <c r="F37" s="74" t="s">
        <v>97</v>
      </c>
      <c r="G37" s="74" t="s">
        <v>241</v>
      </c>
      <c r="H37" s="74" t="s">
        <v>246</v>
      </c>
      <c r="I37" s="74" t="s">
        <v>200</v>
      </c>
      <c r="J37" s="74" t="s">
        <v>201</v>
      </c>
      <c r="K37" s="74" t="s">
        <v>340</v>
      </c>
      <c r="L37" s="75">
        <v>3000</v>
      </c>
      <c r="M37" s="89" t="s">
        <v>345</v>
      </c>
      <c r="N37" s="74"/>
    </row>
    <row r="38" ht="31" spans="1:14">
      <c r="A38" s="74" t="s">
        <v>30</v>
      </c>
      <c r="B38" s="74">
        <v>6</v>
      </c>
      <c r="C38" s="74" t="s">
        <v>168</v>
      </c>
      <c r="D38" s="74" t="s">
        <v>107</v>
      </c>
      <c r="E38" s="74" t="s">
        <v>109</v>
      </c>
      <c r="F38" s="74" t="s">
        <v>110</v>
      </c>
      <c r="G38" s="74" t="s">
        <v>241</v>
      </c>
      <c r="H38" s="74" t="s">
        <v>248</v>
      </c>
      <c r="I38" s="74" t="s">
        <v>248</v>
      </c>
      <c r="J38" s="74" t="s">
        <v>195</v>
      </c>
      <c r="K38" s="74" t="s">
        <v>346</v>
      </c>
      <c r="L38" s="75">
        <v>7158</v>
      </c>
      <c r="M38" s="89" t="s">
        <v>347</v>
      </c>
      <c r="N38" s="74" t="s">
        <v>249</v>
      </c>
    </row>
    <row r="39" ht="31" customHeight="1" spans="1:14">
      <c r="A39" s="74" t="s">
        <v>30</v>
      </c>
      <c r="B39" s="74">
        <v>7</v>
      </c>
      <c r="C39" s="74" t="s">
        <v>168</v>
      </c>
      <c r="D39" s="74" t="s">
        <v>107</v>
      </c>
      <c r="E39" s="74" t="s">
        <v>68</v>
      </c>
      <c r="F39" s="74" t="s">
        <v>69</v>
      </c>
      <c r="G39" s="74" t="s">
        <v>241</v>
      </c>
      <c r="H39" s="74" t="s">
        <v>242</v>
      </c>
      <c r="I39" s="74" t="s">
        <v>200</v>
      </c>
      <c r="J39" s="74" t="s">
        <v>188</v>
      </c>
      <c r="K39" s="74" t="s">
        <v>328</v>
      </c>
      <c r="L39" s="75">
        <v>2400</v>
      </c>
      <c r="M39" s="89" t="s">
        <v>244</v>
      </c>
      <c r="N39" s="74"/>
    </row>
    <row r="40" ht="31" customHeight="1" spans="1:14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5"/>
      <c r="M40" s="89"/>
      <c r="N40" s="74"/>
    </row>
    <row r="41" spans="1:14">
      <c r="A41" s="70" t="s">
        <v>251</v>
      </c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7"/>
    </row>
    <row r="42" spans="1:14">
      <c r="A42" s="72" t="s">
        <v>53</v>
      </c>
      <c r="B42" s="72" t="s">
        <v>54</v>
      </c>
      <c r="C42" s="72" t="s">
        <v>174</v>
      </c>
      <c r="D42" s="72" t="s">
        <v>325</v>
      </c>
      <c r="E42" s="72" t="s">
        <v>55</v>
      </c>
      <c r="F42" s="72" t="s">
        <v>56</v>
      </c>
      <c r="G42" s="72" t="s">
        <v>175</v>
      </c>
      <c r="H42" s="72" t="s">
        <v>176</v>
      </c>
      <c r="I42" s="72" t="s">
        <v>177</v>
      </c>
      <c r="J42" s="72" t="s">
        <v>178</v>
      </c>
      <c r="K42" s="72" t="s">
        <v>326</v>
      </c>
      <c r="L42" s="73" t="s">
        <v>327</v>
      </c>
      <c r="M42" s="90" t="s">
        <v>183</v>
      </c>
      <c r="N42" s="72" t="s">
        <v>184</v>
      </c>
    </row>
    <row r="43" ht="31" customHeight="1" spans="1:14">
      <c r="A43" s="74" t="s">
        <v>31</v>
      </c>
      <c r="B43" s="74">
        <v>2</v>
      </c>
      <c r="C43" s="74" t="s">
        <v>168</v>
      </c>
      <c r="D43" s="74" t="s">
        <v>111</v>
      </c>
      <c r="E43" s="74" t="s">
        <v>68</v>
      </c>
      <c r="F43" s="74" t="s">
        <v>69</v>
      </c>
      <c r="G43" s="74" t="s">
        <v>252</v>
      </c>
      <c r="H43" s="74" t="s">
        <v>242</v>
      </c>
      <c r="I43" s="74" t="s">
        <v>191</v>
      </c>
      <c r="J43" s="74" t="s">
        <v>188</v>
      </c>
      <c r="K43" s="74" t="s">
        <v>328</v>
      </c>
      <c r="L43" s="75">
        <v>2400</v>
      </c>
      <c r="M43" s="89" t="s">
        <v>244</v>
      </c>
      <c r="N43" s="74"/>
    </row>
    <row r="44" ht="31" customHeight="1" spans="1:14">
      <c r="A44" s="91" t="s">
        <v>31</v>
      </c>
      <c r="B44" s="91">
        <v>3</v>
      </c>
      <c r="C44" s="91" t="s">
        <v>168</v>
      </c>
      <c r="D44" s="91" t="s">
        <v>111</v>
      </c>
      <c r="E44" s="91" t="s">
        <v>112</v>
      </c>
      <c r="F44" s="91" t="s">
        <v>113</v>
      </c>
      <c r="G44" s="91" t="s">
        <v>252</v>
      </c>
      <c r="H44" s="91" t="s">
        <v>253</v>
      </c>
      <c r="I44" s="91" t="s">
        <v>253</v>
      </c>
      <c r="J44" s="91" t="s">
        <v>195</v>
      </c>
      <c r="K44" s="91" t="s">
        <v>332</v>
      </c>
      <c r="L44" s="92">
        <v>100000</v>
      </c>
      <c r="M44" s="93" t="s">
        <v>348</v>
      </c>
      <c r="N44" s="91" t="s">
        <v>255</v>
      </c>
    </row>
    <row r="45" ht="31" customHeight="1" spans="1:14">
      <c r="A45" s="74" t="s">
        <v>31</v>
      </c>
      <c r="B45" s="74">
        <v>4</v>
      </c>
      <c r="C45" s="74" t="s">
        <v>168</v>
      </c>
      <c r="D45" s="74" t="s">
        <v>111</v>
      </c>
      <c r="E45" s="74" t="s">
        <v>68</v>
      </c>
      <c r="F45" s="74" t="s">
        <v>69</v>
      </c>
      <c r="G45" s="74" t="s">
        <v>252</v>
      </c>
      <c r="H45" s="74" t="s">
        <v>242</v>
      </c>
      <c r="I45" s="74" t="s">
        <v>200</v>
      </c>
      <c r="J45" s="74" t="s">
        <v>188</v>
      </c>
      <c r="K45" s="74" t="s">
        <v>328</v>
      </c>
      <c r="L45" s="75">
        <v>2400</v>
      </c>
      <c r="M45" s="89" t="s">
        <v>244</v>
      </c>
      <c r="N45" s="74"/>
    </row>
    <row r="46" spans="1:14">
      <c r="A46" s="70" t="s">
        <v>257</v>
      </c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7"/>
    </row>
    <row r="47" spans="1:14">
      <c r="A47" s="72" t="s">
        <v>53</v>
      </c>
      <c r="B47" s="72" t="s">
        <v>54</v>
      </c>
      <c r="C47" s="72" t="s">
        <v>174</v>
      </c>
      <c r="D47" s="72" t="s">
        <v>325</v>
      </c>
      <c r="E47" s="72" t="s">
        <v>55</v>
      </c>
      <c r="F47" s="72" t="s">
        <v>56</v>
      </c>
      <c r="G47" s="72" t="s">
        <v>175</v>
      </c>
      <c r="H47" s="72" t="s">
        <v>176</v>
      </c>
      <c r="I47" s="72" t="s">
        <v>177</v>
      </c>
      <c r="J47" s="72" t="s">
        <v>178</v>
      </c>
      <c r="K47" s="72" t="s">
        <v>326</v>
      </c>
      <c r="L47" s="73" t="s">
        <v>327</v>
      </c>
      <c r="M47" s="90" t="s">
        <v>183</v>
      </c>
      <c r="N47" s="72" t="s">
        <v>184</v>
      </c>
    </row>
    <row r="48" ht="31" customHeight="1" spans="1:14">
      <c r="A48" s="74" t="s">
        <v>32</v>
      </c>
      <c r="B48" s="74">
        <v>2</v>
      </c>
      <c r="C48" s="74" t="s">
        <v>168</v>
      </c>
      <c r="D48" s="74" t="s">
        <v>114</v>
      </c>
      <c r="E48" s="74" t="s">
        <v>68</v>
      </c>
      <c r="F48" s="74" t="s">
        <v>69</v>
      </c>
      <c r="G48" s="74" t="s">
        <v>258</v>
      </c>
      <c r="H48" s="74" t="s">
        <v>242</v>
      </c>
      <c r="I48" s="74" t="s">
        <v>191</v>
      </c>
      <c r="J48" s="74" t="s">
        <v>188</v>
      </c>
      <c r="K48" s="74" t="s">
        <v>328</v>
      </c>
      <c r="L48" s="75">
        <v>2400</v>
      </c>
      <c r="M48" s="89" t="s">
        <v>244</v>
      </c>
      <c r="N48" s="74"/>
    </row>
    <row r="49" ht="31" customHeight="1" spans="1:14">
      <c r="A49" s="74" t="s">
        <v>32</v>
      </c>
      <c r="B49" s="74">
        <v>3</v>
      </c>
      <c r="C49" s="74" t="s">
        <v>168</v>
      </c>
      <c r="D49" s="74" t="s">
        <v>114</v>
      </c>
      <c r="E49" s="74" t="s">
        <v>115</v>
      </c>
      <c r="F49" s="74" t="s">
        <v>116</v>
      </c>
      <c r="G49" s="74" t="s">
        <v>258</v>
      </c>
      <c r="H49" s="74" t="s">
        <v>194</v>
      </c>
      <c r="I49" s="74" t="s">
        <v>194</v>
      </c>
      <c r="J49" s="74" t="s">
        <v>195</v>
      </c>
      <c r="K49" s="74" t="s">
        <v>349</v>
      </c>
      <c r="L49" s="75">
        <v>3480</v>
      </c>
      <c r="M49" s="89" t="s">
        <v>259</v>
      </c>
      <c r="N49" s="74"/>
    </row>
    <row r="50" ht="31" customHeight="1" spans="1:14">
      <c r="A50" s="74" t="s">
        <v>32</v>
      </c>
      <c r="B50" s="74">
        <v>4</v>
      </c>
      <c r="C50" s="74" t="s">
        <v>168</v>
      </c>
      <c r="D50" s="74" t="s">
        <v>114</v>
      </c>
      <c r="E50" s="74" t="s">
        <v>68</v>
      </c>
      <c r="F50" s="74" t="s">
        <v>69</v>
      </c>
      <c r="G50" s="74" t="s">
        <v>258</v>
      </c>
      <c r="H50" s="74" t="s">
        <v>242</v>
      </c>
      <c r="I50" s="74" t="s">
        <v>200</v>
      </c>
      <c r="J50" s="74" t="s">
        <v>188</v>
      </c>
      <c r="K50" s="74" t="s">
        <v>328</v>
      </c>
      <c r="L50" s="75">
        <v>2400</v>
      </c>
      <c r="M50" s="89" t="s">
        <v>244</v>
      </c>
      <c r="N50" s="74"/>
    </row>
    <row r="51" spans="1:14">
      <c r="A51" s="70" t="s">
        <v>261</v>
      </c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7"/>
    </row>
    <row r="52" spans="1:14">
      <c r="A52" s="72" t="s">
        <v>53</v>
      </c>
      <c r="B52" s="72" t="s">
        <v>54</v>
      </c>
      <c r="C52" s="72" t="s">
        <v>174</v>
      </c>
      <c r="D52" s="72" t="s">
        <v>325</v>
      </c>
      <c r="E52" s="72" t="s">
        <v>55</v>
      </c>
      <c r="F52" s="72" t="s">
        <v>56</v>
      </c>
      <c r="G52" s="72" t="s">
        <v>175</v>
      </c>
      <c r="H52" s="72" t="s">
        <v>176</v>
      </c>
      <c r="I52" s="72" t="s">
        <v>177</v>
      </c>
      <c r="J52" s="72" t="s">
        <v>178</v>
      </c>
      <c r="K52" s="72" t="s">
        <v>326</v>
      </c>
      <c r="L52" s="73" t="s">
        <v>327</v>
      </c>
      <c r="M52" s="90" t="s">
        <v>183</v>
      </c>
      <c r="N52" s="72" t="s">
        <v>184</v>
      </c>
    </row>
    <row r="53" ht="31" customHeight="1" spans="1:14">
      <c r="A53" s="74" t="s">
        <v>33</v>
      </c>
      <c r="B53" s="74">
        <v>1</v>
      </c>
      <c r="C53" s="74" t="s">
        <v>168</v>
      </c>
      <c r="D53" s="74" t="s">
        <v>350</v>
      </c>
      <c r="E53" s="74" t="s">
        <v>68</v>
      </c>
      <c r="F53" s="74" t="s">
        <v>69</v>
      </c>
      <c r="G53" s="74" t="s">
        <v>262</v>
      </c>
      <c r="H53" s="74" t="s">
        <v>263</v>
      </c>
      <c r="I53" s="74" t="s">
        <v>191</v>
      </c>
      <c r="J53" s="74" t="s">
        <v>188</v>
      </c>
      <c r="K53" s="74" t="s">
        <v>328</v>
      </c>
      <c r="L53" s="75">
        <v>3200</v>
      </c>
      <c r="M53" s="89" t="s">
        <v>264</v>
      </c>
      <c r="N53" s="74"/>
    </row>
    <row r="54" ht="31" customHeight="1" spans="1:14">
      <c r="A54" s="74" t="s">
        <v>33</v>
      </c>
      <c r="B54" s="74">
        <v>2</v>
      </c>
      <c r="C54" s="74" t="s">
        <v>168</v>
      </c>
      <c r="D54" s="74" t="s">
        <v>350</v>
      </c>
      <c r="E54" s="74" t="s">
        <v>118</v>
      </c>
      <c r="F54" s="74" t="s">
        <v>119</v>
      </c>
      <c r="G54" s="74" t="s">
        <v>262</v>
      </c>
      <c r="H54" s="74" t="s">
        <v>265</v>
      </c>
      <c r="I54" s="74" t="s">
        <v>265</v>
      </c>
      <c r="J54" s="74" t="s">
        <v>195</v>
      </c>
      <c r="K54" s="74" t="s">
        <v>351</v>
      </c>
      <c r="L54" s="75">
        <v>40680</v>
      </c>
      <c r="M54" s="89" t="s">
        <v>352</v>
      </c>
      <c r="N54" s="74"/>
    </row>
    <row r="55" ht="31" customHeight="1" spans="1:14">
      <c r="A55" s="74" t="s">
        <v>33</v>
      </c>
      <c r="B55" s="74">
        <v>3</v>
      </c>
      <c r="C55" s="74" t="s">
        <v>168</v>
      </c>
      <c r="D55" s="74" t="s">
        <v>350</v>
      </c>
      <c r="E55" s="74" t="s">
        <v>68</v>
      </c>
      <c r="F55" s="74" t="s">
        <v>69</v>
      </c>
      <c r="G55" s="74" t="s">
        <v>262</v>
      </c>
      <c r="H55" s="74" t="s">
        <v>263</v>
      </c>
      <c r="I55" s="74" t="s">
        <v>200</v>
      </c>
      <c r="J55" s="74" t="s">
        <v>188</v>
      </c>
      <c r="K55" s="74" t="s">
        <v>328</v>
      </c>
      <c r="L55" s="75">
        <v>3200</v>
      </c>
      <c r="M55" s="89" t="s">
        <v>264</v>
      </c>
      <c r="N55" s="74"/>
    </row>
    <row r="56" ht="46" customHeight="1" spans="1:14">
      <c r="A56" s="74" t="s">
        <v>33</v>
      </c>
      <c r="B56" s="74">
        <v>5</v>
      </c>
      <c r="C56" s="74" t="s">
        <v>168</v>
      </c>
      <c r="D56" s="74" t="s">
        <v>350</v>
      </c>
      <c r="E56" s="74" t="s">
        <v>121</v>
      </c>
      <c r="F56" s="74" t="s">
        <v>121</v>
      </c>
      <c r="G56" s="74" t="s">
        <v>262</v>
      </c>
      <c r="H56" s="74" t="s">
        <v>267</v>
      </c>
      <c r="I56" s="74" t="s">
        <v>268</v>
      </c>
      <c r="J56" s="74" t="s">
        <v>269</v>
      </c>
      <c r="K56" s="74" t="s">
        <v>353</v>
      </c>
      <c r="L56" s="75">
        <v>21450</v>
      </c>
      <c r="M56" s="89" t="s">
        <v>270</v>
      </c>
      <c r="N56" s="74" t="s">
        <v>271</v>
      </c>
    </row>
    <row r="57" spans="1:14">
      <c r="A57" s="70" t="s">
        <v>273</v>
      </c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7"/>
    </row>
    <row r="58" spans="1:14">
      <c r="A58" s="72" t="s">
        <v>53</v>
      </c>
      <c r="B58" s="72" t="s">
        <v>54</v>
      </c>
      <c r="C58" s="72" t="s">
        <v>174</v>
      </c>
      <c r="D58" s="72" t="s">
        <v>325</v>
      </c>
      <c r="E58" s="72" t="s">
        <v>55</v>
      </c>
      <c r="F58" s="72" t="s">
        <v>56</v>
      </c>
      <c r="G58" s="72" t="s">
        <v>175</v>
      </c>
      <c r="H58" s="72" t="s">
        <v>176</v>
      </c>
      <c r="I58" s="72" t="s">
        <v>177</v>
      </c>
      <c r="J58" s="72" t="s">
        <v>178</v>
      </c>
      <c r="K58" s="72" t="s">
        <v>326</v>
      </c>
      <c r="L58" s="73" t="s">
        <v>327</v>
      </c>
      <c r="M58" s="90" t="s">
        <v>183</v>
      </c>
      <c r="N58" s="72" t="s">
        <v>184</v>
      </c>
    </row>
    <row r="59" ht="31" customHeight="1" spans="1:14">
      <c r="A59" s="74" t="s">
        <v>35</v>
      </c>
      <c r="B59" s="74">
        <v>1</v>
      </c>
      <c r="C59" s="74" t="s">
        <v>168</v>
      </c>
      <c r="D59" s="74" t="s">
        <v>354</v>
      </c>
      <c r="E59" s="74" t="s">
        <v>68</v>
      </c>
      <c r="F59" s="74" t="s">
        <v>69</v>
      </c>
      <c r="G59" s="74" t="s">
        <v>274</v>
      </c>
      <c r="H59" s="74" t="s">
        <v>242</v>
      </c>
      <c r="I59" s="74" t="s">
        <v>191</v>
      </c>
      <c r="J59" s="74" t="s">
        <v>188</v>
      </c>
      <c r="K59" s="74" t="s">
        <v>328</v>
      </c>
      <c r="L59" s="75">
        <v>2400</v>
      </c>
      <c r="M59" s="89" t="s">
        <v>244</v>
      </c>
      <c r="N59" s="74"/>
    </row>
    <row r="60" ht="31" customHeight="1" spans="1:14">
      <c r="A60" s="74" t="s">
        <v>35</v>
      </c>
      <c r="B60" s="74">
        <v>2</v>
      </c>
      <c r="C60" s="74" t="s">
        <v>168</v>
      </c>
      <c r="D60" s="74" t="s">
        <v>354</v>
      </c>
      <c r="E60" s="74" t="s">
        <v>123</v>
      </c>
      <c r="F60" s="74" t="s">
        <v>124</v>
      </c>
      <c r="G60" s="74" t="s">
        <v>274</v>
      </c>
      <c r="H60" s="74" t="s">
        <v>199</v>
      </c>
      <c r="I60" s="74" t="s">
        <v>200</v>
      </c>
      <c r="J60" s="74" t="s">
        <v>201</v>
      </c>
      <c r="K60" s="74" t="s">
        <v>355</v>
      </c>
      <c r="L60" s="75">
        <v>4100</v>
      </c>
      <c r="M60" s="89" t="s">
        <v>356</v>
      </c>
      <c r="N60" s="74"/>
    </row>
    <row r="61" ht="31" customHeight="1" spans="1:14">
      <c r="A61" s="74" t="s">
        <v>35</v>
      </c>
      <c r="B61" s="74">
        <v>3</v>
      </c>
      <c r="C61" s="74" t="s">
        <v>168</v>
      </c>
      <c r="D61" s="74" t="s">
        <v>354</v>
      </c>
      <c r="E61" s="74" t="s">
        <v>68</v>
      </c>
      <c r="F61" s="74" t="s">
        <v>69</v>
      </c>
      <c r="G61" s="74" t="s">
        <v>274</v>
      </c>
      <c r="H61" s="74" t="s">
        <v>242</v>
      </c>
      <c r="I61" s="74" t="s">
        <v>200</v>
      </c>
      <c r="J61" s="74" t="s">
        <v>188</v>
      </c>
      <c r="K61" s="74" t="s">
        <v>328</v>
      </c>
      <c r="L61" s="75">
        <v>2400</v>
      </c>
      <c r="M61" s="89" t="s">
        <v>244</v>
      </c>
      <c r="N61" s="74"/>
    </row>
    <row r="62" spans="1:14">
      <c r="A62" s="70" t="s">
        <v>276</v>
      </c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7"/>
    </row>
    <row r="63" spans="1:14">
      <c r="A63" s="72" t="s">
        <v>53</v>
      </c>
      <c r="B63" s="72" t="s">
        <v>54</v>
      </c>
      <c r="C63" s="72" t="s">
        <v>174</v>
      </c>
      <c r="D63" s="72" t="s">
        <v>325</v>
      </c>
      <c r="E63" s="72" t="s">
        <v>55</v>
      </c>
      <c r="F63" s="72" t="s">
        <v>56</v>
      </c>
      <c r="G63" s="72" t="s">
        <v>175</v>
      </c>
      <c r="H63" s="72" t="s">
        <v>176</v>
      </c>
      <c r="I63" s="72" t="s">
        <v>177</v>
      </c>
      <c r="J63" s="72" t="s">
        <v>178</v>
      </c>
      <c r="K63" s="72" t="s">
        <v>326</v>
      </c>
      <c r="L63" s="73" t="s">
        <v>327</v>
      </c>
      <c r="M63" s="90" t="s">
        <v>183</v>
      </c>
      <c r="N63" s="72" t="s">
        <v>184</v>
      </c>
    </row>
    <row r="64" ht="31" customHeight="1" spans="1:14">
      <c r="A64" s="74" t="s">
        <v>37</v>
      </c>
      <c r="B64" s="74">
        <v>2</v>
      </c>
      <c r="C64" s="74" t="s">
        <v>168</v>
      </c>
      <c r="D64" s="74" t="s">
        <v>126</v>
      </c>
      <c r="E64" s="74" t="s">
        <v>68</v>
      </c>
      <c r="F64" s="74" t="s">
        <v>69</v>
      </c>
      <c r="G64" s="74" t="s">
        <v>277</v>
      </c>
      <c r="H64" s="74" t="s">
        <v>242</v>
      </c>
      <c r="I64" s="74" t="s">
        <v>191</v>
      </c>
      <c r="J64" s="74" t="s">
        <v>188</v>
      </c>
      <c r="K64" s="74" t="s">
        <v>328</v>
      </c>
      <c r="L64" s="75">
        <v>2400</v>
      </c>
      <c r="M64" s="89" t="s">
        <v>244</v>
      </c>
      <c r="N64" s="74"/>
    </row>
    <row r="65" ht="31" customHeight="1" spans="1:14">
      <c r="A65" s="74" t="s">
        <v>37</v>
      </c>
      <c r="B65" s="74">
        <v>3</v>
      </c>
      <c r="C65" s="74" t="s">
        <v>168</v>
      </c>
      <c r="D65" s="74" t="s">
        <v>126</v>
      </c>
      <c r="E65" s="74" t="s">
        <v>127</v>
      </c>
      <c r="F65" s="74" t="s">
        <v>128</v>
      </c>
      <c r="G65" s="74" t="s">
        <v>277</v>
      </c>
      <c r="H65" s="74" t="s">
        <v>253</v>
      </c>
      <c r="I65" s="74" t="s">
        <v>253</v>
      </c>
      <c r="J65" s="74" t="s">
        <v>195</v>
      </c>
      <c r="K65" s="74" t="s">
        <v>357</v>
      </c>
      <c r="L65" s="75">
        <v>23000</v>
      </c>
      <c r="M65" s="89" t="s">
        <v>278</v>
      </c>
      <c r="N65" s="74"/>
    </row>
    <row r="66" ht="31" customHeight="1" spans="1:14">
      <c r="A66" s="74" t="s">
        <v>37</v>
      </c>
      <c r="B66" s="74">
        <v>4</v>
      </c>
      <c r="C66" s="74" t="s">
        <v>168</v>
      </c>
      <c r="D66" s="74" t="s">
        <v>126</v>
      </c>
      <c r="E66" s="74" t="s">
        <v>68</v>
      </c>
      <c r="F66" s="74" t="s">
        <v>69</v>
      </c>
      <c r="G66" s="74" t="s">
        <v>277</v>
      </c>
      <c r="H66" s="74" t="s">
        <v>242</v>
      </c>
      <c r="I66" s="74" t="s">
        <v>200</v>
      </c>
      <c r="J66" s="74" t="s">
        <v>188</v>
      </c>
      <c r="K66" s="74" t="s">
        <v>328</v>
      </c>
      <c r="L66" s="75">
        <v>2400</v>
      </c>
      <c r="M66" s="89" t="s">
        <v>244</v>
      </c>
      <c r="N66" s="74"/>
    </row>
    <row r="67" spans="1:14">
      <c r="A67" s="70" t="s">
        <v>280</v>
      </c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7"/>
    </row>
    <row r="68" spans="1:14">
      <c r="A68" s="72" t="s">
        <v>53</v>
      </c>
      <c r="B68" s="72" t="s">
        <v>54</v>
      </c>
      <c r="C68" s="72" t="s">
        <v>174</v>
      </c>
      <c r="D68" s="72" t="s">
        <v>325</v>
      </c>
      <c r="E68" s="72" t="s">
        <v>55</v>
      </c>
      <c r="F68" s="72" t="s">
        <v>56</v>
      </c>
      <c r="G68" s="72" t="s">
        <v>175</v>
      </c>
      <c r="H68" s="72" t="s">
        <v>176</v>
      </c>
      <c r="I68" s="72" t="s">
        <v>177</v>
      </c>
      <c r="J68" s="72" t="s">
        <v>178</v>
      </c>
      <c r="K68" s="72" t="s">
        <v>326</v>
      </c>
      <c r="L68" s="73" t="s">
        <v>327</v>
      </c>
      <c r="M68" s="90" t="s">
        <v>183</v>
      </c>
      <c r="N68" s="72" t="s">
        <v>184</v>
      </c>
    </row>
    <row r="69" ht="31" customHeight="1" spans="1:14">
      <c r="A69" s="74" t="s">
        <v>38</v>
      </c>
      <c r="B69" s="74">
        <v>2</v>
      </c>
      <c r="C69" s="74" t="s">
        <v>168</v>
      </c>
      <c r="D69" s="74" t="s">
        <v>129</v>
      </c>
      <c r="E69" s="74" t="s">
        <v>68</v>
      </c>
      <c r="F69" s="74" t="s">
        <v>69</v>
      </c>
      <c r="G69" s="74" t="s">
        <v>281</v>
      </c>
      <c r="H69" s="74" t="s">
        <v>242</v>
      </c>
      <c r="I69" s="74" t="s">
        <v>191</v>
      </c>
      <c r="J69" s="74" t="s">
        <v>188</v>
      </c>
      <c r="K69" s="74" t="s">
        <v>328</v>
      </c>
      <c r="L69" s="75">
        <v>2400</v>
      </c>
      <c r="M69" s="89" t="s">
        <v>244</v>
      </c>
      <c r="N69" s="74"/>
    </row>
    <row r="70" ht="31" customHeight="1" spans="1:14">
      <c r="A70" s="74" t="s">
        <v>38</v>
      </c>
      <c r="B70" s="74">
        <v>3</v>
      </c>
      <c r="C70" s="74" t="s">
        <v>168</v>
      </c>
      <c r="D70" s="74" t="s">
        <v>129</v>
      </c>
      <c r="E70" s="74" t="s">
        <v>130</v>
      </c>
      <c r="F70" s="74" t="s">
        <v>131</v>
      </c>
      <c r="G70" s="74" t="s">
        <v>281</v>
      </c>
      <c r="H70" s="74" t="s">
        <v>253</v>
      </c>
      <c r="I70" s="74" t="s">
        <v>253</v>
      </c>
      <c r="J70" s="74" t="s">
        <v>195</v>
      </c>
      <c r="K70" s="74" t="s">
        <v>357</v>
      </c>
      <c r="L70" s="75">
        <v>23000</v>
      </c>
      <c r="M70" s="89" t="s">
        <v>278</v>
      </c>
      <c r="N70" s="74"/>
    </row>
    <row r="71" ht="31" customHeight="1" spans="1:14">
      <c r="A71" s="74" t="s">
        <v>38</v>
      </c>
      <c r="B71" s="74">
        <v>4</v>
      </c>
      <c r="C71" s="74" t="s">
        <v>168</v>
      </c>
      <c r="D71" s="74" t="s">
        <v>129</v>
      </c>
      <c r="E71" s="74" t="s">
        <v>68</v>
      </c>
      <c r="F71" s="74" t="s">
        <v>69</v>
      </c>
      <c r="G71" s="74" t="s">
        <v>281</v>
      </c>
      <c r="H71" s="74" t="s">
        <v>242</v>
      </c>
      <c r="I71" s="74" t="s">
        <v>200</v>
      </c>
      <c r="J71" s="74" t="s">
        <v>188</v>
      </c>
      <c r="K71" s="74" t="s">
        <v>328</v>
      </c>
      <c r="L71" s="75">
        <v>2400</v>
      </c>
      <c r="M71" s="89" t="s">
        <v>244</v>
      </c>
      <c r="N71" s="74"/>
    </row>
    <row r="72" spans="1:14">
      <c r="A72" s="70" t="s">
        <v>283</v>
      </c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7"/>
    </row>
    <row r="73" spans="1:14">
      <c r="A73" s="72" t="s">
        <v>53</v>
      </c>
      <c r="B73" s="72" t="s">
        <v>54</v>
      </c>
      <c r="C73" s="72" t="s">
        <v>174</v>
      </c>
      <c r="D73" s="72" t="s">
        <v>325</v>
      </c>
      <c r="E73" s="72" t="s">
        <v>55</v>
      </c>
      <c r="F73" s="72" t="s">
        <v>56</v>
      </c>
      <c r="G73" s="72" t="s">
        <v>175</v>
      </c>
      <c r="H73" s="72" t="s">
        <v>176</v>
      </c>
      <c r="I73" s="72" t="s">
        <v>177</v>
      </c>
      <c r="J73" s="72" t="s">
        <v>178</v>
      </c>
      <c r="K73" s="72" t="s">
        <v>326</v>
      </c>
      <c r="L73" s="73" t="s">
        <v>327</v>
      </c>
      <c r="M73" s="90" t="s">
        <v>183</v>
      </c>
      <c r="N73" s="72" t="s">
        <v>184</v>
      </c>
    </row>
    <row r="74" ht="31" customHeight="1" spans="1:14">
      <c r="A74" s="74" t="s">
        <v>39</v>
      </c>
      <c r="B74" s="74">
        <v>2</v>
      </c>
      <c r="C74" s="74" t="s">
        <v>168</v>
      </c>
      <c r="D74" s="74" t="s">
        <v>132</v>
      </c>
      <c r="E74" s="74" t="s">
        <v>68</v>
      </c>
      <c r="F74" s="74" t="s">
        <v>69</v>
      </c>
      <c r="G74" s="74" t="s">
        <v>284</v>
      </c>
      <c r="H74" s="74" t="s">
        <v>242</v>
      </c>
      <c r="I74" s="74" t="s">
        <v>191</v>
      </c>
      <c r="J74" s="74" t="s">
        <v>188</v>
      </c>
      <c r="K74" s="74" t="s">
        <v>328</v>
      </c>
      <c r="L74" s="75">
        <v>2400</v>
      </c>
      <c r="M74" s="89" t="s">
        <v>244</v>
      </c>
      <c r="N74" s="74"/>
    </row>
    <row r="75" ht="31" customHeight="1" spans="1:14">
      <c r="A75" s="74" t="s">
        <v>39</v>
      </c>
      <c r="B75" s="74">
        <v>3</v>
      </c>
      <c r="C75" s="74" t="s">
        <v>168</v>
      </c>
      <c r="D75" s="74" t="s">
        <v>132</v>
      </c>
      <c r="E75" s="74" t="s">
        <v>130</v>
      </c>
      <c r="F75" s="74" t="s">
        <v>133</v>
      </c>
      <c r="G75" s="74" t="s">
        <v>284</v>
      </c>
      <c r="H75" s="74" t="s">
        <v>285</v>
      </c>
      <c r="I75" s="74" t="s">
        <v>285</v>
      </c>
      <c r="J75" s="74" t="s">
        <v>195</v>
      </c>
      <c r="K75" s="74" t="s">
        <v>357</v>
      </c>
      <c r="L75" s="75">
        <v>25300</v>
      </c>
      <c r="M75" s="89" t="s">
        <v>286</v>
      </c>
      <c r="N75" s="74"/>
    </row>
    <row r="76" ht="31" customHeight="1" spans="1:14">
      <c r="A76" s="74" t="s">
        <v>39</v>
      </c>
      <c r="B76" s="74">
        <v>4</v>
      </c>
      <c r="C76" s="74" t="s">
        <v>168</v>
      </c>
      <c r="D76" s="74" t="s">
        <v>132</v>
      </c>
      <c r="E76" s="74" t="s">
        <v>68</v>
      </c>
      <c r="F76" s="74" t="s">
        <v>69</v>
      </c>
      <c r="G76" s="74" t="s">
        <v>284</v>
      </c>
      <c r="H76" s="74" t="s">
        <v>242</v>
      </c>
      <c r="I76" s="74" t="s">
        <v>200</v>
      </c>
      <c r="J76" s="74" t="s">
        <v>188</v>
      </c>
      <c r="K76" s="74" t="s">
        <v>328</v>
      </c>
      <c r="L76" s="75">
        <v>2400</v>
      </c>
      <c r="M76" s="89" t="s">
        <v>244</v>
      </c>
      <c r="N76" s="74"/>
    </row>
    <row r="77" spans="1:14">
      <c r="A77" s="70" t="s">
        <v>295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7"/>
    </row>
    <row r="78" spans="1:14">
      <c r="A78" s="72" t="s">
        <v>53</v>
      </c>
      <c r="B78" s="72" t="s">
        <v>54</v>
      </c>
      <c r="C78" s="72" t="s">
        <v>174</v>
      </c>
      <c r="D78" s="72" t="s">
        <v>325</v>
      </c>
      <c r="E78" s="72" t="s">
        <v>55</v>
      </c>
      <c r="F78" s="72" t="s">
        <v>56</v>
      </c>
      <c r="G78" s="72" t="s">
        <v>175</v>
      </c>
      <c r="H78" s="72" t="s">
        <v>176</v>
      </c>
      <c r="I78" s="72" t="s">
        <v>177</v>
      </c>
      <c r="J78" s="72" t="s">
        <v>178</v>
      </c>
      <c r="K78" s="72" t="s">
        <v>326</v>
      </c>
      <c r="L78" s="73" t="s">
        <v>327</v>
      </c>
      <c r="M78" s="90" t="s">
        <v>183</v>
      </c>
      <c r="N78" s="72" t="s">
        <v>184</v>
      </c>
    </row>
    <row r="79" ht="31" customHeight="1" spans="1:14">
      <c r="A79" s="74" t="s">
        <v>43</v>
      </c>
      <c r="B79" s="74">
        <v>1</v>
      </c>
      <c r="C79" s="74" t="s">
        <v>168</v>
      </c>
      <c r="D79" s="74" t="s">
        <v>358</v>
      </c>
      <c r="E79" s="74" t="s">
        <v>141</v>
      </c>
      <c r="F79" s="74" t="s">
        <v>142</v>
      </c>
      <c r="G79" s="74" t="s">
        <v>296</v>
      </c>
      <c r="H79" s="74" t="s">
        <v>297</v>
      </c>
      <c r="I79" s="74" t="s">
        <v>268</v>
      </c>
      <c r="J79" s="74" t="s">
        <v>188</v>
      </c>
      <c r="K79" s="74" t="s">
        <v>359</v>
      </c>
      <c r="L79" s="75">
        <v>42500</v>
      </c>
      <c r="M79" s="89" t="s">
        <v>298</v>
      </c>
      <c r="N79" s="74" t="s">
        <v>299</v>
      </c>
    </row>
    <row r="80" spans="1:14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5"/>
      <c r="M80" s="89"/>
      <c r="N80" s="74"/>
    </row>
    <row r="81" ht="31" customHeight="1" spans="1:14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5"/>
      <c r="M81" s="89"/>
      <c r="N81" s="74"/>
    </row>
    <row r="82" spans="1:14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5"/>
      <c r="M82" s="96"/>
      <c r="N82" s="94"/>
    </row>
    <row r="83" spans="1:14">
      <c r="A83" s="70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7"/>
    </row>
    <row r="84" spans="1:1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3"/>
      <c r="M84" s="90"/>
      <c r="N84" s="72"/>
    </row>
    <row r="85" ht="31" customHeight="1" spans="1:14">
      <c r="A85" s="74"/>
      <c r="B85" s="81"/>
      <c r="C85" s="74"/>
      <c r="D85" s="74"/>
      <c r="E85" s="74"/>
      <c r="F85" s="74"/>
      <c r="G85" s="74"/>
      <c r="H85" s="74"/>
      <c r="I85" s="74"/>
      <c r="J85" s="74"/>
      <c r="K85" s="74"/>
      <c r="L85" s="75"/>
      <c r="M85" s="89"/>
      <c r="N85" s="74"/>
    </row>
    <row r="86" ht="31" customHeight="1" spans="1:14">
      <c r="A86" s="74"/>
      <c r="B86" s="81"/>
      <c r="C86" s="74"/>
      <c r="D86" s="74"/>
      <c r="E86" s="74"/>
      <c r="F86" s="74"/>
      <c r="G86" s="74"/>
      <c r="H86" s="74"/>
      <c r="I86" s="74"/>
      <c r="J86" s="74"/>
      <c r="K86" s="74"/>
      <c r="L86" s="75"/>
      <c r="M86" s="89"/>
      <c r="N86" s="74"/>
    </row>
    <row r="87" ht="23" customHeight="1" spans="1:14">
      <c r="A87" s="68" t="s">
        <v>301</v>
      </c>
      <c r="B87" s="69" t="s">
        <v>360</v>
      </c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7"/>
    </row>
    <row r="88" spans="1:14">
      <c r="A88" s="70" t="s">
        <v>303</v>
      </c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7"/>
    </row>
    <row r="89" spans="1:14">
      <c r="A89" s="72" t="s">
        <v>53</v>
      </c>
      <c r="B89" s="72" t="s">
        <v>54</v>
      </c>
      <c r="C89" s="72" t="s">
        <v>174</v>
      </c>
      <c r="D89" s="72" t="s">
        <v>325</v>
      </c>
      <c r="E89" s="72" t="s">
        <v>55</v>
      </c>
      <c r="F89" s="72" t="s">
        <v>56</v>
      </c>
      <c r="G89" s="72" t="s">
        <v>175</v>
      </c>
      <c r="H89" s="72" t="s">
        <v>176</v>
      </c>
      <c r="I89" s="72" t="s">
        <v>177</v>
      </c>
      <c r="J89" s="72" t="s">
        <v>178</v>
      </c>
      <c r="K89" s="72" t="s">
        <v>326</v>
      </c>
      <c r="L89" s="73" t="s">
        <v>327</v>
      </c>
      <c r="M89" s="90" t="s">
        <v>183</v>
      </c>
      <c r="N89" s="72" t="s">
        <v>184</v>
      </c>
    </row>
    <row r="90" ht="31" customHeight="1" spans="1:14">
      <c r="A90" s="74" t="s">
        <v>26</v>
      </c>
      <c r="B90" s="74">
        <v>2</v>
      </c>
      <c r="C90" s="74" t="s">
        <v>171</v>
      </c>
      <c r="D90" s="74" t="s">
        <v>50</v>
      </c>
      <c r="E90" s="74" t="s">
        <v>68</v>
      </c>
      <c r="F90" s="74" t="s">
        <v>69</v>
      </c>
      <c r="G90" s="74" t="s">
        <v>185</v>
      </c>
      <c r="H90" s="74" t="s">
        <v>186</v>
      </c>
      <c r="I90" s="74" t="s">
        <v>191</v>
      </c>
      <c r="J90" s="74" t="s">
        <v>188</v>
      </c>
      <c r="K90" s="74" t="s">
        <v>328</v>
      </c>
      <c r="L90" s="75">
        <v>5600</v>
      </c>
      <c r="M90" s="89" t="s">
        <v>192</v>
      </c>
      <c r="N90" s="74"/>
    </row>
    <row r="91" ht="31" customHeight="1" spans="1:14">
      <c r="A91" s="74" t="s">
        <v>26</v>
      </c>
      <c r="B91" s="74">
        <v>3</v>
      </c>
      <c r="C91" s="74" t="s">
        <v>171</v>
      </c>
      <c r="D91" s="74" t="s">
        <v>50</v>
      </c>
      <c r="E91" s="74" t="s">
        <v>70</v>
      </c>
      <c r="F91" s="74" t="s">
        <v>71</v>
      </c>
      <c r="G91" s="74" t="s">
        <v>193</v>
      </c>
      <c r="H91" s="74" t="s">
        <v>194</v>
      </c>
      <c r="I91" s="74" t="s">
        <v>194</v>
      </c>
      <c r="J91" s="74" t="s">
        <v>195</v>
      </c>
      <c r="K91" s="74" t="s">
        <v>329</v>
      </c>
      <c r="L91" s="75">
        <v>720</v>
      </c>
      <c r="M91" s="89" t="s">
        <v>196</v>
      </c>
      <c r="N91" s="74"/>
    </row>
    <row r="92" spans="1:14">
      <c r="A92" s="74" t="s">
        <v>26</v>
      </c>
      <c r="B92" s="74">
        <v>4</v>
      </c>
      <c r="C92" s="74" t="s">
        <v>171</v>
      </c>
      <c r="D92" s="74" t="s">
        <v>50</v>
      </c>
      <c r="E92" s="74" t="s">
        <v>72</v>
      </c>
      <c r="F92" s="74" t="s">
        <v>73</v>
      </c>
      <c r="G92" s="74" t="s">
        <v>193</v>
      </c>
      <c r="H92" s="74" t="s">
        <v>194</v>
      </c>
      <c r="I92" s="74" t="s">
        <v>194</v>
      </c>
      <c r="J92" s="74" t="s">
        <v>195</v>
      </c>
      <c r="K92" s="74" t="s">
        <v>329</v>
      </c>
      <c r="L92" s="75">
        <v>720</v>
      </c>
      <c r="M92" s="89" t="s">
        <v>196</v>
      </c>
      <c r="N92" s="74"/>
    </row>
    <row r="93" spans="1:14">
      <c r="A93" s="74" t="s">
        <v>26</v>
      </c>
      <c r="B93" s="74">
        <v>5</v>
      </c>
      <c r="C93" s="74" t="s">
        <v>171</v>
      </c>
      <c r="D93" s="74" t="s">
        <v>50</v>
      </c>
      <c r="E93" s="74" t="s">
        <v>74</v>
      </c>
      <c r="F93" s="74" t="s">
        <v>75</v>
      </c>
      <c r="G93" s="74" t="s">
        <v>193</v>
      </c>
      <c r="H93" s="74" t="s">
        <v>194</v>
      </c>
      <c r="I93" s="74" t="s">
        <v>194</v>
      </c>
      <c r="J93" s="74" t="s">
        <v>195</v>
      </c>
      <c r="K93" s="74" t="s">
        <v>329</v>
      </c>
      <c r="L93" s="75">
        <v>720</v>
      </c>
      <c r="M93" s="89" t="s">
        <v>196</v>
      </c>
      <c r="N93" s="74"/>
    </row>
    <row r="94" spans="1:14">
      <c r="A94" s="74" t="s">
        <v>26</v>
      </c>
      <c r="B94" s="74">
        <v>6</v>
      </c>
      <c r="C94" s="74" t="s">
        <v>171</v>
      </c>
      <c r="D94" s="74" t="s">
        <v>50</v>
      </c>
      <c r="E94" s="74" t="s">
        <v>76</v>
      </c>
      <c r="F94" s="74" t="s">
        <v>77</v>
      </c>
      <c r="G94" s="74" t="s">
        <v>193</v>
      </c>
      <c r="H94" s="74" t="s">
        <v>197</v>
      </c>
      <c r="I94" s="74" t="s">
        <v>197</v>
      </c>
      <c r="J94" s="74" t="s">
        <v>195</v>
      </c>
      <c r="K94" s="74" t="s">
        <v>329</v>
      </c>
      <c r="L94" s="75">
        <v>2880</v>
      </c>
      <c r="M94" s="89" t="s">
        <v>198</v>
      </c>
      <c r="N94" s="74"/>
    </row>
    <row r="95" spans="1:14">
      <c r="A95" s="74" t="s">
        <v>26</v>
      </c>
      <c r="B95" s="74">
        <v>7</v>
      </c>
      <c r="C95" s="74" t="s">
        <v>171</v>
      </c>
      <c r="D95" s="74" t="s">
        <v>50</v>
      </c>
      <c r="E95" s="74" t="s">
        <v>78</v>
      </c>
      <c r="F95" s="74" t="s">
        <v>79</v>
      </c>
      <c r="G95" s="74" t="s">
        <v>193</v>
      </c>
      <c r="H95" s="74" t="s">
        <v>199</v>
      </c>
      <c r="I95" s="74" t="s">
        <v>200</v>
      </c>
      <c r="J95" s="74" t="s">
        <v>201</v>
      </c>
      <c r="K95" s="74" t="s">
        <v>330</v>
      </c>
      <c r="L95" s="75">
        <v>3360</v>
      </c>
      <c r="M95" s="89" t="s">
        <v>331</v>
      </c>
      <c r="N95" s="74"/>
    </row>
    <row r="96" spans="1:14">
      <c r="A96" s="74" t="s">
        <v>26</v>
      </c>
      <c r="B96" s="74">
        <v>8</v>
      </c>
      <c r="C96" s="74" t="s">
        <v>171</v>
      </c>
      <c r="D96" s="74" t="s">
        <v>50</v>
      </c>
      <c r="E96" s="74" t="s">
        <v>80</v>
      </c>
      <c r="F96" s="74" t="s">
        <v>203</v>
      </c>
      <c r="G96" s="74" t="s">
        <v>193</v>
      </c>
      <c r="H96" s="74" t="s">
        <v>204</v>
      </c>
      <c r="I96" s="74" t="s">
        <v>204</v>
      </c>
      <c r="J96" s="74" t="s">
        <v>195</v>
      </c>
      <c r="K96" s="74" t="s">
        <v>329</v>
      </c>
      <c r="L96" s="75">
        <v>7200</v>
      </c>
      <c r="M96" s="89" t="s">
        <v>205</v>
      </c>
      <c r="N96" s="74"/>
    </row>
    <row r="97" spans="1:14">
      <c r="A97" s="74" t="s">
        <v>26</v>
      </c>
      <c r="B97" s="74">
        <v>9</v>
      </c>
      <c r="C97" s="74" t="s">
        <v>171</v>
      </c>
      <c r="D97" s="74" t="s">
        <v>50</v>
      </c>
      <c r="E97" s="74" t="s">
        <v>82</v>
      </c>
      <c r="F97" s="74" t="s">
        <v>83</v>
      </c>
      <c r="G97" s="74" t="s">
        <v>193</v>
      </c>
      <c r="H97" s="74" t="s">
        <v>206</v>
      </c>
      <c r="I97" s="74" t="s">
        <v>206</v>
      </c>
      <c r="J97" s="74" t="s">
        <v>195</v>
      </c>
      <c r="K97" s="74" t="s">
        <v>332</v>
      </c>
      <c r="L97" s="75">
        <v>30500</v>
      </c>
      <c r="M97" s="89" t="s">
        <v>207</v>
      </c>
      <c r="N97" s="74"/>
    </row>
    <row r="98" ht="31" spans="1:14">
      <c r="A98" s="74" t="s">
        <v>26</v>
      </c>
      <c r="B98" s="74">
        <v>10</v>
      </c>
      <c r="C98" s="74" t="s">
        <v>171</v>
      </c>
      <c r="D98" s="74" t="s">
        <v>50</v>
      </c>
      <c r="E98" s="74" t="s">
        <v>68</v>
      </c>
      <c r="F98" s="74" t="s">
        <v>69</v>
      </c>
      <c r="G98" s="74" t="s">
        <v>193</v>
      </c>
      <c r="H98" s="74" t="s">
        <v>208</v>
      </c>
      <c r="I98" s="74" t="s">
        <v>191</v>
      </c>
      <c r="J98" s="74" t="s">
        <v>188</v>
      </c>
      <c r="K98" s="74" t="s">
        <v>328</v>
      </c>
      <c r="L98" s="75">
        <v>4800</v>
      </c>
      <c r="M98" s="89" t="s">
        <v>209</v>
      </c>
      <c r="N98" s="74"/>
    </row>
    <row r="99" spans="1:14">
      <c r="A99" s="74" t="s">
        <v>26</v>
      </c>
      <c r="B99" s="74">
        <v>11</v>
      </c>
      <c r="C99" s="74" t="s">
        <v>171</v>
      </c>
      <c r="D99" s="74" t="s">
        <v>50</v>
      </c>
      <c r="E99" s="74" t="s">
        <v>84</v>
      </c>
      <c r="F99" s="74" t="s">
        <v>85</v>
      </c>
      <c r="G99" s="74" t="s">
        <v>193</v>
      </c>
      <c r="H99" s="74" t="s">
        <v>200</v>
      </c>
      <c r="I99" s="74" t="s">
        <v>200</v>
      </c>
      <c r="J99" s="74" t="s">
        <v>195</v>
      </c>
      <c r="K99" s="74" t="s">
        <v>333</v>
      </c>
      <c r="L99" s="75">
        <v>24000</v>
      </c>
      <c r="M99" s="89" t="s">
        <v>211</v>
      </c>
      <c r="N99" s="74"/>
    </row>
    <row r="100" spans="1:14">
      <c r="A100" s="74" t="s">
        <v>26</v>
      </c>
      <c r="B100" s="74">
        <v>12</v>
      </c>
      <c r="C100" s="74" t="s">
        <v>171</v>
      </c>
      <c r="D100" s="74" t="s">
        <v>50</v>
      </c>
      <c r="E100" s="74" t="s">
        <v>86</v>
      </c>
      <c r="F100" s="74" t="s">
        <v>212</v>
      </c>
      <c r="G100" s="74" t="s">
        <v>185</v>
      </c>
      <c r="H100" s="74" t="s">
        <v>186</v>
      </c>
      <c r="I100" s="74" t="s">
        <v>200</v>
      </c>
      <c r="J100" s="74" t="s">
        <v>188</v>
      </c>
      <c r="K100" s="74" t="s">
        <v>334</v>
      </c>
      <c r="L100" s="75">
        <v>4200</v>
      </c>
      <c r="M100" s="89" t="s">
        <v>213</v>
      </c>
      <c r="N100" s="74"/>
    </row>
    <row r="101" spans="1:14">
      <c r="A101" s="74" t="s">
        <v>26</v>
      </c>
      <c r="B101" s="74">
        <v>13</v>
      </c>
      <c r="C101" s="74" t="s">
        <v>171</v>
      </c>
      <c r="D101" s="74" t="s">
        <v>50</v>
      </c>
      <c r="E101" s="74" t="s">
        <v>88</v>
      </c>
      <c r="F101" s="74" t="s">
        <v>214</v>
      </c>
      <c r="G101" s="74" t="s">
        <v>193</v>
      </c>
      <c r="H101" s="74" t="s">
        <v>208</v>
      </c>
      <c r="I101" s="74" t="s">
        <v>200</v>
      </c>
      <c r="J101" s="74" t="s">
        <v>188</v>
      </c>
      <c r="K101" s="74" t="s">
        <v>335</v>
      </c>
      <c r="L101" s="75">
        <v>3996</v>
      </c>
      <c r="M101" s="89" t="s">
        <v>336</v>
      </c>
      <c r="N101" s="74"/>
    </row>
    <row r="102" spans="1:14">
      <c r="A102" s="74" t="s">
        <v>26</v>
      </c>
      <c r="B102" s="74">
        <v>14</v>
      </c>
      <c r="C102" s="74" t="s">
        <v>171</v>
      </c>
      <c r="D102" s="74" t="s">
        <v>50</v>
      </c>
      <c r="E102" s="74" t="s">
        <v>90</v>
      </c>
      <c r="F102" s="74" t="s">
        <v>91</v>
      </c>
      <c r="G102" s="74" t="s">
        <v>193</v>
      </c>
      <c r="H102" s="74" t="s">
        <v>208</v>
      </c>
      <c r="I102" s="74" t="s">
        <v>204</v>
      </c>
      <c r="J102" s="74" t="s">
        <v>188</v>
      </c>
      <c r="K102" s="74" t="s">
        <v>337</v>
      </c>
      <c r="L102" s="75">
        <v>48000</v>
      </c>
      <c r="M102" s="89" t="s">
        <v>338</v>
      </c>
      <c r="N102" s="74" t="s">
        <v>218</v>
      </c>
    </row>
    <row r="103" spans="1:14">
      <c r="A103" s="74" t="s">
        <v>26</v>
      </c>
      <c r="B103" s="74">
        <v>15</v>
      </c>
      <c r="C103" s="74" t="s">
        <v>171</v>
      </c>
      <c r="D103" s="74" t="s">
        <v>50</v>
      </c>
      <c r="E103" s="74" t="s">
        <v>92</v>
      </c>
      <c r="F103" s="74" t="s">
        <v>220</v>
      </c>
      <c r="G103" s="74" t="s">
        <v>193</v>
      </c>
      <c r="H103" s="74" t="s">
        <v>221</v>
      </c>
      <c r="I103" s="74" t="s">
        <v>221</v>
      </c>
      <c r="J103" s="74" t="s">
        <v>195</v>
      </c>
      <c r="K103" s="74" t="s">
        <v>329</v>
      </c>
      <c r="L103" s="75">
        <v>7920</v>
      </c>
      <c r="M103" s="89" t="s">
        <v>222</v>
      </c>
      <c r="N103" s="74"/>
    </row>
    <row r="104" spans="1:14">
      <c r="A104" s="74" t="s">
        <v>26</v>
      </c>
      <c r="B104" s="74">
        <v>16</v>
      </c>
      <c r="C104" s="74" t="s">
        <v>171</v>
      </c>
      <c r="D104" s="74" t="s">
        <v>50</v>
      </c>
      <c r="E104" s="74" t="s">
        <v>94</v>
      </c>
      <c r="F104" s="74" t="s">
        <v>224</v>
      </c>
      <c r="G104" s="74" t="s">
        <v>193</v>
      </c>
      <c r="H104" s="74" t="s">
        <v>208</v>
      </c>
      <c r="I104" s="74" t="s">
        <v>191</v>
      </c>
      <c r="J104" s="74" t="s">
        <v>188</v>
      </c>
      <c r="K104" s="74" t="s">
        <v>339</v>
      </c>
      <c r="L104" s="75">
        <v>6000</v>
      </c>
      <c r="M104" s="89" t="s">
        <v>225</v>
      </c>
      <c r="N104" s="74"/>
    </row>
    <row r="105" spans="1:14">
      <c r="A105" s="74" t="s">
        <v>26</v>
      </c>
      <c r="B105" s="74">
        <v>17</v>
      </c>
      <c r="C105" s="74" t="s">
        <v>171</v>
      </c>
      <c r="D105" s="74" t="s">
        <v>50</v>
      </c>
      <c r="E105" s="74" t="s">
        <v>96</v>
      </c>
      <c r="F105" s="74" t="s">
        <v>97</v>
      </c>
      <c r="G105" s="74" t="s">
        <v>193</v>
      </c>
      <c r="H105" s="74" t="s">
        <v>226</v>
      </c>
      <c r="I105" s="74" t="s">
        <v>227</v>
      </c>
      <c r="J105" s="74" t="s">
        <v>201</v>
      </c>
      <c r="K105" s="74" t="s">
        <v>340</v>
      </c>
      <c r="L105" s="75">
        <v>6000</v>
      </c>
      <c r="M105" s="89" t="s">
        <v>341</v>
      </c>
      <c r="N105" s="74"/>
    </row>
    <row r="106" ht="31" customHeight="1" spans="1:14">
      <c r="A106" s="74" t="s">
        <v>26</v>
      </c>
      <c r="B106" s="74">
        <v>18</v>
      </c>
      <c r="C106" s="74" t="s">
        <v>171</v>
      </c>
      <c r="D106" s="74" t="s">
        <v>50</v>
      </c>
      <c r="E106" s="74" t="s">
        <v>68</v>
      </c>
      <c r="F106" s="74" t="s">
        <v>69</v>
      </c>
      <c r="G106" s="74" t="s">
        <v>193</v>
      </c>
      <c r="H106" s="74" t="s">
        <v>208</v>
      </c>
      <c r="I106" s="74" t="s">
        <v>191</v>
      </c>
      <c r="J106" s="74" t="s">
        <v>188</v>
      </c>
      <c r="K106" s="74" t="s">
        <v>328</v>
      </c>
      <c r="L106" s="75">
        <v>4800</v>
      </c>
      <c r="M106" s="89" t="s">
        <v>209</v>
      </c>
      <c r="N106" s="74"/>
    </row>
    <row r="107" spans="1:14">
      <c r="A107" s="70" t="s">
        <v>304</v>
      </c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7"/>
    </row>
    <row r="108" spans="1:14">
      <c r="A108" s="72" t="s">
        <v>53</v>
      </c>
      <c r="B108" s="72" t="s">
        <v>54</v>
      </c>
      <c r="C108" s="72" t="s">
        <v>174</v>
      </c>
      <c r="D108" s="72" t="s">
        <v>325</v>
      </c>
      <c r="E108" s="72" t="s">
        <v>55</v>
      </c>
      <c r="F108" s="72" t="s">
        <v>56</v>
      </c>
      <c r="G108" s="72" t="s">
        <v>175</v>
      </c>
      <c r="H108" s="72" t="s">
        <v>176</v>
      </c>
      <c r="I108" s="72" t="s">
        <v>177</v>
      </c>
      <c r="J108" s="72" t="s">
        <v>178</v>
      </c>
      <c r="K108" s="72" t="s">
        <v>326</v>
      </c>
      <c r="L108" s="73" t="s">
        <v>327</v>
      </c>
      <c r="M108" s="90" t="s">
        <v>183</v>
      </c>
      <c r="N108" s="72" t="s">
        <v>184</v>
      </c>
    </row>
    <row r="109" ht="31" customHeight="1" spans="1:14">
      <c r="A109" s="74" t="s">
        <v>27</v>
      </c>
      <c r="B109" s="74">
        <v>2</v>
      </c>
      <c r="C109" s="74" t="s">
        <v>171</v>
      </c>
      <c r="D109" s="74" t="s">
        <v>100</v>
      </c>
      <c r="E109" s="74" t="s">
        <v>68</v>
      </c>
      <c r="F109" s="74" t="s">
        <v>69</v>
      </c>
      <c r="G109" s="74" t="s">
        <v>233</v>
      </c>
      <c r="H109" s="74" t="s">
        <v>208</v>
      </c>
      <c r="I109" s="74" t="s">
        <v>191</v>
      </c>
      <c r="J109" s="74" t="s">
        <v>188</v>
      </c>
      <c r="K109" s="74" t="s">
        <v>328</v>
      </c>
      <c r="L109" s="75">
        <v>4800</v>
      </c>
      <c r="M109" s="89" t="s">
        <v>209</v>
      </c>
      <c r="N109" s="74"/>
    </row>
    <row r="110" ht="31" customHeight="1" spans="1:14">
      <c r="A110" s="74" t="s">
        <v>27</v>
      </c>
      <c r="B110" s="74">
        <v>3</v>
      </c>
      <c r="C110" s="74" t="s">
        <v>171</v>
      </c>
      <c r="D110" s="74" t="s">
        <v>100</v>
      </c>
      <c r="E110" s="74" t="s">
        <v>101</v>
      </c>
      <c r="F110" s="74" t="s">
        <v>102</v>
      </c>
      <c r="G110" s="74" t="s">
        <v>233</v>
      </c>
      <c r="H110" s="74" t="s">
        <v>234</v>
      </c>
      <c r="I110" s="74" t="s">
        <v>227</v>
      </c>
      <c r="J110" s="74" t="s">
        <v>188</v>
      </c>
      <c r="K110" s="74" t="s">
        <v>342</v>
      </c>
      <c r="L110" s="75">
        <v>7150</v>
      </c>
      <c r="M110" s="89" t="s">
        <v>235</v>
      </c>
      <c r="N110" s="74" t="s">
        <v>236</v>
      </c>
    </row>
    <row r="111" spans="1:14">
      <c r="A111" s="74" t="s">
        <v>27</v>
      </c>
      <c r="B111" s="74">
        <v>4</v>
      </c>
      <c r="C111" s="74" t="s">
        <v>171</v>
      </c>
      <c r="D111" s="74" t="s">
        <v>100</v>
      </c>
      <c r="E111" s="74" t="s">
        <v>104</v>
      </c>
      <c r="F111" s="74" t="s">
        <v>105</v>
      </c>
      <c r="G111" s="74" t="s">
        <v>233</v>
      </c>
      <c r="H111" s="74" t="s">
        <v>208</v>
      </c>
      <c r="I111" s="74" t="s">
        <v>187</v>
      </c>
      <c r="J111" s="74" t="s">
        <v>188</v>
      </c>
      <c r="K111" s="74" t="s">
        <v>343</v>
      </c>
      <c r="L111" s="75">
        <v>19000</v>
      </c>
      <c r="M111" s="89" t="s">
        <v>344</v>
      </c>
      <c r="N111" s="74" t="s">
        <v>238</v>
      </c>
    </row>
    <row r="112" ht="31" customHeight="1" spans="1:14">
      <c r="A112" s="74" t="s">
        <v>27</v>
      </c>
      <c r="B112" s="74">
        <v>5</v>
      </c>
      <c r="C112" s="74" t="s">
        <v>171</v>
      </c>
      <c r="D112" s="74" t="s">
        <v>100</v>
      </c>
      <c r="E112" s="74" t="s">
        <v>68</v>
      </c>
      <c r="F112" s="74" t="s">
        <v>69</v>
      </c>
      <c r="G112" s="74" t="s">
        <v>233</v>
      </c>
      <c r="H112" s="74" t="s">
        <v>208</v>
      </c>
      <c r="I112" s="74" t="s">
        <v>191</v>
      </c>
      <c r="J112" s="74" t="s">
        <v>188</v>
      </c>
      <c r="K112" s="74" t="s">
        <v>328</v>
      </c>
      <c r="L112" s="75">
        <v>4800</v>
      </c>
      <c r="M112" s="89" t="s">
        <v>209</v>
      </c>
      <c r="N112" s="74"/>
    </row>
    <row r="113" spans="1:15">
      <c r="A113" s="70" t="s">
        <v>305</v>
      </c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7"/>
    </row>
    <row r="114" spans="1:15">
      <c r="A114" s="72" t="s">
        <v>53</v>
      </c>
      <c r="B114" s="72" t="s">
        <v>54</v>
      </c>
      <c r="C114" s="72" t="s">
        <v>174</v>
      </c>
      <c r="D114" s="72" t="s">
        <v>325</v>
      </c>
      <c r="E114" s="72" t="s">
        <v>55</v>
      </c>
      <c r="F114" s="72" t="s">
        <v>56</v>
      </c>
      <c r="G114" s="72" t="s">
        <v>175</v>
      </c>
      <c r="H114" s="72" t="s">
        <v>176</v>
      </c>
      <c r="I114" s="72" t="s">
        <v>177</v>
      </c>
      <c r="J114" s="72" t="s">
        <v>178</v>
      </c>
      <c r="K114" s="72" t="s">
        <v>326</v>
      </c>
      <c r="L114" s="73" t="s">
        <v>327</v>
      </c>
      <c r="M114" s="90" t="s">
        <v>183</v>
      </c>
      <c r="N114" s="72" t="s">
        <v>184</v>
      </c>
    </row>
    <row r="115" ht="31" customHeight="1" spans="1:15">
      <c r="A115" s="74" t="s">
        <v>30</v>
      </c>
      <c r="B115" s="74">
        <v>2</v>
      </c>
      <c r="C115" s="74" t="s">
        <v>171</v>
      </c>
      <c r="D115" s="74" t="s">
        <v>107</v>
      </c>
      <c r="E115" s="74" t="s">
        <v>68</v>
      </c>
      <c r="F115" s="74" t="s">
        <v>69</v>
      </c>
      <c r="G115" s="74" t="s">
        <v>241</v>
      </c>
      <c r="H115" s="74" t="s">
        <v>242</v>
      </c>
      <c r="I115" s="74" t="s">
        <v>191</v>
      </c>
      <c r="J115" s="74" t="s">
        <v>188</v>
      </c>
      <c r="K115" s="74" t="s">
        <v>328</v>
      </c>
      <c r="L115" s="75">
        <v>2400</v>
      </c>
      <c r="M115" s="89" t="s">
        <v>244</v>
      </c>
      <c r="N115" s="74"/>
    </row>
    <row r="116" spans="1:15">
      <c r="A116" s="74" t="s">
        <v>30</v>
      </c>
      <c r="B116" s="74">
        <v>3</v>
      </c>
      <c r="C116" s="74" t="s">
        <v>171</v>
      </c>
      <c r="D116" s="74" t="s">
        <v>107</v>
      </c>
      <c r="E116" s="74" t="s">
        <v>82</v>
      </c>
      <c r="F116" s="74" t="s">
        <v>83</v>
      </c>
      <c r="G116" s="74" t="s">
        <v>241</v>
      </c>
      <c r="H116" s="74" t="s">
        <v>206</v>
      </c>
      <c r="I116" s="74" t="s">
        <v>206</v>
      </c>
      <c r="J116" s="74" t="s">
        <v>195</v>
      </c>
      <c r="K116" s="74" t="s">
        <v>332</v>
      </c>
      <c r="L116" s="75">
        <v>30500</v>
      </c>
      <c r="M116" s="89" t="s">
        <v>207</v>
      </c>
      <c r="N116" s="74"/>
    </row>
    <row r="117" ht="31" customHeight="1" spans="1:15">
      <c r="A117" s="74" t="s">
        <v>30</v>
      </c>
      <c r="B117" s="74">
        <v>4</v>
      </c>
      <c r="C117" s="74" t="s">
        <v>171</v>
      </c>
      <c r="D117" s="74" t="s">
        <v>107</v>
      </c>
      <c r="E117" s="74" t="s">
        <v>84</v>
      </c>
      <c r="F117" s="74" t="s">
        <v>85</v>
      </c>
      <c r="G117" s="74" t="s">
        <v>241</v>
      </c>
      <c r="H117" s="74" t="s">
        <v>194</v>
      </c>
      <c r="I117" s="74" t="s">
        <v>194</v>
      </c>
      <c r="J117" s="74" t="s">
        <v>195</v>
      </c>
      <c r="K117" s="74" t="s">
        <v>333</v>
      </c>
      <c r="L117" s="75">
        <v>12000</v>
      </c>
      <c r="M117" s="89" t="s">
        <v>245</v>
      </c>
      <c r="N117" s="74"/>
    </row>
    <row r="118" spans="1:15">
      <c r="A118" s="74" t="s">
        <v>30</v>
      </c>
      <c r="B118" s="74">
        <v>5</v>
      </c>
      <c r="C118" s="74" t="s">
        <v>171</v>
      </c>
      <c r="D118" s="74" t="s">
        <v>107</v>
      </c>
      <c r="E118" s="74" t="s">
        <v>96</v>
      </c>
      <c r="F118" s="74" t="s">
        <v>97</v>
      </c>
      <c r="G118" s="74" t="s">
        <v>241</v>
      </c>
      <c r="H118" s="74" t="s">
        <v>246</v>
      </c>
      <c r="I118" s="74" t="s">
        <v>200</v>
      </c>
      <c r="J118" s="74" t="s">
        <v>201</v>
      </c>
      <c r="K118" s="74" t="s">
        <v>340</v>
      </c>
      <c r="L118" s="75">
        <v>3000</v>
      </c>
      <c r="M118" s="89" t="s">
        <v>345</v>
      </c>
      <c r="N118" s="74"/>
    </row>
    <row r="119" ht="31" spans="1:15">
      <c r="A119" s="74" t="s">
        <v>30</v>
      </c>
      <c r="B119" s="74">
        <v>6</v>
      </c>
      <c r="C119" s="74" t="s">
        <v>171</v>
      </c>
      <c r="D119" s="74" t="s">
        <v>107</v>
      </c>
      <c r="E119" s="74" t="s">
        <v>109</v>
      </c>
      <c r="F119" s="74" t="s">
        <v>110</v>
      </c>
      <c r="G119" s="74" t="s">
        <v>241</v>
      </c>
      <c r="H119" s="74" t="s">
        <v>248</v>
      </c>
      <c r="I119" s="74" t="s">
        <v>248</v>
      </c>
      <c r="J119" s="74" t="s">
        <v>195</v>
      </c>
      <c r="K119" s="74" t="s">
        <v>346</v>
      </c>
      <c r="L119" s="75">
        <v>7158</v>
      </c>
      <c r="M119" s="89" t="s">
        <v>347</v>
      </c>
      <c r="N119" s="74" t="s">
        <v>249</v>
      </c>
    </row>
    <row r="120" ht="31" customHeight="1" spans="1:15">
      <c r="A120" s="74" t="s">
        <v>30</v>
      </c>
      <c r="B120" s="74">
        <v>7</v>
      </c>
      <c r="C120" s="74" t="s">
        <v>171</v>
      </c>
      <c r="D120" s="74" t="s">
        <v>107</v>
      </c>
      <c r="E120" s="74" t="s">
        <v>68</v>
      </c>
      <c r="F120" s="74" t="s">
        <v>69</v>
      </c>
      <c r="G120" s="74" t="s">
        <v>241</v>
      </c>
      <c r="H120" s="74" t="s">
        <v>242</v>
      </c>
      <c r="I120" s="74" t="s">
        <v>200</v>
      </c>
      <c r="J120" s="74" t="s">
        <v>188</v>
      </c>
      <c r="K120" s="74" t="s">
        <v>328</v>
      </c>
      <c r="L120" s="75">
        <v>2400</v>
      </c>
      <c r="M120" s="89" t="s">
        <v>244</v>
      </c>
      <c r="N120" s="74"/>
    </row>
    <row r="121" ht="31" customHeight="1" spans="1:15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5"/>
      <c r="M121" s="89"/>
      <c r="N121" s="74"/>
    </row>
    <row r="122" spans="1:15">
      <c r="A122" s="70" t="s">
        <v>306</v>
      </c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7"/>
    </row>
    <row r="123" spans="1:15">
      <c r="A123" s="72" t="s">
        <v>53</v>
      </c>
      <c r="B123" s="72" t="s">
        <v>54</v>
      </c>
      <c r="C123" s="72" t="s">
        <v>174</v>
      </c>
      <c r="D123" s="72" t="s">
        <v>325</v>
      </c>
      <c r="E123" s="72" t="s">
        <v>55</v>
      </c>
      <c r="F123" s="72" t="s">
        <v>56</v>
      </c>
      <c r="G123" s="72" t="s">
        <v>175</v>
      </c>
      <c r="H123" s="72" t="s">
        <v>176</v>
      </c>
      <c r="I123" s="72" t="s">
        <v>177</v>
      </c>
      <c r="J123" s="72" t="s">
        <v>178</v>
      </c>
      <c r="K123" s="72" t="s">
        <v>326</v>
      </c>
      <c r="L123" s="73" t="s">
        <v>327</v>
      </c>
      <c r="M123" s="90" t="s">
        <v>183</v>
      </c>
      <c r="N123" s="72" t="s">
        <v>184</v>
      </c>
    </row>
    <row r="124" ht="31" customHeight="1" spans="1:15">
      <c r="A124" s="74" t="s">
        <v>31</v>
      </c>
      <c r="B124" s="74">
        <v>2</v>
      </c>
      <c r="C124" s="74" t="s">
        <v>171</v>
      </c>
      <c r="D124" s="74" t="s">
        <v>111</v>
      </c>
      <c r="E124" s="74" t="s">
        <v>68</v>
      </c>
      <c r="F124" s="74" t="s">
        <v>69</v>
      </c>
      <c r="G124" s="74" t="s">
        <v>252</v>
      </c>
      <c r="H124" s="74" t="s">
        <v>242</v>
      </c>
      <c r="I124" s="74" t="s">
        <v>191</v>
      </c>
      <c r="J124" s="74" t="s">
        <v>188</v>
      </c>
      <c r="K124" s="74" t="s">
        <v>328</v>
      </c>
      <c r="L124" s="75">
        <v>2400</v>
      </c>
      <c r="M124" s="89" t="s">
        <v>244</v>
      </c>
      <c r="N124" s="74"/>
    </row>
    <row r="125" ht="31" customHeight="1" spans="1:15">
      <c r="A125" s="91" t="s">
        <v>31</v>
      </c>
      <c r="B125" s="91">
        <v>3</v>
      </c>
      <c r="C125" s="91" t="s">
        <v>171</v>
      </c>
      <c r="D125" s="91" t="s">
        <v>111</v>
      </c>
      <c r="E125" s="91" t="s">
        <v>112</v>
      </c>
      <c r="F125" s="91" t="s">
        <v>113</v>
      </c>
      <c r="G125" s="91" t="s">
        <v>252</v>
      </c>
      <c r="H125" s="91" t="s">
        <v>253</v>
      </c>
      <c r="I125" s="91" t="s">
        <v>253</v>
      </c>
      <c r="J125" s="91" t="s">
        <v>195</v>
      </c>
      <c r="K125" s="91" t="s">
        <v>332</v>
      </c>
      <c r="L125" s="92">
        <v>100000</v>
      </c>
      <c r="M125" s="93" t="s">
        <v>348</v>
      </c>
      <c r="N125" s="91" t="s">
        <v>255</v>
      </c>
      <c r="O125" s="97"/>
    </row>
    <row r="126" ht="31" customHeight="1" spans="1:15">
      <c r="A126" s="74" t="s">
        <v>31</v>
      </c>
      <c r="B126" s="74">
        <v>4</v>
      </c>
      <c r="C126" s="74" t="s">
        <v>171</v>
      </c>
      <c r="D126" s="74" t="s">
        <v>111</v>
      </c>
      <c r="E126" s="74" t="s">
        <v>68</v>
      </c>
      <c r="F126" s="74" t="s">
        <v>69</v>
      </c>
      <c r="G126" s="74" t="s">
        <v>252</v>
      </c>
      <c r="H126" s="74" t="s">
        <v>242</v>
      </c>
      <c r="I126" s="74" t="s">
        <v>200</v>
      </c>
      <c r="J126" s="74" t="s">
        <v>188</v>
      </c>
      <c r="K126" s="74" t="s">
        <v>328</v>
      </c>
      <c r="L126" s="75">
        <v>2400</v>
      </c>
      <c r="M126" s="89" t="s">
        <v>244</v>
      </c>
      <c r="N126" s="74"/>
    </row>
    <row r="127" spans="1:15">
      <c r="A127" s="70" t="s">
        <v>307</v>
      </c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7"/>
    </row>
    <row r="128" spans="1:15">
      <c r="A128" s="72" t="s">
        <v>53</v>
      </c>
      <c r="B128" s="72" t="s">
        <v>54</v>
      </c>
      <c r="C128" s="72" t="s">
        <v>174</v>
      </c>
      <c r="D128" s="72" t="s">
        <v>325</v>
      </c>
      <c r="E128" s="72" t="s">
        <v>55</v>
      </c>
      <c r="F128" s="72" t="s">
        <v>56</v>
      </c>
      <c r="G128" s="72" t="s">
        <v>175</v>
      </c>
      <c r="H128" s="72" t="s">
        <v>176</v>
      </c>
      <c r="I128" s="72" t="s">
        <v>177</v>
      </c>
      <c r="J128" s="72" t="s">
        <v>178</v>
      </c>
      <c r="K128" s="72" t="s">
        <v>326</v>
      </c>
      <c r="L128" s="73" t="s">
        <v>327</v>
      </c>
      <c r="M128" s="90" t="s">
        <v>183</v>
      </c>
      <c r="N128" s="72" t="s">
        <v>184</v>
      </c>
    </row>
    <row r="129" ht="31" customHeight="1" spans="1:14">
      <c r="A129" s="74" t="s">
        <v>32</v>
      </c>
      <c r="B129" s="74">
        <v>2</v>
      </c>
      <c r="C129" s="74" t="s">
        <v>171</v>
      </c>
      <c r="D129" s="74" t="s">
        <v>114</v>
      </c>
      <c r="E129" s="74" t="s">
        <v>68</v>
      </c>
      <c r="F129" s="74" t="s">
        <v>69</v>
      </c>
      <c r="G129" s="74" t="s">
        <v>258</v>
      </c>
      <c r="H129" s="74" t="s">
        <v>242</v>
      </c>
      <c r="I129" s="74" t="s">
        <v>191</v>
      </c>
      <c r="J129" s="74" t="s">
        <v>188</v>
      </c>
      <c r="K129" s="74" t="s">
        <v>328</v>
      </c>
      <c r="L129" s="75">
        <v>2400</v>
      </c>
      <c r="M129" s="89" t="s">
        <v>244</v>
      </c>
      <c r="N129" s="74"/>
    </row>
    <row r="130" ht="31" customHeight="1" spans="1:14">
      <c r="A130" s="74" t="s">
        <v>32</v>
      </c>
      <c r="B130" s="74">
        <v>3</v>
      </c>
      <c r="C130" s="74" t="s">
        <v>171</v>
      </c>
      <c r="D130" s="74" t="s">
        <v>114</v>
      </c>
      <c r="E130" s="74" t="s">
        <v>115</v>
      </c>
      <c r="F130" s="74" t="s">
        <v>116</v>
      </c>
      <c r="G130" s="74" t="s">
        <v>258</v>
      </c>
      <c r="H130" s="74" t="s">
        <v>194</v>
      </c>
      <c r="I130" s="74" t="s">
        <v>194</v>
      </c>
      <c r="J130" s="74" t="s">
        <v>195</v>
      </c>
      <c r="K130" s="74" t="s">
        <v>349</v>
      </c>
      <c r="L130" s="75">
        <v>3480</v>
      </c>
      <c r="M130" s="89" t="s">
        <v>259</v>
      </c>
      <c r="N130" s="74"/>
    </row>
    <row r="131" ht="31" customHeight="1" spans="1:14">
      <c r="A131" s="74" t="s">
        <v>32</v>
      </c>
      <c r="B131" s="74">
        <v>4</v>
      </c>
      <c r="C131" s="74" t="s">
        <v>171</v>
      </c>
      <c r="D131" s="74" t="s">
        <v>114</v>
      </c>
      <c r="E131" s="74" t="s">
        <v>68</v>
      </c>
      <c r="F131" s="74" t="s">
        <v>69</v>
      </c>
      <c r="G131" s="74" t="s">
        <v>258</v>
      </c>
      <c r="H131" s="74" t="s">
        <v>242</v>
      </c>
      <c r="I131" s="74" t="s">
        <v>200</v>
      </c>
      <c r="J131" s="74" t="s">
        <v>188</v>
      </c>
      <c r="K131" s="74" t="s">
        <v>328</v>
      </c>
      <c r="L131" s="75">
        <v>2400</v>
      </c>
      <c r="M131" s="89" t="s">
        <v>244</v>
      </c>
      <c r="N131" s="74"/>
    </row>
    <row r="132" spans="1:14">
      <c r="A132" s="70" t="s">
        <v>308</v>
      </c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7"/>
    </row>
    <row r="133" spans="1:14">
      <c r="A133" s="72" t="s">
        <v>53</v>
      </c>
      <c r="B133" s="72" t="s">
        <v>54</v>
      </c>
      <c r="C133" s="72" t="s">
        <v>174</v>
      </c>
      <c r="D133" s="72" t="s">
        <v>325</v>
      </c>
      <c r="E133" s="72" t="s">
        <v>55</v>
      </c>
      <c r="F133" s="72" t="s">
        <v>56</v>
      </c>
      <c r="G133" s="72" t="s">
        <v>175</v>
      </c>
      <c r="H133" s="72" t="s">
        <v>176</v>
      </c>
      <c r="I133" s="72" t="s">
        <v>177</v>
      </c>
      <c r="J133" s="72" t="s">
        <v>178</v>
      </c>
      <c r="K133" s="72" t="s">
        <v>326</v>
      </c>
      <c r="L133" s="73" t="s">
        <v>327</v>
      </c>
      <c r="M133" s="90" t="s">
        <v>183</v>
      </c>
      <c r="N133" s="72" t="s">
        <v>184</v>
      </c>
    </row>
    <row r="134" ht="31" customHeight="1" spans="1:14">
      <c r="A134" s="74" t="s">
        <v>33</v>
      </c>
      <c r="B134" s="74">
        <v>1</v>
      </c>
      <c r="C134" s="74" t="s">
        <v>171</v>
      </c>
      <c r="D134" s="74" t="s">
        <v>350</v>
      </c>
      <c r="E134" s="74" t="s">
        <v>68</v>
      </c>
      <c r="F134" s="74" t="s">
        <v>69</v>
      </c>
      <c r="G134" s="74" t="s">
        <v>262</v>
      </c>
      <c r="H134" s="74" t="s">
        <v>263</v>
      </c>
      <c r="I134" s="74" t="s">
        <v>191</v>
      </c>
      <c r="J134" s="74" t="s">
        <v>188</v>
      </c>
      <c r="K134" s="74" t="s">
        <v>328</v>
      </c>
      <c r="L134" s="75">
        <v>3200</v>
      </c>
      <c r="M134" s="89" t="s">
        <v>264</v>
      </c>
      <c r="N134" s="74"/>
    </row>
    <row r="135" ht="31" customHeight="1" spans="1:14">
      <c r="A135" s="74" t="s">
        <v>33</v>
      </c>
      <c r="B135" s="74">
        <v>2</v>
      </c>
      <c r="C135" s="74" t="s">
        <v>171</v>
      </c>
      <c r="D135" s="74" t="s">
        <v>350</v>
      </c>
      <c r="E135" s="74" t="s">
        <v>118</v>
      </c>
      <c r="F135" s="74" t="s">
        <v>119</v>
      </c>
      <c r="G135" s="74" t="s">
        <v>262</v>
      </c>
      <c r="H135" s="74" t="s">
        <v>265</v>
      </c>
      <c r="I135" s="74" t="s">
        <v>265</v>
      </c>
      <c r="J135" s="74" t="s">
        <v>195</v>
      </c>
      <c r="K135" s="74" t="s">
        <v>351</v>
      </c>
      <c r="L135" s="75">
        <v>40680</v>
      </c>
      <c r="M135" s="89" t="s">
        <v>352</v>
      </c>
      <c r="N135" s="74"/>
    </row>
    <row r="136" ht="31" customHeight="1" spans="1:14">
      <c r="A136" s="74" t="s">
        <v>33</v>
      </c>
      <c r="B136" s="74">
        <v>3</v>
      </c>
      <c r="C136" s="74" t="s">
        <v>171</v>
      </c>
      <c r="D136" s="74" t="s">
        <v>350</v>
      </c>
      <c r="E136" s="74" t="s">
        <v>68</v>
      </c>
      <c r="F136" s="74" t="s">
        <v>69</v>
      </c>
      <c r="G136" s="74" t="s">
        <v>262</v>
      </c>
      <c r="H136" s="74" t="s">
        <v>263</v>
      </c>
      <c r="I136" s="74" t="s">
        <v>200</v>
      </c>
      <c r="J136" s="74" t="s">
        <v>188</v>
      </c>
      <c r="K136" s="74" t="s">
        <v>328</v>
      </c>
      <c r="L136" s="75">
        <v>3200</v>
      </c>
      <c r="M136" s="89" t="s">
        <v>264</v>
      </c>
      <c r="N136" s="74"/>
    </row>
    <row r="137" ht="46" customHeight="1" spans="1:14">
      <c r="A137" s="74" t="s">
        <v>33</v>
      </c>
      <c r="B137" s="74">
        <v>5</v>
      </c>
      <c r="C137" s="74" t="s">
        <v>171</v>
      </c>
      <c r="D137" s="74" t="s">
        <v>350</v>
      </c>
      <c r="E137" s="74" t="s">
        <v>121</v>
      </c>
      <c r="F137" s="74" t="s">
        <v>121</v>
      </c>
      <c r="G137" s="74" t="s">
        <v>262</v>
      </c>
      <c r="H137" s="74" t="s">
        <v>267</v>
      </c>
      <c r="I137" s="74" t="s">
        <v>268</v>
      </c>
      <c r="J137" s="74" t="s">
        <v>269</v>
      </c>
      <c r="K137" s="74" t="s">
        <v>353</v>
      </c>
      <c r="L137" s="75">
        <v>21450</v>
      </c>
      <c r="M137" s="89" t="s">
        <v>270</v>
      </c>
      <c r="N137" s="74" t="s">
        <v>271</v>
      </c>
    </row>
    <row r="138" spans="1:14">
      <c r="A138" s="70" t="s">
        <v>309</v>
      </c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7"/>
    </row>
    <row r="139" spans="1:14">
      <c r="A139" s="72" t="s">
        <v>53</v>
      </c>
      <c r="B139" s="72" t="s">
        <v>54</v>
      </c>
      <c r="C139" s="72" t="s">
        <v>174</v>
      </c>
      <c r="D139" s="72" t="s">
        <v>325</v>
      </c>
      <c r="E139" s="72" t="s">
        <v>55</v>
      </c>
      <c r="F139" s="72" t="s">
        <v>56</v>
      </c>
      <c r="G139" s="72" t="s">
        <v>175</v>
      </c>
      <c r="H139" s="72" t="s">
        <v>176</v>
      </c>
      <c r="I139" s="72" t="s">
        <v>177</v>
      </c>
      <c r="J139" s="72" t="s">
        <v>178</v>
      </c>
      <c r="K139" s="72" t="s">
        <v>326</v>
      </c>
      <c r="L139" s="73" t="s">
        <v>327</v>
      </c>
      <c r="M139" s="90" t="s">
        <v>183</v>
      </c>
      <c r="N139" s="72" t="s">
        <v>184</v>
      </c>
    </row>
    <row r="140" ht="31" customHeight="1" spans="1:14">
      <c r="A140" s="74" t="s">
        <v>35</v>
      </c>
      <c r="B140" s="74">
        <v>1</v>
      </c>
      <c r="C140" s="74" t="s">
        <v>171</v>
      </c>
      <c r="D140" s="74" t="s">
        <v>354</v>
      </c>
      <c r="E140" s="74" t="s">
        <v>68</v>
      </c>
      <c r="F140" s="74" t="s">
        <v>69</v>
      </c>
      <c r="G140" s="74" t="s">
        <v>274</v>
      </c>
      <c r="H140" s="74" t="s">
        <v>242</v>
      </c>
      <c r="I140" s="74" t="s">
        <v>191</v>
      </c>
      <c r="J140" s="74" t="s">
        <v>188</v>
      </c>
      <c r="K140" s="74" t="s">
        <v>328</v>
      </c>
      <c r="L140" s="75">
        <v>2400</v>
      </c>
      <c r="M140" s="89" t="s">
        <v>244</v>
      </c>
      <c r="N140" s="74"/>
    </row>
    <row r="141" ht="31" customHeight="1" spans="1:14">
      <c r="A141" s="74" t="s">
        <v>35</v>
      </c>
      <c r="B141" s="74">
        <v>2</v>
      </c>
      <c r="C141" s="74" t="s">
        <v>171</v>
      </c>
      <c r="D141" s="74" t="s">
        <v>354</v>
      </c>
      <c r="E141" s="74" t="s">
        <v>123</v>
      </c>
      <c r="F141" s="74" t="s">
        <v>124</v>
      </c>
      <c r="G141" s="74" t="s">
        <v>274</v>
      </c>
      <c r="H141" s="74" t="s">
        <v>199</v>
      </c>
      <c r="I141" s="74" t="s">
        <v>200</v>
      </c>
      <c r="J141" s="74" t="s">
        <v>201</v>
      </c>
      <c r="K141" s="74" t="s">
        <v>355</v>
      </c>
      <c r="L141" s="75">
        <v>4100</v>
      </c>
      <c r="M141" s="89" t="s">
        <v>356</v>
      </c>
      <c r="N141" s="74"/>
    </row>
    <row r="142" ht="31" customHeight="1" spans="1:14">
      <c r="A142" s="74" t="s">
        <v>35</v>
      </c>
      <c r="B142" s="74">
        <v>3</v>
      </c>
      <c r="C142" s="74" t="s">
        <v>171</v>
      </c>
      <c r="D142" s="74" t="s">
        <v>354</v>
      </c>
      <c r="E142" s="74" t="s">
        <v>68</v>
      </c>
      <c r="F142" s="74" t="s">
        <v>69</v>
      </c>
      <c r="G142" s="74" t="s">
        <v>274</v>
      </c>
      <c r="H142" s="74" t="s">
        <v>242</v>
      </c>
      <c r="I142" s="74" t="s">
        <v>200</v>
      </c>
      <c r="J142" s="74" t="s">
        <v>188</v>
      </c>
      <c r="K142" s="74" t="s">
        <v>328</v>
      </c>
      <c r="L142" s="75">
        <v>2400</v>
      </c>
      <c r="M142" s="89" t="s">
        <v>244</v>
      </c>
      <c r="N142" s="74"/>
    </row>
    <row r="143" spans="1:14">
      <c r="A143" s="70" t="s">
        <v>310</v>
      </c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7"/>
    </row>
    <row r="144" spans="1:14">
      <c r="A144" s="72" t="s">
        <v>53</v>
      </c>
      <c r="B144" s="72" t="s">
        <v>54</v>
      </c>
      <c r="C144" s="72" t="s">
        <v>174</v>
      </c>
      <c r="D144" s="72" t="s">
        <v>325</v>
      </c>
      <c r="E144" s="72" t="s">
        <v>55</v>
      </c>
      <c r="F144" s="72" t="s">
        <v>56</v>
      </c>
      <c r="G144" s="72" t="s">
        <v>175</v>
      </c>
      <c r="H144" s="72" t="s">
        <v>176</v>
      </c>
      <c r="I144" s="72" t="s">
        <v>177</v>
      </c>
      <c r="J144" s="72" t="s">
        <v>178</v>
      </c>
      <c r="K144" s="72" t="s">
        <v>326</v>
      </c>
      <c r="L144" s="73" t="s">
        <v>327</v>
      </c>
      <c r="M144" s="90" t="s">
        <v>183</v>
      </c>
      <c r="N144" s="72" t="s">
        <v>184</v>
      </c>
    </row>
    <row r="145" ht="31" customHeight="1" spans="1:14">
      <c r="A145" s="74" t="s">
        <v>37</v>
      </c>
      <c r="B145" s="74">
        <v>2</v>
      </c>
      <c r="C145" s="74" t="s">
        <v>171</v>
      </c>
      <c r="D145" s="74" t="s">
        <v>126</v>
      </c>
      <c r="E145" s="74" t="s">
        <v>68</v>
      </c>
      <c r="F145" s="74" t="s">
        <v>69</v>
      </c>
      <c r="G145" s="74" t="s">
        <v>277</v>
      </c>
      <c r="H145" s="74" t="s">
        <v>242</v>
      </c>
      <c r="I145" s="74" t="s">
        <v>191</v>
      </c>
      <c r="J145" s="74" t="s">
        <v>188</v>
      </c>
      <c r="K145" s="74" t="s">
        <v>328</v>
      </c>
      <c r="L145" s="75">
        <v>2400</v>
      </c>
      <c r="M145" s="89" t="s">
        <v>244</v>
      </c>
      <c r="N145" s="74"/>
    </row>
    <row r="146" ht="31" customHeight="1" spans="1:14">
      <c r="A146" s="74" t="s">
        <v>37</v>
      </c>
      <c r="B146" s="74">
        <v>3</v>
      </c>
      <c r="C146" s="74" t="s">
        <v>171</v>
      </c>
      <c r="D146" s="74" t="s">
        <v>126</v>
      </c>
      <c r="E146" s="74" t="s">
        <v>127</v>
      </c>
      <c r="F146" s="74" t="s">
        <v>128</v>
      </c>
      <c r="G146" s="74" t="s">
        <v>277</v>
      </c>
      <c r="H146" s="74" t="s">
        <v>253</v>
      </c>
      <c r="I146" s="74" t="s">
        <v>253</v>
      </c>
      <c r="J146" s="74" t="s">
        <v>195</v>
      </c>
      <c r="K146" s="74" t="s">
        <v>357</v>
      </c>
      <c r="L146" s="75">
        <v>23000</v>
      </c>
      <c r="M146" s="89" t="s">
        <v>278</v>
      </c>
      <c r="N146" s="74"/>
    </row>
    <row r="147" ht="31" customHeight="1" spans="1:14">
      <c r="A147" s="74" t="s">
        <v>37</v>
      </c>
      <c r="B147" s="74">
        <v>4</v>
      </c>
      <c r="C147" s="74" t="s">
        <v>171</v>
      </c>
      <c r="D147" s="74" t="s">
        <v>126</v>
      </c>
      <c r="E147" s="74" t="s">
        <v>68</v>
      </c>
      <c r="F147" s="74" t="s">
        <v>69</v>
      </c>
      <c r="G147" s="74" t="s">
        <v>277</v>
      </c>
      <c r="H147" s="74" t="s">
        <v>242</v>
      </c>
      <c r="I147" s="74" t="s">
        <v>200</v>
      </c>
      <c r="J147" s="74" t="s">
        <v>188</v>
      </c>
      <c r="K147" s="74" t="s">
        <v>328</v>
      </c>
      <c r="L147" s="75">
        <v>2400</v>
      </c>
      <c r="M147" s="89" t="s">
        <v>244</v>
      </c>
      <c r="N147" s="74"/>
    </row>
    <row r="148" spans="1:14">
      <c r="A148" s="70" t="s">
        <v>311</v>
      </c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7"/>
    </row>
    <row r="149" spans="1:14">
      <c r="A149" s="72" t="s">
        <v>53</v>
      </c>
      <c r="B149" s="72" t="s">
        <v>54</v>
      </c>
      <c r="C149" s="72" t="s">
        <v>174</v>
      </c>
      <c r="D149" s="72" t="s">
        <v>325</v>
      </c>
      <c r="E149" s="72" t="s">
        <v>55</v>
      </c>
      <c r="F149" s="72" t="s">
        <v>56</v>
      </c>
      <c r="G149" s="72" t="s">
        <v>175</v>
      </c>
      <c r="H149" s="72" t="s">
        <v>176</v>
      </c>
      <c r="I149" s="72" t="s">
        <v>177</v>
      </c>
      <c r="J149" s="72" t="s">
        <v>178</v>
      </c>
      <c r="K149" s="72" t="s">
        <v>326</v>
      </c>
      <c r="L149" s="73" t="s">
        <v>327</v>
      </c>
      <c r="M149" s="90" t="s">
        <v>183</v>
      </c>
      <c r="N149" s="72" t="s">
        <v>184</v>
      </c>
    </row>
    <row r="150" ht="31" customHeight="1" spans="1:14">
      <c r="A150" s="74" t="s">
        <v>38</v>
      </c>
      <c r="B150" s="74">
        <v>2</v>
      </c>
      <c r="C150" s="74" t="s">
        <v>171</v>
      </c>
      <c r="D150" s="74" t="s">
        <v>129</v>
      </c>
      <c r="E150" s="74" t="s">
        <v>68</v>
      </c>
      <c r="F150" s="74" t="s">
        <v>69</v>
      </c>
      <c r="G150" s="74" t="s">
        <v>281</v>
      </c>
      <c r="H150" s="74" t="s">
        <v>242</v>
      </c>
      <c r="I150" s="74" t="s">
        <v>191</v>
      </c>
      <c r="J150" s="74" t="s">
        <v>188</v>
      </c>
      <c r="K150" s="74" t="s">
        <v>328</v>
      </c>
      <c r="L150" s="75">
        <v>2400</v>
      </c>
      <c r="M150" s="89" t="s">
        <v>244</v>
      </c>
      <c r="N150" s="74"/>
    </row>
    <row r="151" ht="31" customHeight="1" spans="1:14">
      <c r="A151" s="74" t="s">
        <v>38</v>
      </c>
      <c r="B151" s="74">
        <v>3</v>
      </c>
      <c r="C151" s="74" t="s">
        <v>171</v>
      </c>
      <c r="D151" s="74" t="s">
        <v>129</v>
      </c>
      <c r="E151" s="74" t="s">
        <v>130</v>
      </c>
      <c r="F151" s="74" t="s">
        <v>131</v>
      </c>
      <c r="G151" s="74" t="s">
        <v>281</v>
      </c>
      <c r="H151" s="74" t="s">
        <v>253</v>
      </c>
      <c r="I151" s="74" t="s">
        <v>253</v>
      </c>
      <c r="J151" s="74" t="s">
        <v>195</v>
      </c>
      <c r="K151" s="74" t="s">
        <v>357</v>
      </c>
      <c r="L151" s="75">
        <v>23000</v>
      </c>
      <c r="M151" s="89" t="s">
        <v>278</v>
      </c>
      <c r="N151" s="74"/>
    </row>
    <row r="152" ht="31" customHeight="1" spans="1:14">
      <c r="A152" s="74" t="s">
        <v>38</v>
      </c>
      <c r="B152" s="74">
        <v>4</v>
      </c>
      <c r="C152" s="74" t="s">
        <v>171</v>
      </c>
      <c r="D152" s="74" t="s">
        <v>129</v>
      </c>
      <c r="E152" s="74" t="s">
        <v>68</v>
      </c>
      <c r="F152" s="74" t="s">
        <v>69</v>
      </c>
      <c r="G152" s="74" t="s">
        <v>281</v>
      </c>
      <c r="H152" s="74" t="s">
        <v>242</v>
      </c>
      <c r="I152" s="74" t="s">
        <v>200</v>
      </c>
      <c r="J152" s="74" t="s">
        <v>188</v>
      </c>
      <c r="K152" s="74" t="s">
        <v>328</v>
      </c>
      <c r="L152" s="75">
        <v>2400</v>
      </c>
      <c r="M152" s="89" t="s">
        <v>244</v>
      </c>
      <c r="N152" s="74"/>
    </row>
    <row r="153" spans="1:14">
      <c r="A153" s="70" t="s">
        <v>312</v>
      </c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7"/>
    </row>
    <row r="154" spans="1:14">
      <c r="A154" s="72" t="s">
        <v>53</v>
      </c>
      <c r="B154" s="72" t="s">
        <v>54</v>
      </c>
      <c r="C154" s="72" t="s">
        <v>174</v>
      </c>
      <c r="D154" s="72" t="s">
        <v>325</v>
      </c>
      <c r="E154" s="72" t="s">
        <v>55</v>
      </c>
      <c r="F154" s="72" t="s">
        <v>56</v>
      </c>
      <c r="G154" s="72" t="s">
        <v>175</v>
      </c>
      <c r="H154" s="72" t="s">
        <v>176</v>
      </c>
      <c r="I154" s="72" t="s">
        <v>177</v>
      </c>
      <c r="J154" s="72" t="s">
        <v>178</v>
      </c>
      <c r="K154" s="72" t="s">
        <v>326</v>
      </c>
      <c r="L154" s="73" t="s">
        <v>327</v>
      </c>
      <c r="M154" s="90" t="s">
        <v>183</v>
      </c>
      <c r="N154" s="72" t="s">
        <v>184</v>
      </c>
    </row>
    <row r="155" ht="31" customHeight="1" spans="1:14">
      <c r="A155" s="74" t="s">
        <v>39</v>
      </c>
      <c r="B155" s="74">
        <v>2</v>
      </c>
      <c r="C155" s="74" t="s">
        <v>171</v>
      </c>
      <c r="D155" s="74" t="s">
        <v>132</v>
      </c>
      <c r="E155" s="74" t="s">
        <v>68</v>
      </c>
      <c r="F155" s="74" t="s">
        <v>69</v>
      </c>
      <c r="G155" s="74" t="s">
        <v>284</v>
      </c>
      <c r="H155" s="74" t="s">
        <v>242</v>
      </c>
      <c r="I155" s="74" t="s">
        <v>191</v>
      </c>
      <c r="J155" s="74" t="s">
        <v>188</v>
      </c>
      <c r="K155" s="74" t="s">
        <v>328</v>
      </c>
      <c r="L155" s="75">
        <v>2400</v>
      </c>
      <c r="M155" s="89" t="s">
        <v>244</v>
      </c>
      <c r="N155" s="74"/>
    </row>
    <row r="156" ht="31" customHeight="1" spans="1:14">
      <c r="A156" s="74" t="s">
        <v>39</v>
      </c>
      <c r="B156" s="74">
        <v>3</v>
      </c>
      <c r="C156" s="74" t="s">
        <v>171</v>
      </c>
      <c r="D156" s="74" t="s">
        <v>132</v>
      </c>
      <c r="E156" s="74" t="s">
        <v>130</v>
      </c>
      <c r="F156" s="74" t="s">
        <v>133</v>
      </c>
      <c r="G156" s="74" t="s">
        <v>284</v>
      </c>
      <c r="H156" s="74" t="s">
        <v>285</v>
      </c>
      <c r="I156" s="74" t="s">
        <v>285</v>
      </c>
      <c r="J156" s="74" t="s">
        <v>195</v>
      </c>
      <c r="K156" s="74" t="s">
        <v>357</v>
      </c>
      <c r="L156" s="75">
        <v>25300</v>
      </c>
      <c r="M156" s="89" t="s">
        <v>286</v>
      </c>
      <c r="N156" s="74"/>
    </row>
    <row r="157" ht="31" customHeight="1" spans="1:14">
      <c r="A157" s="74" t="s">
        <v>39</v>
      </c>
      <c r="B157" s="74">
        <v>4</v>
      </c>
      <c r="C157" s="74" t="s">
        <v>171</v>
      </c>
      <c r="D157" s="74" t="s">
        <v>132</v>
      </c>
      <c r="E157" s="74" t="s">
        <v>68</v>
      </c>
      <c r="F157" s="74" t="s">
        <v>69</v>
      </c>
      <c r="G157" s="74" t="s">
        <v>284</v>
      </c>
      <c r="H157" s="74" t="s">
        <v>242</v>
      </c>
      <c r="I157" s="74" t="s">
        <v>200</v>
      </c>
      <c r="J157" s="74" t="s">
        <v>188</v>
      </c>
      <c r="K157" s="74" t="s">
        <v>328</v>
      </c>
      <c r="L157" s="75">
        <v>2400</v>
      </c>
      <c r="M157" s="89" t="s">
        <v>244</v>
      </c>
      <c r="N157" s="74"/>
    </row>
    <row r="158" spans="1:14">
      <c r="A158" s="70" t="s">
        <v>313</v>
      </c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7"/>
    </row>
    <row r="159" spans="1:14">
      <c r="A159" s="72" t="s">
        <v>53</v>
      </c>
      <c r="B159" s="72" t="s">
        <v>54</v>
      </c>
      <c r="C159" s="72" t="s">
        <v>174</v>
      </c>
      <c r="D159" s="72" t="s">
        <v>325</v>
      </c>
      <c r="E159" s="72" t="s">
        <v>55</v>
      </c>
      <c r="F159" s="72" t="s">
        <v>56</v>
      </c>
      <c r="G159" s="72" t="s">
        <v>175</v>
      </c>
      <c r="H159" s="72" t="s">
        <v>176</v>
      </c>
      <c r="I159" s="72" t="s">
        <v>177</v>
      </c>
      <c r="J159" s="72" t="s">
        <v>178</v>
      </c>
      <c r="K159" s="72" t="s">
        <v>326</v>
      </c>
      <c r="L159" s="73" t="s">
        <v>327</v>
      </c>
      <c r="M159" s="90" t="s">
        <v>183</v>
      </c>
      <c r="N159" s="72" t="s">
        <v>184</v>
      </c>
    </row>
    <row r="160" ht="31" customHeight="1" spans="1:14">
      <c r="A160" s="74" t="s">
        <v>42</v>
      </c>
      <c r="B160" s="74">
        <v>2</v>
      </c>
      <c r="C160" s="74" t="s">
        <v>171</v>
      </c>
      <c r="D160" s="74" t="s">
        <v>361</v>
      </c>
      <c r="E160" s="74" t="s">
        <v>68</v>
      </c>
      <c r="F160" s="74" t="s">
        <v>69</v>
      </c>
      <c r="G160" s="74" t="s">
        <v>314</v>
      </c>
      <c r="H160" s="74" t="s">
        <v>242</v>
      </c>
      <c r="I160" s="74" t="s">
        <v>191</v>
      </c>
      <c r="J160" s="74" t="s">
        <v>188</v>
      </c>
      <c r="K160" s="74" t="s">
        <v>328</v>
      </c>
      <c r="L160" s="75">
        <v>2400</v>
      </c>
      <c r="M160" s="89" t="s">
        <v>244</v>
      </c>
      <c r="N160" s="74"/>
    </row>
    <row r="161" spans="1:14">
      <c r="A161" s="91" t="s">
        <v>42</v>
      </c>
      <c r="B161" s="91">
        <v>3</v>
      </c>
      <c r="C161" s="91" t="s">
        <v>171</v>
      </c>
      <c r="D161" s="91" t="s">
        <v>361</v>
      </c>
      <c r="E161" s="91" t="s">
        <v>139</v>
      </c>
      <c r="F161" s="91" t="s">
        <v>140</v>
      </c>
      <c r="G161" s="91" t="s">
        <v>314</v>
      </c>
      <c r="H161" s="91" t="s">
        <v>318</v>
      </c>
      <c r="I161" s="91" t="s">
        <v>318</v>
      </c>
      <c r="J161" s="91" t="s">
        <v>195</v>
      </c>
      <c r="K161" s="91" t="s">
        <v>362</v>
      </c>
      <c r="L161" s="92">
        <v>6400</v>
      </c>
      <c r="M161" s="93" t="s">
        <v>319</v>
      </c>
      <c r="N161" s="74"/>
    </row>
    <row r="162" spans="1:14">
      <c r="A162" s="91" t="s">
        <v>42</v>
      </c>
      <c r="B162" s="91">
        <v>4</v>
      </c>
      <c r="C162" s="91" t="s">
        <v>171</v>
      </c>
      <c r="D162" s="91" t="s">
        <v>361</v>
      </c>
      <c r="E162" s="91" t="s">
        <v>139</v>
      </c>
      <c r="F162" s="91" t="s">
        <v>143</v>
      </c>
      <c r="G162" s="91" t="s">
        <v>314</v>
      </c>
      <c r="H162" s="91" t="s">
        <v>318</v>
      </c>
      <c r="I162" s="91" t="s">
        <v>318</v>
      </c>
      <c r="J162" s="91" t="s">
        <v>195</v>
      </c>
      <c r="K162" s="91" t="s">
        <v>362</v>
      </c>
      <c r="L162" s="92">
        <v>6400</v>
      </c>
      <c r="M162" s="93" t="s">
        <v>319</v>
      </c>
      <c r="N162" s="74"/>
    </row>
    <row r="163" spans="1:14">
      <c r="A163" s="91" t="s">
        <v>42</v>
      </c>
      <c r="B163" s="91">
        <v>5</v>
      </c>
      <c r="C163" s="91" t="s">
        <v>171</v>
      </c>
      <c r="D163" s="91" t="s">
        <v>361</v>
      </c>
      <c r="E163" s="91" t="s">
        <v>139</v>
      </c>
      <c r="F163" s="91" t="s">
        <v>144</v>
      </c>
      <c r="G163" s="91" t="s">
        <v>314</v>
      </c>
      <c r="H163" s="91" t="s">
        <v>318</v>
      </c>
      <c r="I163" s="91" t="s">
        <v>318</v>
      </c>
      <c r="J163" s="91" t="s">
        <v>195</v>
      </c>
      <c r="K163" s="91" t="s">
        <v>362</v>
      </c>
      <c r="L163" s="92">
        <v>6400</v>
      </c>
      <c r="M163" s="93" t="s">
        <v>319</v>
      </c>
      <c r="N163" s="74"/>
    </row>
    <row r="164" spans="1:14">
      <c r="A164" s="91" t="s">
        <v>42</v>
      </c>
      <c r="B164" s="91">
        <v>6</v>
      </c>
      <c r="C164" s="91" t="s">
        <v>171</v>
      </c>
      <c r="D164" s="91" t="s">
        <v>361</v>
      </c>
      <c r="E164" s="91" t="s">
        <v>139</v>
      </c>
      <c r="F164" s="91" t="s">
        <v>145</v>
      </c>
      <c r="G164" s="91" t="s">
        <v>314</v>
      </c>
      <c r="H164" s="91" t="s">
        <v>318</v>
      </c>
      <c r="I164" s="91" t="s">
        <v>318</v>
      </c>
      <c r="J164" s="91" t="s">
        <v>195</v>
      </c>
      <c r="K164" s="91" t="s">
        <v>362</v>
      </c>
      <c r="L164" s="92">
        <v>6400</v>
      </c>
      <c r="M164" s="93" t="s">
        <v>319</v>
      </c>
      <c r="N164" s="74"/>
    </row>
    <row r="165" spans="1:14">
      <c r="A165" s="91" t="s">
        <v>42</v>
      </c>
      <c r="B165" s="91">
        <v>7</v>
      </c>
      <c r="C165" s="91" t="s">
        <v>171</v>
      </c>
      <c r="D165" s="91" t="s">
        <v>361</v>
      </c>
      <c r="E165" s="91" t="s">
        <v>139</v>
      </c>
      <c r="F165" s="91" t="s">
        <v>146</v>
      </c>
      <c r="G165" s="91" t="s">
        <v>314</v>
      </c>
      <c r="H165" s="91" t="s">
        <v>318</v>
      </c>
      <c r="I165" s="91" t="s">
        <v>318</v>
      </c>
      <c r="J165" s="91" t="s">
        <v>195</v>
      </c>
      <c r="K165" s="91" t="s">
        <v>362</v>
      </c>
      <c r="L165" s="92">
        <v>6400</v>
      </c>
      <c r="M165" s="93" t="s">
        <v>319</v>
      </c>
      <c r="N165" s="74"/>
    </row>
    <row r="166" ht="31" customHeight="1" spans="1:14">
      <c r="A166" s="74" t="s">
        <v>42</v>
      </c>
      <c r="B166" s="74">
        <v>8</v>
      </c>
      <c r="C166" s="74" t="s">
        <v>171</v>
      </c>
      <c r="D166" s="74" t="s">
        <v>361</v>
      </c>
      <c r="E166" s="74" t="s">
        <v>68</v>
      </c>
      <c r="F166" s="74" t="s">
        <v>69</v>
      </c>
      <c r="G166" s="74" t="s">
        <v>314</v>
      </c>
      <c r="H166" s="74" t="s">
        <v>242</v>
      </c>
      <c r="I166" s="74" t="s">
        <v>191</v>
      </c>
      <c r="J166" s="74" t="s">
        <v>188</v>
      </c>
      <c r="K166" s="74" t="s">
        <v>328</v>
      </c>
      <c r="L166" s="75">
        <v>2400</v>
      </c>
      <c r="M166" s="89" t="s">
        <v>244</v>
      </c>
      <c r="N166" s="74"/>
    </row>
    <row r="167" spans="1:14">
      <c r="A167" s="70" t="s">
        <v>138</v>
      </c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7"/>
    </row>
    <row r="168" spans="1:14">
      <c r="A168" s="72" t="s">
        <v>53</v>
      </c>
      <c r="B168" s="72" t="s">
        <v>54</v>
      </c>
      <c r="C168" s="72" t="s">
        <v>174</v>
      </c>
      <c r="D168" s="72" t="s">
        <v>325</v>
      </c>
      <c r="E168" s="72" t="s">
        <v>55</v>
      </c>
      <c r="F168" s="72" t="s">
        <v>56</v>
      </c>
      <c r="G168" s="72" t="s">
        <v>175</v>
      </c>
      <c r="H168" s="72" t="s">
        <v>176</v>
      </c>
      <c r="I168" s="72" t="s">
        <v>177</v>
      </c>
      <c r="J168" s="72" t="s">
        <v>178</v>
      </c>
      <c r="K168" s="72" t="s">
        <v>326</v>
      </c>
      <c r="L168" s="73" t="s">
        <v>327</v>
      </c>
      <c r="M168" s="90" t="s">
        <v>183</v>
      </c>
      <c r="N168" s="72" t="s">
        <v>184</v>
      </c>
    </row>
    <row r="169" ht="31" customHeight="1" spans="1:14">
      <c r="A169" s="74" t="s">
        <v>43</v>
      </c>
      <c r="B169" s="74">
        <v>1</v>
      </c>
      <c r="C169" s="74" t="s">
        <v>171</v>
      </c>
      <c r="D169" s="74" t="s">
        <v>358</v>
      </c>
      <c r="E169" s="74" t="s">
        <v>141</v>
      </c>
      <c r="F169" s="74" t="s">
        <v>142</v>
      </c>
      <c r="G169" s="74" t="s">
        <v>322</v>
      </c>
      <c r="H169" s="74" t="s">
        <v>297</v>
      </c>
      <c r="I169" s="74" t="s">
        <v>268</v>
      </c>
      <c r="J169" s="74" t="s">
        <v>188</v>
      </c>
      <c r="K169" s="74" t="s">
        <v>359</v>
      </c>
      <c r="L169" s="75">
        <v>42500</v>
      </c>
      <c r="M169" s="89" t="s">
        <v>298</v>
      </c>
      <c r="N169" s="74" t="s">
        <v>299</v>
      </c>
    </row>
    <row r="170" spans="1:14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5"/>
      <c r="M170" s="89"/>
      <c r="N170" s="74"/>
    </row>
    <row r="171" ht="31" customHeight="1" spans="1:14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5"/>
      <c r="M171" s="89"/>
      <c r="N171" s="74"/>
    </row>
    <row r="172" spans="1:14">
      <c r="A172" s="70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7"/>
    </row>
    <row r="173" spans="1:14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3"/>
      <c r="M173" s="90"/>
      <c r="N173" s="72"/>
    </row>
    <row r="174" ht="31" customHeight="1" spans="1:14">
      <c r="A174" s="74"/>
      <c r="B174" s="81"/>
      <c r="C174" s="74"/>
      <c r="D174" s="74"/>
      <c r="E174" s="74"/>
      <c r="F174" s="74"/>
      <c r="G174" s="74"/>
      <c r="H174" s="74"/>
      <c r="I174" s="74"/>
      <c r="J174" s="74"/>
      <c r="K174" s="74"/>
      <c r="L174" s="75"/>
      <c r="M174" s="89"/>
      <c r="N174" s="74"/>
    </row>
    <row r="175" ht="31" customHeight="1" spans="1:14">
      <c r="A175" s="74"/>
      <c r="B175" s="81"/>
      <c r="C175" s="74"/>
      <c r="D175" s="74"/>
      <c r="E175" s="74"/>
      <c r="F175" s="74"/>
      <c r="G175" s="74"/>
      <c r="H175" s="74"/>
      <c r="I175" s="74"/>
      <c r="J175" s="74"/>
      <c r="K175" s="74"/>
      <c r="L175" s="75"/>
      <c r="M175" s="89"/>
      <c r="N175" s="74"/>
    </row>
  </sheetData>
  <mergeCells count="29">
    <mergeCell ref="A1:N1"/>
    <mergeCell ref="P1:R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3:N83"/>
    <mergeCell ref="B87:N87"/>
    <mergeCell ref="A88:N88"/>
    <mergeCell ref="A107:N107"/>
    <mergeCell ref="A113:N113"/>
    <mergeCell ref="A122:N122"/>
    <mergeCell ref="A127:N127"/>
    <mergeCell ref="A132:N132"/>
    <mergeCell ref="A138:N138"/>
    <mergeCell ref="A143:N143"/>
    <mergeCell ref="A148:N148"/>
    <mergeCell ref="A153:N153"/>
    <mergeCell ref="A158:N158"/>
    <mergeCell ref="A167:N167"/>
    <mergeCell ref="A172:N172"/>
  </mergeCells>
  <conditionalFormatting sqref="L9:L82 L84:L167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{cabd5612-72d6-474b-be49-59e6bcabeb1a}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bd5612-72d6-474b-be49-59e6bcabeb1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L9:L82 L84:L167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4"/>
  <sheetViews>
    <sheetView showGridLines="0" topLeftCell="K1" workbookViewId="0">
      <selection activeCell="P14" sqref="P14"/>
    </sheetView>
  </sheetViews>
  <sheetFormatPr defaultColWidth="9.64285714285714" defaultRowHeight="17.6"/>
  <cols>
    <col min="1" max="1" width="14" customWidth="1"/>
    <col min="2" max="2" width="10" customWidth="1"/>
    <col min="3" max="3" width="8" customWidth="1"/>
    <col min="4" max="4" width="25" customWidth="1"/>
    <col min="5" max="5" width="13" customWidth="1"/>
    <col min="6" max="6" width="38" customWidth="1"/>
    <col min="7" max="7" width="12" customWidth="1"/>
    <col min="8" max="8" width="14" customWidth="1"/>
    <col min="9" max="10" width="12" customWidth="1"/>
    <col min="11" max="11" width="22" customWidth="1"/>
    <col min="12" max="12" width="14" customWidth="1"/>
    <col min="13" max="13" width="52" customWidth="1"/>
    <col min="14" max="14" width="36" customWidth="1"/>
    <col min="16" max="16" width="15.9196428571429" customWidth="1"/>
    <col min="17" max="17" width="12.4910714285714" customWidth="1"/>
    <col min="18" max="18" width="13.2857142857143" customWidth="1"/>
    <col min="19" max="19" width="11.9017857142857" customWidth="1"/>
    <col min="21" max="22" width="13.2857142857143"/>
  </cols>
  <sheetData>
    <row r="1" ht="23.2" spans="1:18">
      <c r="A1" s="56" t="s">
        <v>363</v>
      </c>
      <c r="P1" s="57" t="s">
        <v>166</v>
      </c>
    </row>
    <row r="2" spans="1:18">
      <c r="A2" s="58" t="s">
        <v>148</v>
      </c>
      <c r="B2" s="59" t="s">
        <v>149</v>
      </c>
      <c r="C2" s="58" t="s">
        <v>150</v>
      </c>
      <c r="D2" s="59" t="s">
        <v>151</v>
      </c>
      <c r="E2" s="60"/>
      <c r="F2" s="60"/>
      <c r="G2" s="60"/>
      <c r="H2" s="60"/>
      <c r="I2" s="60"/>
      <c r="J2" s="60"/>
      <c r="K2" s="60"/>
      <c r="L2" s="61"/>
      <c r="M2" s="60"/>
      <c r="N2" s="60"/>
      <c r="P2" s="62" t="s">
        <v>3</v>
      </c>
      <c r="Q2" s="63" t="s">
        <v>168</v>
      </c>
      <c r="R2" s="64" t="s">
        <v>171</v>
      </c>
    </row>
    <row r="3" spans="1:18">
      <c r="A3" s="58" t="s">
        <v>154</v>
      </c>
      <c r="B3" s="59" t="s">
        <v>155</v>
      </c>
      <c r="C3" s="58" t="s">
        <v>162</v>
      </c>
      <c r="D3" s="59" t="s">
        <v>163</v>
      </c>
      <c r="E3" s="60"/>
      <c r="F3" s="60"/>
      <c r="G3" s="60"/>
      <c r="H3" s="60"/>
      <c r="I3" s="60"/>
      <c r="J3" s="60"/>
      <c r="K3" s="60"/>
      <c r="L3" s="61"/>
      <c r="M3" s="60"/>
      <c r="N3" s="60"/>
      <c r="P3" s="65" t="s">
        <v>26</v>
      </c>
      <c r="Q3" s="66">
        <f t="shared" ref="Q3:Q12" si="0">SUMIFS($L$1:$L$175,$C$1:$C$175,"DV",$A$1:$A$175,$P3)</f>
        <v>144630</v>
      </c>
      <c r="R3" s="67">
        <f t="shared" ref="R3:R15" si="1">SUMIFS($L$1:$L$175,$C$1:$C$175,"PV",$A$1:$A$175,$P3)</f>
        <v>144630</v>
      </c>
    </row>
    <row r="4" spans="1:18">
      <c r="A4" s="58" t="s">
        <v>152</v>
      </c>
      <c r="B4" s="59" t="s">
        <v>153</v>
      </c>
      <c r="C4" s="58" t="s">
        <v>156</v>
      </c>
      <c r="D4" s="59" t="s">
        <v>157</v>
      </c>
      <c r="E4" s="60"/>
      <c r="F4" s="60"/>
      <c r="G4" s="60"/>
      <c r="H4" s="60"/>
      <c r="I4" s="60"/>
      <c r="J4" s="60"/>
      <c r="K4" s="60"/>
      <c r="L4" s="61"/>
      <c r="M4" s="60"/>
      <c r="N4" s="60"/>
      <c r="P4" s="65" t="s">
        <v>27</v>
      </c>
      <c r="Q4" s="66">
        <f t="shared" si="0"/>
        <v>52000</v>
      </c>
      <c r="R4" s="67">
        <f t="shared" si="1"/>
        <v>52000</v>
      </c>
    </row>
    <row r="5" spans="1:18">
      <c r="A5" s="58" t="s">
        <v>158</v>
      </c>
      <c r="B5" s="59" t="s">
        <v>159</v>
      </c>
      <c r="C5" s="58" t="s">
        <v>160</v>
      </c>
      <c r="D5" s="59" t="s">
        <v>161</v>
      </c>
      <c r="E5" s="60"/>
      <c r="F5" s="60"/>
      <c r="G5" s="60"/>
      <c r="H5" s="60"/>
      <c r="I5" s="60"/>
      <c r="J5" s="60"/>
      <c r="K5" s="60"/>
      <c r="L5" s="61"/>
      <c r="M5" s="60"/>
      <c r="N5" s="60"/>
      <c r="P5" s="65" t="s">
        <v>30</v>
      </c>
      <c r="Q5" s="66">
        <f t="shared" si="0"/>
        <v>48838</v>
      </c>
      <c r="R5" s="67">
        <f t="shared" si="1"/>
        <v>48838</v>
      </c>
    </row>
    <row r="6" spans="1:18">
      <c r="A6" s="68" t="s">
        <v>164</v>
      </c>
      <c r="B6" s="69" t="s">
        <v>324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P6" s="65" t="s">
        <v>31</v>
      </c>
      <c r="Q6" s="66">
        <f t="shared" si="0"/>
        <v>128400</v>
      </c>
      <c r="R6" s="67">
        <f t="shared" si="1"/>
        <v>128400</v>
      </c>
    </row>
    <row r="7" spans="1:18">
      <c r="A7" s="70" t="s">
        <v>167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P7" s="65" t="s">
        <v>32</v>
      </c>
      <c r="Q7" s="66">
        <f t="shared" si="0"/>
        <v>18000</v>
      </c>
      <c r="R7" s="67">
        <f t="shared" si="1"/>
        <v>18000</v>
      </c>
    </row>
    <row r="8" spans="1:18">
      <c r="A8" s="72" t="s">
        <v>53</v>
      </c>
      <c r="B8" s="72" t="s">
        <v>54</v>
      </c>
      <c r="C8" s="72" t="s">
        <v>174</v>
      </c>
      <c r="D8" s="72" t="s">
        <v>325</v>
      </c>
      <c r="E8" s="72" t="s">
        <v>55</v>
      </c>
      <c r="F8" s="72" t="s">
        <v>56</v>
      </c>
      <c r="G8" s="72" t="s">
        <v>175</v>
      </c>
      <c r="H8" s="72" t="s">
        <v>176</v>
      </c>
      <c r="I8" s="72" t="s">
        <v>177</v>
      </c>
      <c r="J8" s="72" t="s">
        <v>178</v>
      </c>
      <c r="K8" s="72" t="s">
        <v>326</v>
      </c>
      <c r="L8" s="73" t="s">
        <v>327</v>
      </c>
      <c r="M8" s="72" t="s">
        <v>183</v>
      </c>
      <c r="N8" s="72" t="s">
        <v>184</v>
      </c>
      <c r="P8" s="65" t="s">
        <v>33</v>
      </c>
      <c r="Q8" s="66">
        <f t="shared" si="0"/>
        <v>78550</v>
      </c>
      <c r="R8" s="67">
        <f t="shared" si="1"/>
        <v>78550</v>
      </c>
    </row>
    <row r="9" ht="31" spans="1:18">
      <c r="A9" s="74" t="s">
        <v>26</v>
      </c>
      <c r="B9" s="74">
        <v>2</v>
      </c>
      <c r="C9" s="74" t="s">
        <v>168</v>
      </c>
      <c r="D9" s="74" t="s">
        <v>50</v>
      </c>
      <c r="E9" s="74" t="s">
        <v>68</v>
      </c>
      <c r="F9" s="74" t="s">
        <v>69</v>
      </c>
      <c r="G9" s="74" t="s">
        <v>185</v>
      </c>
      <c r="H9" s="74" t="s">
        <v>186</v>
      </c>
      <c r="I9" s="74" t="s">
        <v>191</v>
      </c>
      <c r="J9" s="74" t="s">
        <v>188</v>
      </c>
      <c r="K9" s="74" t="s">
        <v>364</v>
      </c>
      <c r="L9" s="75">
        <v>9800</v>
      </c>
      <c r="M9" s="74" t="s">
        <v>365</v>
      </c>
      <c r="N9" s="74"/>
      <c r="P9" s="65" t="s">
        <v>35</v>
      </c>
      <c r="Q9" s="66">
        <f t="shared" si="0"/>
        <v>13400</v>
      </c>
      <c r="R9" s="67">
        <f t="shared" si="1"/>
        <v>13400</v>
      </c>
    </row>
    <row r="10" spans="1:18">
      <c r="A10" s="74" t="s">
        <v>26</v>
      </c>
      <c r="B10" s="74">
        <v>3</v>
      </c>
      <c r="C10" s="74" t="s">
        <v>168</v>
      </c>
      <c r="D10" s="74" t="s">
        <v>50</v>
      </c>
      <c r="E10" s="74" t="s">
        <v>70</v>
      </c>
      <c r="F10" s="74" t="s">
        <v>71</v>
      </c>
      <c r="G10" s="74" t="s">
        <v>193</v>
      </c>
      <c r="H10" s="74" t="s">
        <v>194</v>
      </c>
      <c r="I10" s="74" t="s">
        <v>194</v>
      </c>
      <c r="J10" s="74" t="s">
        <v>195</v>
      </c>
      <c r="K10" s="74" t="s">
        <v>366</v>
      </c>
      <c r="L10" s="75">
        <v>600</v>
      </c>
      <c r="M10" s="74" t="s">
        <v>367</v>
      </c>
      <c r="N10" s="74"/>
      <c r="P10" s="65" t="s">
        <v>37</v>
      </c>
      <c r="Q10" s="66">
        <f t="shared" si="0"/>
        <v>23400</v>
      </c>
      <c r="R10" s="67">
        <f t="shared" si="1"/>
        <v>23400</v>
      </c>
    </row>
    <row r="11" ht="16" customHeight="1" spans="1:18">
      <c r="A11" s="74" t="s">
        <v>26</v>
      </c>
      <c r="B11" s="74">
        <v>4</v>
      </c>
      <c r="C11" s="74" t="s">
        <v>168</v>
      </c>
      <c r="D11" s="74" t="s">
        <v>50</v>
      </c>
      <c r="E11" s="74" t="s">
        <v>72</v>
      </c>
      <c r="F11" s="74" t="s">
        <v>73</v>
      </c>
      <c r="G11" s="74" t="s">
        <v>193</v>
      </c>
      <c r="H11" s="74" t="s">
        <v>194</v>
      </c>
      <c r="I11" s="74" t="s">
        <v>194</v>
      </c>
      <c r="J11" s="74" t="s">
        <v>195</v>
      </c>
      <c r="K11" s="74" t="s">
        <v>366</v>
      </c>
      <c r="L11" s="75">
        <v>600</v>
      </c>
      <c r="M11" s="74" t="s">
        <v>367</v>
      </c>
      <c r="N11" s="74"/>
      <c r="P11" s="65" t="s">
        <v>38</v>
      </c>
      <c r="Q11" s="66">
        <f t="shared" si="0"/>
        <v>28400</v>
      </c>
      <c r="R11" s="67">
        <f t="shared" si="1"/>
        <v>28400</v>
      </c>
    </row>
    <row r="12" spans="1:18">
      <c r="A12" s="74" t="s">
        <v>26</v>
      </c>
      <c r="B12" s="74">
        <v>5</v>
      </c>
      <c r="C12" s="74" t="s">
        <v>168</v>
      </c>
      <c r="D12" s="74" t="s">
        <v>50</v>
      </c>
      <c r="E12" s="74" t="s">
        <v>74</v>
      </c>
      <c r="F12" s="74" t="s">
        <v>75</v>
      </c>
      <c r="G12" s="74" t="s">
        <v>193</v>
      </c>
      <c r="H12" s="74" t="s">
        <v>194</v>
      </c>
      <c r="I12" s="74" t="s">
        <v>194</v>
      </c>
      <c r="J12" s="74" t="s">
        <v>195</v>
      </c>
      <c r="K12" s="74" t="s">
        <v>366</v>
      </c>
      <c r="L12" s="75">
        <v>600</v>
      </c>
      <c r="M12" s="74" t="s">
        <v>367</v>
      </c>
      <c r="N12" s="74"/>
      <c r="P12" s="65" t="s">
        <v>39</v>
      </c>
      <c r="Q12" s="66">
        <f t="shared" si="0"/>
        <v>30400</v>
      </c>
      <c r="R12" s="67">
        <f t="shared" si="1"/>
        <v>30400</v>
      </c>
    </row>
    <row r="13" ht="31" customHeight="1" spans="1:18">
      <c r="A13" s="74" t="s">
        <v>26</v>
      </c>
      <c r="B13" s="74">
        <v>6</v>
      </c>
      <c r="C13" s="74" t="s">
        <v>168</v>
      </c>
      <c r="D13" s="74" t="s">
        <v>50</v>
      </c>
      <c r="E13" s="74" t="s">
        <v>76</v>
      </c>
      <c r="F13" s="74" t="s">
        <v>77</v>
      </c>
      <c r="G13" s="74" t="s">
        <v>193</v>
      </c>
      <c r="H13" s="74" t="s">
        <v>197</v>
      </c>
      <c r="I13" s="74" t="s">
        <v>197</v>
      </c>
      <c r="J13" s="74" t="s">
        <v>195</v>
      </c>
      <c r="K13" s="74" t="s">
        <v>366</v>
      </c>
      <c r="L13" s="75">
        <v>2400</v>
      </c>
      <c r="M13" s="74" t="s">
        <v>368</v>
      </c>
      <c r="N13" s="74"/>
      <c r="P13" s="65" t="s">
        <v>42</v>
      </c>
      <c r="Q13" s="66" t="s">
        <v>210</v>
      </c>
      <c r="R13" s="67">
        <f t="shared" si="1"/>
        <v>32400</v>
      </c>
    </row>
    <row r="14" ht="31" customHeight="1" spans="1:18">
      <c r="A14" s="74" t="s">
        <v>26</v>
      </c>
      <c r="B14" s="74">
        <v>7</v>
      </c>
      <c r="C14" s="74" t="s">
        <v>168</v>
      </c>
      <c r="D14" s="74" t="s">
        <v>50</v>
      </c>
      <c r="E14" s="74" t="s">
        <v>78</v>
      </c>
      <c r="F14" s="74" t="s">
        <v>79</v>
      </c>
      <c r="G14" s="74" t="s">
        <v>193</v>
      </c>
      <c r="H14" s="74" t="s">
        <v>199</v>
      </c>
      <c r="I14" s="74" t="s">
        <v>200</v>
      </c>
      <c r="J14" s="74" t="s">
        <v>201</v>
      </c>
      <c r="K14" s="74" t="s">
        <v>369</v>
      </c>
      <c r="L14" s="75">
        <v>5000</v>
      </c>
      <c r="M14" s="74" t="s">
        <v>370</v>
      </c>
      <c r="N14" s="74"/>
      <c r="P14" s="65" t="s">
        <v>40</v>
      </c>
      <c r="Q14" s="66">
        <f>SUMIFS($L$1:$L$175,$C$1:$C$175,"DV",$A$1:$A$175,$P14)</f>
        <v>0</v>
      </c>
      <c r="R14" s="67">
        <f t="shared" si="1"/>
        <v>0</v>
      </c>
    </row>
    <row r="15" ht="31" customHeight="1" spans="1:18">
      <c r="A15" s="74" t="s">
        <v>26</v>
      </c>
      <c r="B15" s="74">
        <v>8</v>
      </c>
      <c r="C15" s="74" t="s">
        <v>168</v>
      </c>
      <c r="D15" s="74" t="s">
        <v>50</v>
      </c>
      <c r="E15" s="74" t="s">
        <v>80</v>
      </c>
      <c r="F15" s="74" t="s">
        <v>203</v>
      </c>
      <c r="G15" s="74" t="s">
        <v>193</v>
      </c>
      <c r="H15" s="74" t="s">
        <v>204</v>
      </c>
      <c r="I15" s="74" t="s">
        <v>204</v>
      </c>
      <c r="J15" s="74" t="s">
        <v>195</v>
      </c>
      <c r="K15" s="74" t="s">
        <v>366</v>
      </c>
      <c r="L15" s="75">
        <v>6000</v>
      </c>
      <c r="M15" s="74" t="s">
        <v>371</v>
      </c>
      <c r="N15" s="74"/>
      <c r="P15" s="65" t="s">
        <v>43</v>
      </c>
      <c r="Q15" s="66">
        <f>SUMIFS($L$1:$L$175,$C$1:$C$175,"DV",$A$1:$A$175,$P15)</f>
        <v>0</v>
      </c>
      <c r="R15" s="67">
        <f t="shared" si="1"/>
        <v>0</v>
      </c>
    </row>
    <row r="16" ht="16" customHeight="1" spans="1:18">
      <c r="A16" s="74" t="s">
        <v>26</v>
      </c>
      <c r="B16" s="74">
        <v>9</v>
      </c>
      <c r="C16" s="74" t="s">
        <v>168</v>
      </c>
      <c r="D16" s="74" t="s">
        <v>50</v>
      </c>
      <c r="E16" s="74" t="s">
        <v>82</v>
      </c>
      <c r="F16" s="74" t="s">
        <v>83</v>
      </c>
      <c r="G16" s="74" t="s">
        <v>193</v>
      </c>
      <c r="H16" s="74" t="s">
        <v>206</v>
      </c>
      <c r="I16" s="74" t="s">
        <v>206</v>
      </c>
      <c r="J16" s="74" t="s">
        <v>195</v>
      </c>
      <c r="K16" s="74" t="s">
        <v>372</v>
      </c>
      <c r="L16" s="75">
        <v>21350</v>
      </c>
      <c r="M16" s="74" t="s">
        <v>373</v>
      </c>
      <c r="N16" s="74"/>
      <c r="P16" s="65" t="s">
        <v>216</v>
      </c>
      <c r="Q16" s="66">
        <v>21600</v>
      </c>
      <c r="R16" s="67">
        <v>21600</v>
      </c>
    </row>
    <row r="17" ht="16" customHeight="1" spans="1:18">
      <c r="A17" s="74" t="s">
        <v>26</v>
      </c>
      <c r="B17" s="74">
        <v>10</v>
      </c>
      <c r="C17" s="74" t="s">
        <v>168</v>
      </c>
      <c r="D17" s="74" t="s">
        <v>50</v>
      </c>
      <c r="E17" s="74" t="s">
        <v>68</v>
      </c>
      <c r="F17" s="74" t="s">
        <v>69</v>
      </c>
      <c r="G17" s="74" t="s">
        <v>193</v>
      </c>
      <c r="H17" s="74" t="s">
        <v>208</v>
      </c>
      <c r="I17" s="74" t="s">
        <v>191</v>
      </c>
      <c r="J17" s="74" t="s">
        <v>188</v>
      </c>
      <c r="K17" s="74" t="s">
        <v>364</v>
      </c>
      <c r="L17" s="75">
        <v>8400</v>
      </c>
      <c r="M17" s="74" t="s">
        <v>374</v>
      </c>
      <c r="N17" s="74"/>
      <c r="P17" s="76" t="s">
        <v>219</v>
      </c>
      <c r="Q17" s="66">
        <v>0</v>
      </c>
      <c r="R17" s="67">
        <v>0</v>
      </c>
    </row>
    <row r="18" ht="16" customHeight="1" spans="1:18">
      <c r="A18" s="74" t="s">
        <v>26</v>
      </c>
      <c r="B18" s="74">
        <v>11</v>
      </c>
      <c r="C18" s="74" t="s">
        <v>168</v>
      </c>
      <c r="D18" s="74" t="s">
        <v>50</v>
      </c>
      <c r="E18" s="74" t="s">
        <v>84</v>
      </c>
      <c r="F18" s="74" t="s">
        <v>85</v>
      </c>
      <c r="G18" s="74" t="s">
        <v>193</v>
      </c>
      <c r="H18" s="74" t="s">
        <v>200</v>
      </c>
      <c r="I18" s="74" t="s">
        <v>200</v>
      </c>
      <c r="J18" s="74" t="s">
        <v>195</v>
      </c>
      <c r="K18" s="74" t="s">
        <v>375</v>
      </c>
      <c r="L18" s="75">
        <v>19200</v>
      </c>
      <c r="M18" s="74" t="s">
        <v>376</v>
      </c>
      <c r="N18" s="74"/>
      <c r="P18" s="77" t="s">
        <v>223</v>
      </c>
      <c r="Q18" s="66">
        <f>SUM(Q3:Q17)</f>
        <v>587618</v>
      </c>
      <c r="R18" s="67">
        <f>SUM(R3:R17)</f>
        <v>620018</v>
      </c>
    </row>
    <row r="19" ht="16" customHeight="1" spans="1:18">
      <c r="A19" s="74" t="s">
        <v>26</v>
      </c>
      <c r="B19" s="74">
        <v>12</v>
      </c>
      <c r="C19" s="74" t="s">
        <v>168</v>
      </c>
      <c r="D19" s="74" t="s">
        <v>50</v>
      </c>
      <c r="E19" s="74" t="s">
        <v>86</v>
      </c>
      <c r="F19" s="74" t="s">
        <v>212</v>
      </c>
      <c r="G19" s="74" t="s">
        <v>185</v>
      </c>
      <c r="H19" s="74" t="s">
        <v>186</v>
      </c>
      <c r="I19" s="74" t="s">
        <v>200</v>
      </c>
      <c r="J19" s="74" t="s">
        <v>188</v>
      </c>
      <c r="K19" s="74" t="s">
        <v>377</v>
      </c>
      <c r="L19" s="75">
        <v>1680</v>
      </c>
      <c r="M19" s="74" t="s">
        <v>378</v>
      </c>
      <c r="N19" s="74"/>
      <c r="P19" s="78"/>
      <c r="Q19" s="66"/>
      <c r="R19" s="67"/>
    </row>
    <row r="20" ht="16" customHeight="1" spans="1:18">
      <c r="A20" s="74" t="s">
        <v>26</v>
      </c>
      <c r="B20" s="74">
        <v>13</v>
      </c>
      <c r="C20" s="74" t="s">
        <v>168</v>
      </c>
      <c r="D20" s="74" t="s">
        <v>50</v>
      </c>
      <c r="E20" s="74" t="s">
        <v>88</v>
      </c>
      <c r="F20" s="74" t="s">
        <v>214</v>
      </c>
      <c r="G20" s="74" t="s">
        <v>193</v>
      </c>
      <c r="H20" s="74" t="s">
        <v>208</v>
      </c>
      <c r="I20" s="74" t="s">
        <v>200</v>
      </c>
      <c r="J20" s="74" t="s">
        <v>188</v>
      </c>
      <c r="K20" s="74" t="s">
        <v>379</v>
      </c>
      <c r="L20" s="75">
        <v>2004</v>
      </c>
      <c r="M20" s="74" t="s">
        <v>380</v>
      </c>
      <c r="N20" s="74"/>
    </row>
    <row r="21" ht="31" spans="1:18">
      <c r="A21" s="74" t="s">
        <v>26</v>
      </c>
      <c r="B21" s="74">
        <v>14</v>
      </c>
      <c r="C21" s="74" t="s">
        <v>168</v>
      </c>
      <c r="D21" s="74" t="s">
        <v>50</v>
      </c>
      <c r="E21" s="74" t="s">
        <v>90</v>
      </c>
      <c r="F21" s="74" t="s">
        <v>91</v>
      </c>
      <c r="G21" s="74" t="s">
        <v>193</v>
      </c>
      <c r="H21" s="74" t="s">
        <v>208</v>
      </c>
      <c r="I21" s="74" t="s">
        <v>204</v>
      </c>
      <c r="J21" s="74" t="s">
        <v>188</v>
      </c>
      <c r="K21" s="74" t="s">
        <v>381</v>
      </c>
      <c r="L21" s="75">
        <v>39996</v>
      </c>
      <c r="M21" s="74" t="s">
        <v>382</v>
      </c>
      <c r="N21" s="74" t="s">
        <v>218</v>
      </c>
    </row>
    <row r="22" ht="16" customHeight="1" spans="1:18">
      <c r="A22" s="74" t="s">
        <v>26</v>
      </c>
      <c r="B22" s="74">
        <v>15</v>
      </c>
      <c r="C22" s="74" t="s">
        <v>168</v>
      </c>
      <c r="D22" s="74" t="s">
        <v>50</v>
      </c>
      <c r="E22" s="74" t="s">
        <v>92</v>
      </c>
      <c r="F22" s="74" t="s">
        <v>220</v>
      </c>
      <c r="G22" s="74" t="s">
        <v>193</v>
      </c>
      <c r="H22" s="74" t="s">
        <v>221</v>
      </c>
      <c r="I22" s="74" t="s">
        <v>221</v>
      </c>
      <c r="J22" s="74" t="s">
        <v>195</v>
      </c>
      <c r="K22" s="74" t="s">
        <v>366</v>
      </c>
      <c r="L22" s="75">
        <v>6600</v>
      </c>
      <c r="M22" s="74" t="s">
        <v>383</v>
      </c>
      <c r="N22" s="74"/>
    </row>
    <row r="23" ht="16" customHeight="1" spans="1:18">
      <c r="A23" s="74" t="s">
        <v>26</v>
      </c>
      <c r="B23" s="74">
        <v>16</v>
      </c>
      <c r="C23" s="74" t="s">
        <v>168</v>
      </c>
      <c r="D23" s="74" t="s">
        <v>50</v>
      </c>
      <c r="E23" s="74" t="s">
        <v>94</v>
      </c>
      <c r="F23" s="74" t="s">
        <v>224</v>
      </c>
      <c r="G23" s="74" t="s">
        <v>193</v>
      </c>
      <c r="H23" s="74" t="s">
        <v>208</v>
      </c>
      <c r="I23" s="74" t="s">
        <v>191</v>
      </c>
      <c r="J23" s="74" t="s">
        <v>188</v>
      </c>
      <c r="K23" s="74" t="s">
        <v>339</v>
      </c>
      <c r="L23" s="75">
        <v>6000</v>
      </c>
      <c r="M23" s="74" t="s">
        <v>225</v>
      </c>
      <c r="N23" s="74"/>
    </row>
    <row r="24" ht="16" customHeight="1" spans="1:18">
      <c r="A24" s="74" t="s">
        <v>26</v>
      </c>
      <c r="B24" s="74">
        <v>17</v>
      </c>
      <c r="C24" s="74" t="s">
        <v>168</v>
      </c>
      <c r="D24" s="74" t="s">
        <v>50</v>
      </c>
      <c r="E24" s="74" t="s">
        <v>96</v>
      </c>
      <c r="F24" s="74" t="s">
        <v>97</v>
      </c>
      <c r="G24" s="74" t="s">
        <v>193</v>
      </c>
      <c r="H24" s="74" t="s">
        <v>226</v>
      </c>
      <c r="I24" s="74" t="s">
        <v>227</v>
      </c>
      <c r="J24" s="74" t="s">
        <v>201</v>
      </c>
      <c r="K24" s="74" t="s">
        <v>340</v>
      </c>
      <c r="L24" s="75">
        <v>6000</v>
      </c>
      <c r="M24" s="74" t="s">
        <v>341</v>
      </c>
      <c r="N24" s="74"/>
    </row>
    <row r="25" ht="31" spans="1:18">
      <c r="A25" s="74" t="s">
        <v>26</v>
      </c>
      <c r="B25" s="74">
        <v>18</v>
      </c>
      <c r="C25" s="74" t="s">
        <v>168</v>
      </c>
      <c r="D25" s="74" t="s">
        <v>50</v>
      </c>
      <c r="E25" s="74" t="s">
        <v>68</v>
      </c>
      <c r="F25" s="74" t="s">
        <v>69</v>
      </c>
      <c r="G25" s="74" t="s">
        <v>193</v>
      </c>
      <c r="H25" s="74" t="s">
        <v>208</v>
      </c>
      <c r="I25" s="74" t="s">
        <v>191</v>
      </c>
      <c r="J25" s="74" t="s">
        <v>188</v>
      </c>
      <c r="K25" s="74" t="s">
        <v>364</v>
      </c>
      <c r="L25" s="75">
        <v>8400</v>
      </c>
      <c r="M25" s="74" t="s">
        <v>374</v>
      </c>
      <c r="N25" s="74"/>
    </row>
    <row r="26" spans="1:18">
      <c r="A26" s="70" t="s">
        <v>232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</row>
    <row r="27" ht="31" customHeight="1" spans="1:18">
      <c r="A27" s="72" t="s">
        <v>53</v>
      </c>
      <c r="B27" s="72" t="s">
        <v>54</v>
      </c>
      <c r="C27" s="72" t="s">
        <v>174</v>
      </c>
      <c r="D27" s="72" t="s">
        <v>325</v>
      </c>
      <c r="E27" s="72" t="s">
        <v>55</v>
      </c>
      <c r="F27" s="72" t="s">
        <v>56</v>
      </c>
      <c r="G27" s="72" t="s">
        <v>175</v>
      </c>
      <c r="H27" s="72" t="s">
        <v>176</v>
      </c>
      <c r="I27" s="72" t="s">
        <v>177</v>
      </c>
      <c r="J27" s="72" t="s">
        <v>178</v>
      </c>
      <c r="K27" s="72" t="s">
        <v>326</v>
      </c>
      <c r="L27" s="73" t="s">
        <v>327</v>
      </c>
      <c r="M27" s="72" t="s">
        <v>183</v>
      </c>
      <c r="N27" s="72" t="s">
        <v>184</v>
      </c>
    </row>
    <row r="28" ht="31" spans="1:18">
      <c r="A28" s="74" t="s">
        <v>27</v>
      </c>
      <c r="B28" s="74">
        <v>2</v>
      </c>
      <c r="C28" s="74" t="s">
        <v>168</v>
      </c>
      <c r="D28" s="74" t="s">
        <v>100</v>
      </c>
      <c r="E28" s="74" t="s">
        <v>68</v>
      </c>
      <c r="F28" s="74" t="s">
        <v>69</v>
      </c>
      <c r="G28" s="74" t="s">
        <v>233</v>
      </c>
      <c r="H28" s="74" t="s">
        <v>208</v>
      </c>
      <c r="I28" s="74" t="s">
        <v>191</v>
      </c>
      <c r="J28" s="74" t="s">
        <v>188</v>
      </c>
      <c r="K28" s="74" t="s">
        <v>364</v>
      </c>
      <c r="L28" s="75">
        <v>8400</v>
      </c>
      <c r="M28" s="74" t="s">
        <v>374</v>
      </c>
      <c r="N28" s="74"/>
    </row>
    <row r="29" ht="46" spans="1:18">
      <c r="A29" s="74" t="s">
        <v>27</v>
      </c>
      <c r="B29" s="74">
        <v>3</v>
      </c>
      <c r="C29" s="74" t="s">
        <v>168</v>
      </c>
      <c r="D29" s="74" t="s">
        <v>100</v>
      </c>
      <c r="E29" s="74" t="s">
        <v>101</v>
      </c>
      <c r="F29" s="74" t="s">
        <v>102</v>
      </c>
      <c r="G29" s="74" t="s">
        <v>233</v>
      </c>
      <c r="H29" s="74" t="s">
        <v>234</v>
      </c>
      <c r="I29" s="74" t="s">
        <v>227</v>
      </c>
      <c r="J29" s="74" t="s">
        <v>188</v>
      </c>
      <c r="K29" s="74" t="s">
        <v>364</v>
      </c>
      <c r="L29" s="75">
        <v>7700</v>
      </c>
      <c r="M29" s="74" t="s">
        <v>384</v>
      </c>
      <c r="N29" s="74" t="s">
        <v>236</v>
      </c>
    </row>
    <row r="30" ht="31" spans="1:18">
      <c r="A30" s="74" t="s">
        <v>27</v>
      </c>
      <c r="B30" s="74">
        <v>4</v>
      </c>
      <c r="C30" s="74" t="s">
        <v>168</v>
      </c>
      <c r="D30" s="74" t="s">
        <v>100</v>
      </c>
      <c r="E30" s="74" t="s">
        <v>104</v>
      </c>
      <c r="F30" s="74" t="s">
        <v>105</v>
      </c>
      <c r="G30" s="74" t="s">
        <v>233</v>
      </c>
      <c r="H30" s="74" t="s">
        <v>208</v>
      </c>
      <c r="I30" s="74" t="s">
        <v>187</v>
      </c>
      <c r="J30" s="74" t="s">
        <v>188</v>
      </c>
      <c r="K30" s="74" t="s">
        <v>385</v>
      </c>
      <c r="L30" s="75">
        <v>27500</v>
      </c>
      <c r="M30" s="74" t="s">
        <v>386</v>
      </c>
      <c r="N30" s="74" t="s">
        <v>238</v>
      </c>
    </row>
    <row r="31" ht="31" spans="1:18">
      <c r="A31" s="74" t="s">
        <v>27</v>
      </c>
      <c r="B31" s="74">
        <v>5</v>
      </c>
      <c r="C31" s="74" t="s">
        <v>168</v>
      </c>
      <c r="D31" s="74" t="s">
        <v>100</v>
      </c>
      <c r="E31" s="74" t="s">
        <v>68</v>
      </c>
      <c r="F31" s="74" t="s">
        <v>69</v>
      </c>
      <c r="G31" s="74" t="s">
        <v>233</v>
      </c>
      <c r="H31" s="74" t="s">
        <v>208</v>
      </c>
      <c r="I31" s="74" t="s">
        <v>191</v>
      </c>
      <c r="J31" s="74" t="s">
        <v>188</v>
      </c>
      <c r="K31" s="74" t="s">
        <v>364</v>
      </c>
      <c r="L31" s="75">
        <v>8400</v>
      </c>
      <c r="M31" s="74" t="s">
        <v>374</v>
      </c>
      <c r="N31" s="74"/>
    </row>
    <row r="32" spans="1:18">
      <c r="A32" s="70" t="s">
        <v>240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</row>
    <row r="33" spans="1:14">
      <c r="A33" s="72" t="s">
        <v>53</v>
      </c>
      <c r="B33" s="72" t="s">
        <v>54</v>
      </c>
      <c r="C33" s="72" t="s">
        <v>174</v>
      </c>
      <c r="D33" s="72" t="s">
        <v>325</v>
      </c>
      <c r="E33" s="72" t="s">
        <v>55</v>
      </c>
      <c r="F33" s="72" t="s">
        <v>56</v>
      </c>
      <c r="G33" s="72" t="s">
        <v>175</v>
      </c>
      <c r="H33" s="72" t="s">
        <v>176</v>
      </c>
      <c r="I33" s="72" t="s">
        <v>177</v>
      </c>
      <c r="J33" s="72" t="s">
        <v>178</v>
      </c>
      <c r="K33" s="72" t="s">
        <v>326</v>
      </c>
      <c r="L33" s="73" t="s">
        <v>327</v>
      </c>
      <c r="M33" s="72" t="s">
        <v>183</v>
      </c>
      <c r="N33" s="72" t="s">
        <v>184</v>
      </c>
    </row>
    <row r="34" ht="31" spans="1:14">
      <c r="A34" s="74" t="s">
        <v>30</v>
      </c>
      <c r="B34" s="74">
        <v>2</v>
      </c>
      <c r="C34" s="74" t="s">
        <v>168</v>
      </c>
      <c r="D34" s="74" t="s">
        <v>107</v>
      </c>
      <c r="E34" s="74" t="s">
        <v>68</v>
      </c>
      <c r="F34" s="74" t="s">
        <v>69</v>
      </c>
      <c r="G34" s="74" t="s">
        <v>241</v>
      </c>
      <c r="H34" s="74" t="s">
        <v>242</v>
      </c>
      <c r="I34" s="74" t="s">
        <v>191</v>
      </c>
      <c r="J34" s="74" t="s">
        <v>188</v>
      </c>
      <c r="K34" s="74" t="s">
        <v>364</v>
      </c>
      <c r="L34" s="75">
        <v>4200</v>
      </c>
      <c r="M34" s="74" t="s">
        <v>387</v>
      </c>
      <c r="N34" s="74"/>
    </row>
    <row r="35" spans="1:14">
      <c r="A35" s="74" t="s">
        <v>30</v>
      </c>
      <c r="B35" s="74">
        <v>3</v>
      </c>
      <c r="C35" s="74" t="s">
        <v>168</v>
      </c>
      <c r="D35" s="74" t="s">
        <v>107</v>
      </c>
      <c r="E35" s="74" t="s">
        <v>82</v>
      </c>
      <c r="F35" s="74" t="s">
        <v>83</v>
      </c>
      <c r="G35" s="74" t="s">
        <v>241</v>
      </c>
      <c r="H35" s="74" t="s">
        <v>206</v>
      </c>
      <c r="I35" s="74" t="s">
        <v>206</v>
      </c>
      <c r="J35" s="74" t="s">
        <v>195</v>
      </c>
      <c r="K35" s="74" t="s">
        <v>372</v>
      </c>
      <c r="L35" s="75">
        <v>21350</v>
      </c>
      <c r="M35" s="74" t="s">
        <v>373</v>
      </c>
      <c r="N35" s="74"/>
    </row>
    <row r="36" spans="1:14">
      <c r="A36" s="74" t="s">
        <v>30</v>
      </c>
      <c r="B36" s="74">
        <v>4</v>
      </c>
      <c r="C36" s="74" t="s">
        <v>168</v>
      </c>
      <c r="D36" s="74" t="s">
        <v>107</v>
      </c>
      <c r="E36" s="74" t="s">
        <v>84</v>
      </c>
      <c r="F36" s="74" t="s">
        <v>85</v>
      </c>
      <c r="G36" s="74" t="s">
        <v>241</v>
      </c>
      <c r="H36" s="74" t="s">
        <v>194</v>
      </c>
      <c r="I36" s="74" t="s">
        <v>194</v>
      </c>
      <c r="J36" s="74" t="s">
        <v>195</v>
      </c>
      <c r="K36" s="74" t="s">
        <v>375</v>
      </c>
      <c r="L36" s="75">
        <v>9600</v>
      </c>
      <c r="M36" s="74" t="s">
        <v>388</v>
      </c>
      <c r="N36" s="74"/>
    </row>
    <row r="37" spans="1:14">
      <c r="A37" s="74" t="s">
        <v>30</v>
      </c>
      <c r="B37" s="74">
        <v>5</v>
      </c>
      <c r="C37" s="74" t="s">
        <v>168</v>
      </c>
      <c r="D37" s="74" t="s">
        <v>107</v>
      </c>
      <c r="E37" s="74" t="s">
        <v>96</v>
      </c>
      <c r="F37" s="74" t="s">
        <v>97</v>
      </c>
      <c r="G37" s="74" t="s">
        <v>241</v>
      </c>
      <c r="H37" s="74" t="s">
        <v>246</v>
      </c>
      <c r="I37" s="74" t="s">
        <v>200</v>
      </c>
      <c r="J37" s="74" t="s">
        <v>201</v>
      </c>
      <c r="K37" s="74" t="s">
        <v>340</v>
      </c>
      <c r="L37" s="75">
        <v>3000</v>
      </c>
      <c r="M37" s="74" t="s">
        <v>345</v>
      </c>
      <c r="N37" s="74"/>
    </row>
    <row r="38" ht="46" spans="1:14">
      <c r="A38" s="74" t="s">
        <v>30</v>
      </c>
      <c r="B38" s="74">
        <v>6</v>
      </c>
      <c r="C38" s="74" t="s">
        <v>168</v>
      </c>
      <c r="D38" s="74" t="s">
        <v>107</v>
      </c>
      <c r="E38" s="74" t="s">
        <v>109</v>
      </c>
      <c r="F38" s="74" t="s">
        <v>110</v>
      </c>
      <c r="G38" s="74" t="s">
        <v>241</v>
      </c>
      <c r="H38" s="74" t="s">
        <v>248</v>
      </c>
      <c r="I38" s="74" t="s">
        <v>248</v>
      </c>
      <c r="J38" s="74" t="s">
        <v>195</v>
      </c>
      <c r="K38" s="74" t="s">
        <v>389</v>
      </c>
      <c r="L38" s="75">
        <v>6488</v>
      </c>
      <c r="M38" s="74" t="s">
        <v>390</v>
      </c>
      <c r="N38" s="74" t="s">
        <v>249</v>
      </c>
    </row>
    <row r="39" ht="31" spans="1:14">
      <c r="A39" s="74" t="s">
        <v>30</v>
      </c>
      <c r="B39" s="74">
        <v>7</v>
      </c>
      <c r="C39" s="74" t="s">
        <v>168</v>
      </c>
      <c r="D39" s="74" t="s">
        <v>107</v>
      </c>
      <c r="E39" s="74" t="s">
        <v>68</v>
      </c>
      <c r="F39" s="74" t="s">
        <v>69</v>
      </c>
      <c r="G39" s="74" t="s">
        <v>241</v>
      </c>
      <c r="H39" s="74" t="s">
        <v>242</v>
      </c>
      <c r="I39" s="74" t="s">
        <v>200</v>
      </c>
      <c r="J39" s="74" t="s">
        <v>188</v>
      </c>
      <c r="K39" s="74" t="s">
        <v>364</v>
      </c>
      <c r="L39" s="75">
        <v>4200</v>
      </c>
      <c r="M39" s="74" t="s">
        <v>387</v>
      </c>
      <c r="N39" s="74"/>
    </row>
    <row r="40" spans="1:14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5"/>
      <c r="M40" s="74"/>
      <c r="N40" s="74"/>
    </row>
    <row r="41" spans="1:14">
      <c r="A41" s="70" t="s">
        <v>251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</row>
    <row r="42" spans="1:14">
      <c r="A42" s="72" t="s">
        <v>53</v>
      </c>
      <c r="B42" s="72" t="s">
        <v>54</v>
      </c>
      <c r="C42" s="72" t="s">
        <v>174</v>
      </c>
      <c r="D42" s="72" t="s">
        <v>325</v>
      </c>
      <c r="E42" s="72" t="s">
        <v>55</v>
      </c>
      <c r="F42" s="72" t="s">
        <v>56</v>
      </c>
      <c r="G42" s="72" t="s">
        <v>175</v>
      </c>
      <c r="H42" s="72" t="s">
        <v>176</v>
      </c>
      <c r="I42" s="72" t="s">
        <v>177</v>
      </c>
      <c r="J42" s="72" t="s">
        <v>178</v>
      </c>
      <c r="K42" s="72" t="s">
        <v>326</v>
      </c>
      <c r="L42" s="73" t="s">
        <v>327</v>
      </c>
      <c r="M42" s="72" t="s">
        <v>183</v>
      </c>
      <c r="N42" s="72" t="s">
        <v>184</v>
      </c>
    </row>
    <row r="43" ht="31" spans="1:14">
      <c r="A43" s="74" t="s">
        <v>31</v>
      </c>
      <c r="B43" s="74">
        <v>2</v>
      </c>
      <c r="C43" s="74" t="s">
        <v>168</v>
      </c>
      <c r="D43" s="74" t="s">
        <v>111</v>
      </c>
      <c r="E43" s="74" t="s">
        <v>68</v>
      </c>
      <c r="F43" s="74" t="s">
        <v>69</v>
      </c>
      <c r="G43" s="74" t="s">
        <v>252</v>
      </c>
      <c r="H43" s="74" t="s">
        <v>242</v>
      </c>
      <c r="I43" s="74" t="s">
        <v>191</v>
      </c>
      <c r="J43" s="74" t="s">
        <v>188</v>
      </c>
      <c r="K43" s="74" t="s">
        <v>364</v>
      </c>
      <c r="L43" s="75">
        <v>4200</v>
      </c>
      <c r="M43" s="74" t="s">
        <v>387</v>
      </c>
      <c r="N43" s="74"/>
    </row>
    <row r="44" ht="31" spans="1:14">
      <c r="A44" s="74" t="s">
        <v>31</v>
      </c>
      <c r="B44" s="74">
        <v>3</v>
      </c>
      <c r="C44" s="74" t="s">
        <v>168</v>
      </c>
      <c r="D44" s="74" t="s">
        <v>111</v>
      </c>
      <c r="E44" s="74" t="s">
        <v>112</v>
      </c>
      <c r="F44" s="74" t="s">
        <v>113</v>
      </c>
      <c r="G44" s="74" t="s">
        <v>252</v>
      </c>
      <c r="H44" s="74" t="s">
        <v>253</v>
      </c>
      <c r="I44" s="74" t="s">
        <v>253</v>
      </c>
      <c r="J44" s="74" t="s">
        <v>195</v>
      </c>
      <c r="K44" s="74" t="s">
        <v>391</v>
      </c>
      <c r="L44" s="75">
        <v>120000</v>
      </c>
      <c r="M44" s="74" t="s">
        <v>254</v>
      </c>
      <c r="N44" s="74" t="s">
        <v>255</v>
      </c>
    </row>
    <row r="45" ht="31" spans="1:14">
      <c r="A45" s="74" t="s">
        <v>31</v>
      </c>
      <c r="B45" s="74">
        <v>4</v>
      </c>
      <c r="C45" s="74" t="s">
        <v>168</v>
      </c>
      <c r="D45" s="74" t="s">
        <v>111</v>
      </c>
      <c r="E45" s="74" t="s">
        <v>68</v>
      </c>
      <c r="F45" s="74" t="s">
        <v>69</v>
      </c>
      <c r="G45" s="74" t="s">
        <v>252</v>
      </c>
      <c r="H45" s="74" t="s">
        <v>242</v>
      </c>
      <c r="I45" s="74" t="s">
        <v>200</v>
      </c>
      <c r="J45" s="74" t="s">
        <v>188</v>
      </c>
      <c r="K45" s="74" t="s">
        <v>364</v>
      </c>
      <c r="L45" s="75">
        <v>4200</v>
      </c>
      <c r="M45" s="74" t="s">
        <v>387</v>
      </c>
      <c r="N45" s="74"/>
    </row>
    <row r="46" spans="1:14">
      <c r="A46" s="70" t="s">
        <v>257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</row>
    <row r="47" spans="1:14">
      <c r="A47" s="72" t="s">
        <v>53</v>
      </c>
      <c r="B47" s="72" t="s">
        <v>54</v>
      </c>
      <c r="C47" s="72" t="s">
        <v>174</v>
      </c>
      <c r="D47" s="72" t="s">
        <v>325</v>
      </c>
      <c r="E47" s="72" t="s">
        <v>55</v>
      </c>
      <c r="F47" s="72" t="s">
        <v>56</v>
      </c>
      <c r="G47" s="72" t="s">
        <v>175</v>
      </c>
      <c r="H47" s="72" t="s">
        <v>176</v>
      </c>
      <c r="I47" s="72" t="s">
        <v>177</v>
      </c>
      <c r="J47" s="72" t="s">
        <v>178</v>
      </c>
      <c r="K47" s="72" t="s">
        <v>326</v>
      </c>
      <c r="L47" s="73" t="s">
        <v>327</v>
      </c>
      <c r="M47" s="72" t="s">
        <v>183</v>
      </c>
      <c r="N47" s="72" t="s">
        <v>184</v>
      </c>
    </row>
    <row r="48" ht="31" spans="1:14">
      <c r="A48" s="74" t="s">
        <v>32</v>
      </c>
      <c r="B48" s="74">
        <v>2</v>
      </c>
      <c r="C48" s="74" t="s">
        <v>168</v>
      </c>
      <c r="D48" s="74" t="s">
        <v>114</v>
      </c>
      <c r="E48" s="74" t="s">
        <v>68</v>
      </c>
      <c r="F48" s="74" t="s">
        <v>69</v>
      </c>
      <c r="G48" s="74" t="s">
        <v>258</v>
      </c>
      <c r="H48" s="74" t="s">
        <v>242</v>
      </c>
      <c r="I48" s="74" t="s">
        <v>191</v>
      </c>
      <c r="J48" s="74" t="s">
        <v>188</v>
      </c>
      <c r="K48" s="74" t="s">
        <v>364</v>
      </c>
      <c r="L48" s="75">
        <v>4200</v>
      </c>
      <c r="M48" s="74" t="s">
        <v>387</v>
      </c>
      <c r="N48" s="74"/>
    </row>
    <row r="49" ht="31" spans="1:14">
      <c r="A49" s="74" t="s">
        <v>32</v>
      </c>
      <c r="B49" s="74">
        <v>3</v>
      </c>
      <c r="C49" s="74" t="s">
        <v>168</v>
      </c>
      <c r="D49" s="74" t="s">
        <v>114</v>
      </c>
      <c r="E49" s="74" t="s">
        <v>115</v>
      </c>
      <c r="F49" s="74" t="s">
        <v>116</v>
      </c>
      <c r="G49" s="74" t="s">
        <v>258</v>
      </c>
      <c r="H49" s="74" t="s">
        <v>194</v>
      </c>
      <c r="I49" s="74" t="s">
        <v>194</v>
      </c>
      <c r="J49" s="74" t="s">
        <v>195</v>
      </c>
      <c r="K49" s="74" t="s">
        <v>375</v>
      </c>
      <c r="L49" s="75">
        <v>9600</v>
      </c>
      <c r="M49" s="74" t="s">
        <v>388</v>
      </c>
      <c r="N49" s="74"/>
    </row>
    <row r="50" ht="31" spans="1:14">
      <c r="A50" s="74" t="s">
        <v>32</v>
      </c>
      <c r="B50" s="74">
        <v>4</v>
      </c>
      <c r="C50" s="74" t="s">
        <v>168</v>
      </c>
      <c r="D50" s="74" t="s">
        <v>114</v>
      </c>
      <c r="E50" s="74" t="s">
        <v>68</v>
      </c>
      <c r="F50" s="74" t="s">
        <v>69</v>
      </c>
      <c r="G50" s="74" t="s">
        <v>258</v>
      </c>
      <c r="H50" s="74" t="s">
        <v>242</v>
      </c>
      <c r="I50" s="74" t="s">
        <v>200</v>
      </c>
      <c r="J50" s="74" t="s">
        <v>188</v>
      </c>
      <c r="K50" s="74" t="s">
        <v>364</v>
      </c>
      <c r="L50" s="75">
        <v>4200</v>
      </c>
      <c r="M50" s="74" t="s">
        <v>387</v>
      </c>
      <c r="N50" s="74"/>
    </row>
    <row r="51" spans="1:14">
      <c r="A51" s="70" t="s">
        <v>261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</row>
    <row r="52" spans="1:14">
      <c r="A52" s="72" t="s">
        <v>53</v>
      </c>
      <c r="B52" s="72" t="s">
        <v>54</v>
      </c>
      <c r="C52" s="72" t="s">
        <v>174</v>
      </c>
      <c r="D52" s="72" t="s">
        <v>325</v>
      </c>
      <c r="E52" s="72" t="s">
        <v>55</v>
      </c>
      <c r="F52" s="72" t="s">
        <v>56</v>
      </c>
      <c r="G52" s="72" t="s">
        <v>175</v>
      </c>
      <c r="H52" s="72" t="s">
        <v>176</v>
      </c>
      <c r="I52" s="72" t="s">
        <v>177</v>
      </c>
      <c r="J52" s="72" t="s">
        <v>178</v>
      </c>
      <c r="K52" s="72" t="s">
        <v>326</v>
      </c>
      <c r="L52" s="73" t="s">
        <v>327</v>
      </c>
      <c r="M52" s="72" t="s">
        <v>183</v>
      </c>
      <c r="N52" s="72" t="s">
        <v>184</v>
      </c>
    </row>
    <row r="53" ht="31" spans="1:14">
      <c r="A53" s="74" t="s">
        <v>33</v>
      </c>
      <c r="B53" s="74">
        <v>1</v>
      </c>
      <c r="C53" s="74" t="s">
        <v>168</v>
      </c>
      <c r="D53" s="74" t="s">
        <v>350</v>
      </c>
      <c r="E53" s="74" t="s">
        <v>68</v>
      </c>
      <c r="F53" s="74" t="s">
        <v>69</v>
      </c>
      <c r="G53" s="74" t="s">
        <v>262</v>
      </c>
      <c r="H53" s="74" t="s">
        <v>263</v>
      </c>
      <c r="I53" s="74" t="s">
        <v>191</v>
      </c>
      <c r="J53" s="74" t="s">
        <v>188</v>
      </c>
      <c r="K53" s="74" t="s">
        <v>364</v>
      </c>
      <c r="L53" s="75">
        <v>5600</v>
      </c>
      <c r="M53" s="74" t="s">
        <v>392</v>
      </c>
      <c r="N53" s="74"/>
    </row>
    <row r="54" ht="31" spans="1:14">
      <c r="A54" s="74" t="s">
        <v>33</v>
      </c>
      <c r="B54" s="74">
        <v>2</v>
      </c>
      <c r="C54" s="74" t="s">
        <v>168</v>
      </c>
      <c r="D54" s="74" t="s">
        <v>350</v>
      </c>
      <c r="E54" s="74" t="s">
        <v>118</v>
      </c>
      <c r="F54" s="74" t="s">
        <v>119</v>
      </c>
      <c r="G54" s="74" t="s">
        <v>262</v>
      </c>
      <c r="H54" s="74" t="s">
        <v>265</v>
      </c>
      <c r="I54" s="74" t="s">
        <v>265</v>
      </c>
      <c r="J54" s="74" t="s">
        <v>195</v>
      </c>
      <c r="K54" s="74" t="s">
        <v>393</v>
      </c>
      <c r="L54" s="75">
        <v>50850</v>
      </c>
      <c r="M54" s="74" t="s">
        <v>266</v>
      </c>
      <c r="N54" s="74"/>
    </row>
    <row r="55" ht="31" spans="1:14">
      <c r="A55" s="74" t="s">
        <v>33</v>
      </c>
      <c r="B55" s="74">
        <v>3</v>
      </c>
      <c r="C55" s="74" t="s">
        <v>168</v>
      </c>
      <c r="D55" s="74" t="s">
        <v>350</v>
      </c>
      <c r="E55" s="74" t="s">
        <v>68</v>
      </c>
      <c r="F55" s="74" t="s">
        <v>69</v>
      </c>
      <c r="G55" s="74" t="s">
        <v>262</v>
      </c>
      <c r="H55" s="74" t="s">
        <v>263</v>
      </c>
      <c r="I55" s="74" t="s">
        <v>200</v>
      </c>
      <c r="J55" s="74" t="s">
        <v>188</v>
      </c>
      <c r="K55" s="74" t="s">
        <v>364</v>
      </c>
      <c r="L55" s="75">
        <v>5600</v>
      </c>
      <c r="M55" s="74" t="s">
        <v>392</v>
      </c>
      <c r="N55" s="74"/>
    </row>
    <row r="56" ht="46" spans="1:14">
      <c r="A56" s="74" t="s">
        <v>33</v>
      </c>
      <c r="B56" s="74">
        <v>5</v>
      </c>
      <c r="C56" s="74" t="s">
        <v>168</v>
      </c>
      <c r="D56" s="74" t="s">
        <v>350</v>
      </c>
      <c r="E56" s="74" t="s">
        <v>121</v>
      </c>
      <c r="F56" s="74" t="s">
        <v>121</v>
      </c>
      <c r="G56" s="74" t="s">
        <v>262</v>
      </c>
      <c r="H56" s="74" t="s">
        <v>267</v>
      </c>
      <c r="I56" s="74" t="s">
        <v>268</v>
      </c>
      <c r="J56" s="74" t="s">
        <v>269</v>
      </c>
      <c r="K56" s="74" t="s">
        <v>394</v>
      </c>
      <c r="L56" s="75">
        <v>16500</v>
      </c>
      <c r="M56" s="74" t="s">
        <v>395</v>
      </c>
      <c r="N56" s="74" t="s">
        <v>271</v>
      </c>
    </row>
    <row r="57" spans="1:14">
      <c r="A57" s="70" t="s">
        <v>273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</row>
    <row r="58" spans="1:14">
      <c r="A58" s="72" t="s">
        <v>53</v>
      </c>
      <c r="B58" s="72" t="s">
        <v>54</v>
      </c>
      <c r="C58" s="72" t="s">
        <v>174</v>
      </c>
      <c r="D58" s="72" t="s">
        <v>325</v>
      </c>
      <c r="E58" s="72" t="s">
        <v>55</v>
      </c>
      <c r="F58" s="72" t="s">
        <v>56</v>
      </c>
      <c r="G58" s="72" t="s">
        <v>175</v>
      </c>
      <c r="H58" s="72" t="s">
        <v>176</v>
      </c>
      <c r="I58" s="72" t="s">
        <v>177</v>
      </c>
      <c r="J58" s="72" t="s">
        <v>178</v>
      </c>
      <c r="K58" s="72" t="s">
        <v>326</v>
      </c>
      <c r="L58" s="73" t="s">
        <v>327</v>
      </c>
      <c r="M58" s="72" t="s">
        <v>183</v>
      </c>
      <c r="N58" s="72" t="s">
        <v>184</v>
      </c>
    </row>
    <row r="59" ht="31" spans="1:14">
      <c r="A59" s="74" t="s">
        <v>35</v>
      </c>
      <c r="B59" s="74">
        <v>1</v>
      </c>
      <c r="C59" s="74" t="s">
        <v>168</v>
      </c>
      <c r="D59" s="74" t="s">
        <v>354</v>
      </c>
      <c r="E59" s="74" t="s">
        <v>68</v>
      </c>
      <c r="F59" s="74" t="s">
        <v>69</v>
      </c>
      <c r="G59" s="74" t="s">
        <v>274</v>
      </c>
      <c r="H59" s="74" t="s">
        <v>242</v>
      </c>
      <c r="I59" s="74" t="s">
        <v>191</v>
      </c>
      <c r="J59" s="74" t="s">
        <v>188</v>
      </c>
      <c r="K59" s="74" t="s">
        <v>364</v>
      </c>
      <c r="L59" s="75">
        <v>4200</v>
      </c>
      <c r="M59" s="74" t="s">
        <v>387</v>
      </c>
      <c r="N59" s="74"/>
    </row>
    <row r="60" ht="31" spans="1:14">
      <c r="A60" s="74" t="s">
        <v>35</v>
      </c>
      <c r="B60" s="74">
        <v>2</v>
      </c>
      <c r="C60" s="74" t="s">
        <v>168</v>
      </c>
      <c r="D60" s="74" t="s">
        <v>354</v>
      </c>
      <c r="E60" s="74" t="s">
        <v>123</v>
      </c>
      <c r="F60" s="74" t="s">
        <v>124</v>
      </c>
      <c r="G60" s="74" t="s">
        <v>274</v>
      </c>
      <c r="H60" s="74" t="s">
        <v>199</v>
      </c>
      <c r="I60" s="74" t="s">
        <v>200</v>
      </c>
      <c r="J60" s="74" t="s">
        <v>201</v>
      </c>
      <c r="K60" s="74" t="s">
        <v>369</v>
      </c>
      <c r="L60" s="75">
        <v>5000</v>
      </c>
      <c r="M60" s="74" t="s">
        <v>370</v>
      </c>
      <c r="N60" s="74"/>
    </row>
    <row r="61" ht="31" spans="1:14">
      <c r="A61" s="74" t="s">
        <v>35</v>
      </c>
      <c r="B61" s="74">
        <v>3</v>
      </c>
      <c r="C61" s="74" t="s">
        <v>168</v>
      </c>
      <c r="D61" s="74" t="s">
        <v>354</v>
      </c>
      <c r="E61" s="74" t="s">
        <v>68</v>
      </c>
      <c r="F61" s="74" t="s">
        <v>69</v>
      </c>
      <c r="G61" s="74" t="s">
        <v>274</v>
      </c>
      <c r="H61" s="74" t="s">
        <v>242</v>
      </c>
      <c r="I61" s="74" t="s">
        <v>200</v>
      </c>
      <c r="J61" s="74" t="s">
        <v>188</v>
      </c>
      <c r="K61" s="74" t="s">
        <v>364</v>
      </c>
      <c r="L61" s="75">
        <v>4200</v>
      </c>
      <c r="M61" s="74" t="s">
        <v>387</v>
      </c>
      <c r="N61" s="74"/>
    </row>
    <row r="62" spans="1:14">
      <c r="A62" s="70" t="s">
        <v>276</v>
      </c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</row>
    <row r="63" spans="1:14">
      <c r="A63" s="72" t="s">
        <v>53</v>
      </c>
      <c r="B63" s="72" t="s">
        <v>54</v>
      </c>
      <c r="C63" s="72" t="s">
        <v>174</v>
      </c>
      <c r="D63" s="72" t="s">
        <v>325</v>
      </c>
      <c r="E63" s="72" t="s">
        <v>55</v>
      </c>
      <c r="F63" s="72" t="s">
        <v>56</v>
      </c>
      <c r="G63" s="72" t="s">
        <v>175</v>
      </c>
      <c r="H63" s="72" t="s">
        <v>176</v>
      </c>
      <c r="I63" s="72" t="s">
        <v>177</v>
      </c>
      <c r="J63" s="72" t="s">
        <v>178</v>
      </c>
      <c r="K63" s="72" t="s">
        <v>326</v>
      </c>
      <c r="L63" s="73" t="s">
        <v>327</v>
      </c>
      <c r="M63" s="72" t="s">
        <v>183</v>
      </c>
      <c r="N63" s="72" t="s">
        <v>184</v>
      </c>
    </row>
    <row r="64" ht="31" spans="1:14">
      <c r="A64" s="74" t="s">
        <v>37</v>
      </c>
      <c r="B64" s="74">
        <v>2</v>
      </c>
      <c r="C64" s="74" t="s">
        <v>168</v>
      </c>
      <c r="D64" s="74" t="s">
        <v>126</v>
      </c>
      <c r="E64" s="74" t="s">
        <v>68</v>
      </c>
      <c r="F64" s="74" t="s">
        <v>69</v>
      </c>
      <c r="G64" s="74" t="s">
        <v>277</v>
      </c>
      <c r="H64" s="74" t="s">
        <v>242</v>
      </c>
      <c r="I64" s="74" t="s">
        <v>191</v>
      </c>
      <c r="J64" s="74" t="s">
        <v>188</v>
      </c>
      <c r="K64" s="74" t="s">
        <v>364</v>
      </c>
      <c r="L64" s="75">
        <v>4200</v>
      </c>
      <c r="M64" s="74" t="s">
        <v>387</v>
      </c>
      <c r="N64" s="74"/>
    </row>
    <row r="65" ht="31" spans="1:14">
      <c r="A65" s="74" t="s">
        <v>37</v>
      </c>
      <c r="B65" s="74">
        <v>3</v>
      </c>
      <c r="C65" s="74" t="s">
        <v>168</v>
      </c>
      <c r="D65" s="74" t="s">
        <v>126</v>
      </c>
      <c r="E65" s="74" t="s">
        <v>127</v>
      </c>
      <c r="F65" s="74" t="s">
        <v>128</v>
      </c>
      <c r="G65" s="74" t="s">
        <v>277</v>
      </c>
      <c r="H65" s="74" t="s">
        <v>253</v>
      </c>
      <c r="I65" s="74" t="s">
        <v>253</v>
      </c>
      <c r="J65" s="74" t="s">
        <v>195</v>
      </c>
      <c r="K65" s="74" t="s">
        <v>396</v>
      </c>
      <c r="L65" s="75">
        <v>15000</v>
      </c>
      <c r="M65" s="74" t="s">
        <v>397</v>
      </c>
      <c r="N65" s="74"/>
    </row>
    <row r="66" ht="31" spans="1:14">
      <c r="A66" s="74" t="s">
        <v>37</v>
      </c>
      <c r="B66" s="74">
        <v>4</v>
      </c>
      <c r="C66" s="74" t="s">
        <v>168</v>
      </c>
      <c r="D66" s="74" t="s">
        <v>126</v>
      </c>
      <c r="E66" s="74" t="s">
        <v>68</v>
      </c>
      <c r="F66" s="74" t="s">
        <v>69</v>
      </c>
      <c r="G66" s="74" t="s">
        <v>277</v>
      </c>
      <c r="H66" s="74" t="s">
        <v>242</v>
      </c>
      <c r="I66" s="74" t="s">
        <v>200</v>
      </c>
      <c r="J66" s="74" t="s">
        <v>188</v>
      </c>
      <c r="K66" s="74" t="s">
        <v>364</v>
      </c>
      <c r="L66" s="75">
        <v>4200</v>
      </c>
      <c r="M66" s="74" t="s">
        <v>387</v>
      </c>
      <c r="N66" s="74"/>
    </row>
    <row r="67" spans="1:14">
      <c r="A67" s="70" t="s">
        <v>280</v>
      </c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</row>
    <row r="68" spans="1:14">
      <c r="A68" s="72" t="s">
        <v>53</v>
      </c>
      <c r="B68" s="72" t="s">
        <v>54</v>
      </c>
      <c r="C68" s="72" t="s">
        <v>174</v>
      </c>
      <c r="D68" s="72" t="s">
        <v>325</v>
      </c>
      <c r="E68" s="72" t="s">
        <v>55</v>
      </c>
      <c r="F68" s="72" t="s">
        <v>56</v>
      </c>
      <c r="G68" s="72" t="s">
        <v>175</v>
      </c>
      <c r="H68" s="72" t="s">
        <v>176</v>
      </c>
      <c r="I68" s="72" t="s">
        <v>177</v>
      </c>
      <c r="J68" s="72" t="s">
        <v>178</v>
      </c>
      <c r="K68" s="72" t="s">
        <v>326</v>
      </c>
      <c r="L68" s="73" t="s">
        <v>327</v>
      </c>
      <c r="M68" s="72" t="s">
        <v>183</v>
      </c>
      <c r="N68" s="72" t="s">
        <v>184</v>
      </c>
    </row>
    <row r="69" ht="31" spans="1:14">
      <c r="A69" s="74" t="s">
        <v>38</v>
      </c>
      <c r="B69" s="74">
        <v>2</v>
      </c>
      <c r="C69" s="74" t="s">
        <v>168</v>
      </c>
      <c r="D69" s="74" t="s">
        <v>129</v>
      </c>
      <c r="E69" s="74" t="s">
        <v>68</v>
      </c>
      <c r="F69" s="74" t="s">
        <v>69</v>
      </c>
      <c r="G69" s="74" t="s">
        <v>281</v>
      </c>
      <c r="H69" s="74" t="s">
        <v>242</v>
      </c>
      <c r="I69" s="74" t="s">
        <v>191</v>
      </c>
      <c r="J69" s="74" t="s">
        <v>188</v>
      </c>
      <c r="K69" s="74" t="s">
        <v>364</v>
      </c>
      <c r="L69" s="75">
        <v>4200</v>
      </c>
      <c r="M69" s="74" t="s">
        <v>387</v>
      </c>
      <c r="N69" s="74"/>
    </row>
    <row r="70" ht="31" spans="1:14">
      <c r="A70" s="74" t="s">
        <v>38</v>
      </c>
      <c r="B70" s="74">
        <v>3</v>
      </c>
      <c r="C70" s="74" t="s">
        <v>168</v>
      </c>
      <c r="D70" s="74" t="s">
        <v>129</v>
      </c>
      <c r="E70" s="74" t="s">
        <v>130</v>
      </c>
      <c r="F70" s="74" t="s">
        <v>131</v>
      </c>
      <c r="G70" s="74" t="s">
        <v>281</v>
      </c>
      <c r="H70" s="74" t="s">
        <v>253</v>
      </c>
      <c r="I70" s="74" t="s">
        <v>253</v>
      </c>
      <c r="J70" s="74" t="s">
        <v>195</v>
      </c>
      <c r="K70" s="74" t="s">
        <v>398</v>
      </c>
      <c r="L70" s="75">
        <v>20000</v>
      </c>
      <c r="M70" s="74" t="s">
        <v>399</v>
      </c>
      <c r="N70" s="74"/>
    </row>
    <row r="71" ht="31" spans="1:14">
      <c r="A71" s="74" t="s">
        <v>38</v>
      </c>
      <c r="B71" s="74">
        <v>4</v>
      </c>
      <c r="C71" s="74" t="s">
        <v>168</v>
      </c>
      <c r="D71" s="74" t="s">
        <v>129</v>
      </c>
      <c r="E71" s="74" t="s">
        <v>68</v>
      </c>
      <c r="F71" s="74" t="s">
        <v>69</v>
      </c>
      <c r="G71" s="74" t="s">
        <v>281</v>
      </c>
      <c r="H71" s="74" t="s">
        <v>242</v>
      </c>
      <c r="I71" s="74" t="s">
        <v>200</v>
      </c>
      <c r="J71" s="74" t="s">
        <v>188</v>
      </c>
      <c r="K71" s="74" t="s">
        <v>364</v>
      </c>
      <c r="L71" s="75">
        <v>4200</v>
      </c>
      <c r="M71" s="74" t="s">
        <v>387</v>
      </c>
      <c r="N71" s="74"/>
    </row>
    <row r="72" spans="1:14">
      <c r="A72" s="70" t="s">
        <v>283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</row>
    <row r="73" spans="1:14">
      <c r="A73" s="72" t="s">
        <v>53</v>
      </c>
      <c r="B73" s="72" t="s">
        <v>54</v>
      </c>
      <c r="C73" s="72" t="s">
        <v>174</v>
      </c>
      <c r="D73" s="72" t="s">
        <v>325</v>
      </c>
      <c r="E73" s="72" t="s">
        <v>55</v>
      </c>
      <c r="F73" s="72" t="s">
        <v>56</v>
      </c>
      <c r="G73" s="72" t="s">
        <v>175</v>
      </c>
      <c r="H73" s="72" t="s">
        <v>176</v>
      </c>
      <c r="I73" s="72" t="s">
        <v>177</v>
      </c>
      <c r="J73" s="72" t="s">
        <v>178</v>
      </c>
      <c r="K73" s="72" t="s">
        <v>326</v>
      </c>
      <c r="L73" s="73" t="s">
        <v>327</v>
      </c>
      <c r="M73" s="72" t="s">
        <v>183</v>
      </c>
      <c r="N73" s="72" t="s">
        <v>184</v>
      </c>
    </row>
    <row r="74" ht="31" spans="1:14">
      <c r="A74" s="74" t="s">
        <v>39</v>
      </c>
      <c r="B74" s="74">
        <v>2</v>
      </c>
      <c r="C74" s="74" t="s">
        <v>168</v>
      </c>
      <c r="D74" s="74" t="s">
        <v>132</v>
      </c>
      <c r="E74" s="74" t="s">
        <v>68</v>
      </c>
      <c r="F74" s="74" t="s">
        <v>69</v>
      </c>
      <c r="G74" s="74" t="s">
        <v>284</v>
      </c>
      <c r="H74" s="74" t="s">
        <v>242</v>
      </c>
      <c r="I74" s="74" t="s">
        <v>191</v>
      </c>
      <c r="J74" s="74" t="s">
        <v>188</v>
      </c>
      <c r="K74" s="74" t="s">
        <v>364</v>
      </c>
      <c r="L74" s="75">
        <v>4200</v>
      </c>
      <c r="M74" s="74" t="s">
        <v>387</v>
      </c>
      <c r="N74" s="74"/>
    </row>
    <row r="75" ht="31" spans="1:14">
      <c r="A75" s="74" t="s">
        <v>39</v>
      </c>
      <c r="B75" s="74">
        <v>3</v>
      </c>
      <c r="C75" s="74" t="s">
        <v>168</v>
      </c>
      <c r="D75" s="74" t="s">
        <v>132</v>
      </c>
      <c r="E75" s="74" t="s">
        <v>130</v>
      </c>
      <c r="F75" s="74" t="s">
        <v>133</v>
      </c>
      <c r="G75" s="74" t="s">
        <v>284</v>
      </c>
      <c r="H75" s="74" t="s">
        <v>285</v>
      </c>
      <c r="I75" s="74" t="s">
        <v>285</v>
      </c>
      <c r="J75" s="74" t="s">
        <v>195</v>
      </c>
      <c r="K75" s="74" t="s">
        <v>398</v>
      </c>
      <c r="L75" s="75">
        <v>22000</v>
      </c>
      <c r="M75" s="74" t="s">
        <v>400</v>
      </c>
      <c r="N75" s="74"/>
    </row>
    <row r="76" ht="31" spans="1:14">
      <c r="A76" s="74" t="s">
        <v>39</v>
      </c>
      <c r="B76" s="74">
        <v>4</v>
      </c>
      <c r="C76" s="74" t="s">
        <v>168</v>
      </c>
      <c r="D76" s="74" t="s">
        <v>132</v>
      </c>
      <c r="E76" s="74" t="s">
        <v>68</v>
      </c>
      <c r="F76" s="74" t="s">
        <v>69</v>
      </c>
      <c r="G76" s="74" t="s">
        <v>284</v>
      </c>
      <c r="H76" s="74" t="s">
        <v>242</v>
      </c>
      <c r="I76" s="74" t="s">
        <v>200</v>
      </c>
      <c r="J76" s="74" t="s">
        <v>188</v>
      </c>
      <c r="K76" s="74" t="s">
        <v>364</v>
      </c>
      <c r="L76" s="75">
        <v>4200</v>
      </c>
      <c r="M76" s="74" t="s">
        <v>387</v>
      </c>
      <c r="N76" s="74"/>
    </row>
    <row r="77" spans="1:14">
      <c r="A77" s="70" t="s">
        <v>295</v>
      </c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</row>
    <row r="78" spans="1:14">
      <c r="A78" s="72" t="s">
        <v>53</v>
      </c>
      <c r="B78" s="72" t="s">
        <v>54</v>
      </c>
      <c r="C78" s="72" t="s">
        <v>174</v>
      </c>
      <c r="D78" s="72" t="s">
        <v>325</v>
      </c>
      <c r="E78" s="72" t="s">
        <v>55</v>
      </c>
      <c r="F78" s="72" t="s">
        <v>56</v>
      </c>
      <c r="G78" s="72" t="s">
        <v>175</v>
      </c>
      <c r="H78" s="72" t="s">
        <v>176</v>
      </c>
      <c r="I78" s="72" t="s">
        <v>177</v>
      </c>
      <c r="J78" s="72" t="s">
        <v>178</v>
      </c>
      <c r="K78" s="72" t="s">
        <v>326</v>
      </c>
      <c r="L78" s="73" t="s">
        <v>327</v>
      </c>
      <c r="M78" s="72" t="s">
        <v>183</v>
      </c>
      <c r="N78" s="72" t="s">
        <v>184</v>
      </c>
    </row>
    <row r="79" ht="31" spans="1:14">
      <c r="A79" s="74" t="s">
        <v>43</v>
      </c>
      <c r="B79" s="74">
        <v>1</v>
      </c>
      <c r="C79" s="74" t="s">
        <v>168</v>
      </c>
      <c r="D79" s="74" t="s">
        <v>358</v>
      </c>
      <c r="E79" s="74" t="s">
        <v>141</v>
      </c>
      <c r="F79" s="74" t="s">
        <v>142</v>
      </c>
      <c r="G79" s="74" t="s">
        <v>296</v>
      </c>
      <c r="H79" s="74" t="s">
        <v>297</v>
      </c>
      <c r="I79" s="74" t="s">
        <v>268</v>
      </c>
      <c r="J79" s="74" t="s">
        <v>188</v>
      </c>
      <c r="K79" s="74" t="s">
        <v>401</v>
      </c>
      <c r="L79" s="75"/>
      <c r="M79" s="74" t="s">
        <v>298</v>
      </c>
      <c r="N79" s="74" t="s">
        <v>299</v>
      </c>
    </row>
    <row r="80" spans="1:14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5"/>
      <c r="M80" s="74"/>
      <c r="N80" s="74"/>
    </row>
    <row r="81" spans="1:14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5"/>
      <c r="M81" s="74"/>
      <c r="N81" s="74"/>
    </row>
    <row r="82" spans="1:14">
      <c r="A82" s="70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</row>
    <row r="83" spans="1:14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3"/>
      <c r="M83" s="72"/>
      <c r="N83" s="72"/>
    </row>
    <row r="84" spans="1:14">
      <c r="A84" s="74"/>
      <c r="B84" s="81"/>
      <c r="C84" s="74"/>
      <c r="D84" s="74"/>
      <c r="E84" s="74"/>
      <c r="F84" s="74"/>
      <c r="G84" s="74"/>
      <c r="H84" s="74"/>
      <c r="I84" s="74"/>
      <c r="J84" s="74"/>
      <c r="K84" s="74"/>
      <c r="L84" s="75"/>
      <c r="M84" s="74"/>
      <c r="N84" s="74"/>
    </row>
    <row r="85" spans="1:14">
      <c r="A85" s="74"/>
      <c r="B85" s="81"/>
      <c r="C85" s="74"/>
      <c r="D85" s="74"/>
      <c r="E85" s="74"/>
      <c r="F85" s="74"/>
      <c r="G85" s="74"/>
      <c r="H85" s="74"/>
      <c r="I85" s="74"/>
      <c r="J85" s="74"/>
      <c r="K85" s="74"/>
      <c r="L85" s="75"/>
      <c r="M85" s="74"/>
      <c r="N85" s="74"/>
    </row>
    <row r="86" spans="1:14">
      <c r="A86" s="68" t="s">
        <v>301</v>
      </c>
      <c r="B86" s="69" t="s">
        <v>360</v>
      </c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</row>
    <row r="87" spans="1:14">
      <c r="A87" s="70" t="s">
        <v>303</v>
      </c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</row>
    <row r="88" spans="1:14">
      <c r="A88" s="72" t="s">
        <v>53</v>
      </c>
      <c r="B88" s="72" t="s">
        <v>54</v>
      </c>
      <c r="C88" s="72" t="s">
        <v>174</v>
      </c>
      <c r="D88" s="72" t="s">
        <v>325</v>
      </c>
      <c r="E88" s="72" t="s">
        <v>55</v>
      </c>
      <c r="F88" s="72" t="s">
        <v>56</v>
      </c>
      <c r="G88" s="72" t="s">
        <v>175</v>
      </c>
      <c r="H88" s="72" t="s">
        <v>176</v>
      </c>
      <c r="I88" s="72" t="s">
        <v>177</v>
      </c>
      <c r="J88" s="72" t="s">
        <v>178</v>
      </c>
      <c r="K88" s="72" t="s">
        <v>326</v>
      </c>
      <c r="L88" s="73" t="s">
        <v>327</v>
      </c>
      <c r="M88" s="72" t="s">
        <v>183</v>
      </c>
      <c r="N88" s="72" t="s">
        <v>184</v>
      </c>
    </row>
    <row r="89" ht="31" spans="1:14">
      <c r="A89" s="74" t="s">
        <v>26</v>
      </c>
      <c r="B89" s="74">
        <v>2</v>
      </c>
      <c r="C89" s="74" t="s">
        <v>171</v>
      </c>
      <c r="D89" s="74" t="s">
        <v>50</v>
      </c>
      <c r="E89" s="74" t="s">
        <v>68</v>
      </c>
      <c r="F89" s="74" t="s">
        <v>69</v>
      </c>
      <c r="G89" s="74" t="s">
        <v>185</v>
      </c>
      <c r="H89" s="74" t="s">
        <v>186</v>
      </c>
      <c r="I89" s="74" t="s">
        <v>191</v>
      </c>
      <c r="J89" s="74" t="s">
        <v>188</v>
      </c>
      <c r="K89" s="74" t="s">
        <v>364</v>
      </c>
      <c r="L89" s="75">
        <v>9800</v>
      </c>
      <c r="M89" s="74" t="s">
        <v>365</v>
      </c>
      <c r="N89" s="74"/>
    </row>
    <row r="90" spans="1:14">
      <c r="A90" s="74" t="s">
        <v>26</v>
      </c>
      <c r="B90" s="74">
        <v>3</v>
      </c>
      <c r="C90" s="74" t="s">
        <v>171</v>
      </c>
      <c r="D90" s="74" t="s">
        <v>50</v>
      </c>
      <c r="E90" s="74" t="s">
        <v>70</v>
      </c>
      <c r="F90" s="74" t="s">
        <v>71</v>
      </c>
      <c r="G90" s="74" t="s">
        <v>193</v>
      </c>
      <c r="H90" s="74" t="s">
        <v>194</v>
      </c>
      <c r="I90" s="74" t="s">
        <v>194</v>
      </c>
      <c r="J90" s="74" t="s">
        <v>195</v>
      </c>
      <c r="K90" s="74" t="s">
        <v>366</v>
      </c>
      <c r="L90" s="75">
        <v>600</v>
      </c>
      <c r="M90" s="74" t="s">
        <v>367</v>
      </c>
      <c r="N90" s="74"/>
    </row>
    <row r="91" spans="1:14">
      <c r="A91" s="74" t="s">
        <v>26</v>
      </c>
      <c r="B91" s="74">
        <v>4</v>
      </c>
      <c r="C91" s="74" t="s">
        <v>171</v>
      </c>
      <c r="D91" s="74" t="s">
        <v>50</v>
      </c>
      <c r="E91" s="74" t="s">
        <v>72</v>
      </c>
      <c r="F91" s="74" t="s">
        <v>73</v>
      </c>
      <c r="G91" s="74" t="s">
        <v>193</v>
      </c>
      <c r="H91" s="74" t="s">
        <v>194</v>
      </c>
      <c r="I91" s="74" t="s">
        <v>194</v>
      </c>
      <c r="J91" s="74" t="s">
        <v>195</v>
      </c>
      <c r="K91" s="74" t="s">
        <v>366</v>
      </c>
      <c r="L91" s="75">
        <v>600</v>
      </c>
      <c r="M91" s="74" t="s">
        <v>367</v>
      </c>
      <c r="N91" s="74"/>
    </row>
    <row r="92" spans="1:14">
      <c r="A92" s="74" t="s">
        <v>26</v>
      </c>
      <c r="B92" s="74">
        <v>5</v>
      </c>
      <c r="C92" s="74" t="s">
        <v>171</v>
      </c>
      <c r="D92" s="74" t="s">
        <v>50</v>
      </c>
      <c r="E92" s="74" t="s">
        <v>74</v>
      </c>
      <c r="F92" s="74" t="s">
        <v>75</v>
      </c>
      <c r="G92" s="74" t="s">
        <v>193</v>
      </c>
      <c r="H92" s="74" t="s">
        <v>194</v>
      </c>
      <c r="I92" s="74" t="s">
        <v>194</v>
      </c>
      <c r="J92" s="74" t="s">
        <v>195</v>
      </c>
      <c r="K92" s="74" t="s">
        <v>366</v>
      </c>
      <c r="L92" s="75">
        <v>600</v>
      </c>
      <c r="M92" s="74" t="s">
        <v>367</v>
      </c>
      <c r="N92" s="74"/>
    </row>
    <row r="93" spans="1:14">
      <c r="A93" s="74" t="s">
        <v>26</v>
      </c>
      <c r="B93" s="74">
        <v>6</v>
      </c>
      <c r="C93" s="74" t="s">
        <v>171</v>
      </c>
      <c r="D93" s="74" t="s">
        <v>50</v>
      </c>
      <c r="E93" s="74" t="s">
        <v>76</v>
      </c>
      <c r="F93" s="74" t="s">
        <v>77</v>
      </c>
      <c r="G93" s="74" t="s">
        <v>193</v>
      </c>
      <c r="H93" s="74" t="s">
        <v>197</v>
      </c>
      <c r="I93" s="74" t="s">
        <v>197</v>
      </c>
      <c r="J93" s="74" t="s">
        <v>195</v>
      </c>
      <c r="K93" s="74" t="s">
        <v>366</v>
      </c>
      <c r="L93" s="75">
        <v>2400</v>
      </c>
      <c r="M93" s="74" t="s">
        <v>368</v>
      </c>
      <c r="N93" s="74"/>
    </row>
    <row r="94" spans="1:14">
      <c r="A94" s="74" t="s">
        <v>26</v>
      </c>
      <c r="B94" s="74">
        <v>7</v>
      </c>
      <c r="C94" s="74" t="s">
        <v>171</v>
      </c>
      <c r="D94" s="74" t="s">
        <v>50</v>
      </c>
      <c r="E94" s="74" t="s">
        <v>78</v>
      </c>
      <c r="F94" s="74" t="s">
        <v>79</v>
      </c>
      <c r="G94" s="74" t="s">
        <v>193</v>
      </c>
      <c r="H94" s="74" t="s">
        <v>199</v>
      </c>
      <c r="I94" s="74" t="s">
        <v>200</v>
      </c>
      <c r="J94" s="74" t="s">
        <v>201</v>
      </c>
      <c r="K94" s="74" t="s">
        <v>369</v>
      </c>
      <c r="L94" s="75">
        <v>5000</v>
      </c>
      <c r="M94" s="74" t="s">
        <v>370</v>
      </c>
      <c r="N94" s="74"/>
    </row>
    <row r="95" spans="1:14">
      <c r="A95" s="74" t="s">
        <v>26</v>
      </c>
      <c r="B95" s="74">
        <v>8</v>
      </c>
      <c r="C95" s="74" t="s">
        <v>171</v>
      </c>
      <c r="D95" s="74" t="s">
        <v>50</v>
      </c>
      <c r="E95" s="74" t="s">
        <v>80</v>
      </c>
      <c r="F95" s="74" t="s">
        <v>203</v>
      </c>
      <c r="G95" s="74" t="s">
        <v>193</v>
      </c>
      <c r="H95" s="74" t="s">
        <v>204</v>
      </c>
      <c r="I95" s="74" t="s">
        <v>204</v>
      </c>
      <c r="J95" s="74" t="s">
        <v>195</v>
      </c>
      <c r="K95" s="74" t="s">
        <v>366</v>
      </c>
      <c r="L95" s="75">
        <v>6000</v>
      </c>
      <c r="M95" s="74" t="s">
        <v>371</v>
      </c>
      <c r="N95" s="74"/>
    </row>
    <row r="96" spans="1:14">
      <c r="A96" s="74" t="s">
        <v>26</v>
      </c>
      <c r="B96" s="74">
        <v>9</v>
      </c>
      <c r="C96" s="74" t="s">
        <v>171</v>
      </c>
      <c r="D96" s="74" t="s">
        <v>50</v>
      </c>
      <c r="E96" s="74" t="s">
        <v>82</v>
      </c>
      <c r="F96" s="74" t="s">
        <v>83</v>
      </c>
      <c r="G96" s="74" t="s">
        <v>193</v>
      </c>
      <c r="H96" s="74" t="s">
        <v>206</v>
      </c>
      <c r="I96" s="74" t="s">
        <v>206</v>
      </c>
      <c r="J96" s="74" t="s">
        <v>195</v>
      </c>
      <c r="K96" s="74" t="s">
        <v>372</v>
      </c>
      <c r="L96" s="75">
        <v>21350</v>
      </c>
      <c r="M96" s="74" t="s">
        <v>373</v>
      </c>
      <c r="N96" s="74"/>
    </row>
    <row r="97" ht="31" spans="1:14">
      <c r="A97" s="74" t="s">
        <v>26</v>
      </c>
      <c r="B97" s="74">
        <v>10</v>
      </c>
      <c r="C97" s="74" t="s">
        <v>171</v>
      </c>
      <c r="D97" s="74" t="s">
        <v>50</v>
      </c>
      <c r="E97" s="74" t="s">
        <v>68</v>
      </c>
      <c r="F97" s="74" t="s">
        <v>69</v>
      </c>
      <c r="G97" s="74" t="s">
        <v>193</v>
      </c>
      <c r="H97" s="74" t="s">
        <v>208</v>
      </c>
      <c r="I97" s="74" t="s">
        <v>191</v>
      </c>
      <c r="J97" s="74" t="s">
        <v>188</v>
      </c>
      <c r="K97" s="74" t="s">
        <v>364</v>
      </c>
      <c r="L97" s="75">
        <v>8400</v>
      </c>
      <c r="M97" s="74" t="s">
        <v>374</v>
      </c>
      <c r="N97" s="74"/>
    </row>
    <row r="98" spans="1:14">
      <c r="A98" s="74" t="s">
        <v>26</v>
      </c>
      <c r="B98" s="74">
        <v>11</v>
      </c>
      <c r="C98" s="74" t="s">
        <v>171</v>
      </c>
      <c r="D98" s="74" t="s">
        <v>50</v>
      </c>
      <c r="E98" s="74" t="s">
        <v>84</v>
      </c>
      <c r="F98" s="74" t="s">
        <v>85</v>
      </c>
      <c r="G98" s="74" t="s">
        <v>193</v>
      </c>
      <c r="H98" s="74" t="s">
        <v>200</v>
      </c>
      <c r="I98" s="74" t="s">
        <v>200</v>
      </c>
      <c r="J98" s="74" t="s">
        <v>195</v>
      </c>
      <c r="K98" s="74" t="s">
        <v>375</v>
      </c>
      <c r="L98" s="75">
        <v>19200</v>
      </c>
      <c r="M98" s="74" t="s">
        <v>376</v>
      </c>
      <c r="N98" s="74"/>
    </row>
    <row r="99" spans="1:14">
      <c r="A99" s="74" t="s">
        <v>26</v>
      </c>
      <c r="B99" s="74">
        <v>12</v>
      </c>
      <c r="C99" s="74" t="s">
        <v>171</v>
      </c>
      <c r="D99" s="74" t="s">
        <v>50</v>
      </c>
      <c r="E99" s="74" t="s">
        <v>86</v>
      </c>
      <c r="F99" s="74" t="s">
        <v>212</v>
      </c>
      <c r="G99" s="74" t="s">
        <v>185</v>
      </c>
      <c r="H99" s="74" t="s">
        <v>186</v>
      </c>
      <c r="I99" s="74" t="s">
        <v>200</v>
      </c>
      <c r="J99" s="74" t="s">
        <v>188</v>
      </c>
      <c r="K99" s="74" t="s">
        <v>377</v>
      </c>
      <c r="L99" s="75">
        <v>1680</v>
      </c>
      <c r="M99" s="74" t="s">
        <v>378</v>
      </c>
      <c r="N99" s="74"/>
    </row>
    <row r="100" spans="1:14">
      <c r="A100" s="74" t="s">
        <v>26</v>
      </c>
      <c r="B100" s="74">
        <v>13</v>
      </c>
      <c r="C100" s="74" t="s">
        <v>171</v>
      </c>
      <c r="D100" s="74" t="s">
        <v>50</v>
      </c>
      <c r="E100" s="74" t="s">
        <v>88</v>
      </c>
      <c r="F100" s="74" t="s">
        <v>214</v>
      </c>
      <c r="G100" s="74" t="s">
        <v>193</v>
      </c>
      <c r="H100" s="74" t="s">
        <v>208</v>
      </c>
      <c r="I100" s="74" t="s">
        <v>200</v>
      </c>
      <c r="J100" s="74" t="s">
        <v>188</v>
      </c>
      <c r="K100" s="74" t="s">
        <v>379</v>
      </c>
      <c r="L100" s="75">
        <v>2004</v>
      </c>
      <c r="M100" s="74" t="s">
        <v>380</v>
      </c>
      <c r="N100" s="74"/>
    </row>
    <row r="101" ht="31" spans="1:14">
      <c r="A101" s="74" t="s">
        <v>26</v>
      </c>
      <c r="B101" s="74">
        <v>14</v>
      </c>
      <c r="C101" s="74" t="s">
        <v>171</v>
      </c>
      <c r="D101" s="74" t="s">
        <v>50</v>
      </c>
      <c r="E101" s="74" t="s">
        <v>90</v>
      </c>
      <c r="F101" s="74" t="s">
        <v>91</v>
      </c>
      <c r="G101" s="74" t="s">
        <v>193</v>
      </c>
      <c r="H101" s="74" t="s">
        <v>208</v>
      </c>
      <c r="I101" s="74" t="s">
        <v>204</v>
      </c>
      <c r="J101" s="74" t="s">
        <v>188</v>
      </c>
      <c r="K101" s="74" t="s">
        <v>381</v>
      </c>
      <c r="L101" s="75">
        <v>39996</v>
      </c>
      <c r="M101" s="74" t="s">
        <v>382</v>
      </c>
      <c r="N101" s="74" t="s">
        <v>218</v>
      </c>
    </row>
    <row r="102" spans="1:14">
      <c r="A102" s="74" t="s">
        <v>26</v>
      </c>
      <c r="B102" s="74">
        <v>15</v>
      </c>
      <c r="C102" s="74" t="s">
        <v>171</v>
      </c>
      <c r="D102" s="74" t="s">
        <v>50</v>
      </c>
      <c r="E102" s="74" t="s">
        <v>92</v>
      </c>
      <c r="F102" s="74" t="s">
        <v>220</v>
      </c>
      <c r="G102" s="74" t="s">
        <v>193</v>
      </c>
      <c r="H102" s="74" t="s">
        <v>221</v>
      </c>
      <c r="I102" s="74" t="s">
        <v>221</v>
      </c>
      <c r="J102" s="74" t="s">
        <v>195</v>
      </c>
      <c r="K102" s="74" t="s">
        <v>366</v>
      </c>
      <c r="L102" s="75">
        <v>6600</v>
      </c>
      <c r="M102" s="74" t="s">
        <v>383</v>
      </c>
      <c r="N102" s="74"/>
    </row>
    <row r="103" spans="1:14">
      <c r="A103" s="74" t="s">
        <v>26</v>
      </c>
      <c r="B103" s="74">
        <v>16</v>
      </c>
      <c r="C103" s="74" t="s">
        <v>171</v>
      </c>
      <c r="D103" s="74" t="s">
        <v>50</v>
      </c>
      <c r="E103" s="74" t="s">
        <v>94</v>
      </c>
      <c r="F103" s="74" t="s">
        <v>224</v>
      </c>
      <c r="G103" s="74" t="s">
        <v>193</v>
      </c>
      <c r="H103" s="74" t="s">
        <v>208</v>
      </c>
      <c r="I103" s="74" t="s">
        <v>191</v>
      </c>
      <c r="J103" s="74" t="s">
        <v>188</v>
      </c>
      <c r="K103" s="74" t="s">
        <v>339</v>
      </c>
      <c r="L103" s="75">
        <v>6000</v>
      </c>
      <c r="M103" s="74" t="s">
        <v>225</v>
      </c>
      <c r="N103" s="74"/>
    </row>
    <row r="104" spans="1:14">
      <c r="A104" s="74" t="s">
        <v>26</v>
      </c>
      <c r="B104" s="74">
        <v>17</v>
      </c>
      <c r="C104" s="74" t="s">
        <v>171</v>
      </c>
      <c r="D104" s="74" t="s">
        <v>50</v>
      </c>
      <c r="E104" s="74" t="s">
        <v>96</v>
      </c>
      <c r="F104" s="74" t="s">
        <v>97</v>
      </c>
      <c r="G104" s="74" t="s">
        <v>193</v>
      </c>
      <c r="H104" s="74" t="s">
        <v>226</v>
      </c>
      <c r="I104" s="74" t="s">
        <v>227</v>
      </c>
      <c r="J104" s="74" t="s">
        <v>201</v>
      </c>
      <c r="K104" s="74" t="s">
        <v>340</v>
      </c>
      <c r="L104" s="75">
        <v>6000</v>
      </c>
      <c r="M104" s="74" t="s">
        <v>341</v>
      </c>
      <c r="N104" s="74"/>
    </row>
    <row r="105" ht="31" spans="1:14">
      <c r="A105" s="74" t="s">
        <v>26</v>
      </c>
      <c r="B105" s="74">
        <v>18</v>
      </c>
      <c r="C105" s="74" t="s">
        <v>171</v>
      </c>
      <c r="D105" s="74" t="s">
        <v>50</v>
      </c>
      <c r="E105" s="74" t="s">
        <v>68</v>
      </c>
      <c r="F105" s="74" t="s">
        <v>69</v>
      </c>
      <c r="G105" s="74" t="s">
        <v>193</v>
      </c>
      <c r="H105" s="74" t="s">
        <v>208</v>
      </c>
      <c r="I105" s="74" t="s">
        <v>191</v>
      </c>
      <c r="J105" s="74" t="s">
        <v>188</v>
      </c>
      <c r="K105" s="74" t="s">
        <v>364</v>
      </c>
      <c r="L105" s="75">
        <v>8400</v>
      </c>
      <c r="M105" s="74" t="s">
        <v>374</v>
      </c>
      <c r="N105" s="74"/>
    </row>
    <row r="106" spans="1:14">
      <c r="A106" s="70" t="s">
        <v>304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</row>
    <row r="107" spans="1:14">
      <c r="A107" s="72" t="s">
        <v>53</v>
      </c>
      <c r="B107" s="72" t="s">
        <v>54</v>
      </c>
      <c r="C107" s="72" t="s">
        <v>174</v>
      </c>
      <c r="D107" s="72" t="s">
        <v>325</v>
      </c>
      <c r="E107" s="72" t="s">
        <v>55</v>
      </c>
      <c r="F107" s="72" t="s">
        <v>56</v>
      </c>
      <c r="G107" s="72" t="s">
        <v>175</v>
      </c>
      <c r="H107" s="72" t="s">
        <v>176</v>
      </c>
      <c r="I107" s="72" t="s">
        <v>177</v>
      </c>
      <c r="J107" s="72" t="s">
        <v>178</v>
      </c>
      <c r="K107" s="72" t="s">
        <v>326</v>
      </c>
      <c r="L107" s="73" t="s">
        <v>327</v>
      </c>
      <c r="M107" s="72" t="s">
        <v>183</v>
      </c>
      <c r="N107" s="72" t="s">
        <v>184</v>
      </c>
    </row>
    <row r="108" ht="31" spans="1:14">
      <c r="A108" s="74" t="s">
        <v>27</v>
      </c>
      <c r="B108" s="74">
        <v>2</v>
      </c>
      <c r="C108" s="74" t="s">
        <v>171</v>
      </c>
      <c r="D108" s="74" t="s">
        <v>100</v>
      </c>
      <c r="E108" s="74" t="s">
        <v>68</v>
      </c>
      <c r="F108" s="74" t="s">
        <v>69</v>
      </c>
      <c r="G108" s="74" t="s">
        <v>233</v>
      </c>
      <c r="H108" s="74" t="s">
        <v>208</v>
      </c>
      <c r="I108" s="74" t="s">
        <v>191</v>
      </c>
      <c r="J108" s="74" t="s">
        <v>188</v>
      </c>
      <c r="K108" s="74" t="s">
        <v>364</v>
      </c>
      <c r="L108" s="75">
        <v>8400</v>
      </c>
      <c r="M108" s="74" t="s">
        <v>374</v>
      </c>
      <c r="N108" s="74"/>
    </row>
    <row r="109" ht="46" spans="1:14">
      <c r="A109" s="74" t="s">
        <v>27</v>
      </c>
      <c r="B109" s="74">
        <v>3</v>
      </c>
      <c r="C109" s="74" t="s">
        <v>171</v>
      </c>
      <c r="D109" s="74" t="s">
        <v>100</v>
      </c>
      <c r="E109" s="74" t="s">
        <v>101</v>
      </c>
      <c r="F109" s="74" t="s">
        <v>102</v>
      </c>
      <c r="G109" s="74" t="s">
        <v>233</v>
      </c>
      <c r="H109" s="74" t="s">
        <v>234</v>
      </c>
      <c r="I109" s="74" t="s">
        <v>227</v>
      </c>
      <c r="J109" s="74" t="s">
        <v>188</v>
      </c>
      <c r="K109" s="74" t="s">
        <v>364</v>
      </c>
      <c r="L109" s="75">
        <v>7700</v>
      </c>
      <c r="M109" s="74" t="s">
        <v>384</v>
      </c>
      <c r="N109" s="74" t="s">
        <v>236</v>
      </c>
    </row>
    <row r="110" ht="31" spans="1:14">
      <c r="A110" s="74" t="s">
        <v>27</v>
      </c>
      <c r="B110" s="74">
        <v>4</v>
      </c>
      <c r="C110" s="74" t="s">
        <v>171</v>
      </c>
      <c r="D110" s="74" t="s">
        <v>100</v>
      </c>
      <c r="E110" s="74" t="s">
        <v>104</v>
      </c>
      <c r="F110" s="74" t="s">
        <v>105</v>
      </c>
      <c r="G110" s="74" t="s">
        <v>233</v>
      </c>
      <c r="H110" s="74" t="s">
        <v>208</v>
      </c>
      <c r="I110" s="74" t="s">
        <v>187</v>
      </c>
      <c r="J110" s="74" t="s">
        <v>188</v>
      </c>
      <c r="K110" s="74" t="s">
        <v>385</v>
      </c>
      <c r="L110" s="75">
        <v>27500</v>
      </c>
      <c r="M110" s="74" t="s">
        <v>386</v>
      </c>
      <c r="N110" s="74" t="s">
        <v>238</v>
      </c>
    </row>
    <row r="111" ht="31" spans="1:14">
      <c r="A111" s="74" t="s">
        <v>27</v>
      </c>
      <c r="B111" s="74">
        <v>5</v>
      </c>
      <c r="C111" s="74" t="s">
        <v>171</v>
      </c>
      <c r="D111" s="74" t="s">
        <v>100</v>
      </c>
      <c r="E111" s="74" t="s">
        <v>68</v>
      </c>
      <c r="F111" s="74" t="s">
        <v>69</v>
      </c>
      <c r="G111" s="74" t="s">
        <v>233</v>
      </c>
      <c r="H111" s="74" t="s">
        <v>208</v>
      </c>
      <c r="I111" s="74" t="s">
        <v>191</v>
      </c>
      <c r="J111" s="74" t="s">
        <v>188</v>
      </c>
      <c r="K111" s="74" t="s">
        <v>364</v>
      </c>
      <c r="L111" s="75">
        <v>8400</v>
      </c>
      <c r="M111" s="74" t="s">
        <v>374</v>
      </c>
      <c r="N111" s="74"/>
    </row>
    <row r="112" spans="1:14">
      <c r="A112" s="70" t="s">
        <v>305</v>
      </c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</row>
    <row r="113" spans="1:14">
      <c r="A113" s="72" t="s">
        <v>53</v>
      </c>
      <c r="B113" s="72" t="s">
        <v>54</v>
      </c>
      <c r="C113" s="72" t="s">
        <v>174</v>
      </c>
      <c r="D113" s="72" t="s">
        <v>325</v>
      </c>
      <c r="E113" s="72" t="s">
        <v>55</v>
      </c>
      <c r="F113" s="72" t="s">
        <v>56</v>
      </c>
      <c r="G113" s="72" t="s">
        <v>175</v>
      </c>
      <c r="H113" s="72" t="s">
        <v>176</v>
      </c>
      <c r="I113" s="72" t="s">
        <v>177</v>
      </c>
      <c r="J113" s="72" t="s">
        <v>178</v>
      </c>
      <c r="K113" s="72" t="s">
        <v>326</v>
      </c>
      <c r="L113" s="73" t="s">
        <v>327</v>
      </c>
      <c r="M113" s="72" t="s">
        <v>183</v>
      </c>
      <c r="N113" s="72" t="s">
        <v>184</v>
      </c>
    </row>
    <row r="114" ht="31" spans="1:14">
      <c r="A114" s="74" t="s">
        <v>30</v>
      </c>
      <c r="B114" s="74">
        <v>2</v>
      </c>
      <c r="C114" s="74" t="s">
        <v>171</v>
      </c>
      <c r="D114" s="74" t="s">
        <v>107</v>
      </c>
      <c r="E114" s="74" t="s">
        <v>68</v>
      </c>
      <c r="F114" s="74" t="s">
        <v>69</v>
      </c>
      <c r="G114" s="74" t="s">
        <v>241</v>
      </c>
      <c r="H114" s="74" t="s">
        <v>242</v>
      </c>
      <c r="I114" s="74" t="s">
        <v>191</v>
      </c>
      <c r="J114" s="74" t="s">
        <v>188</v>
      </c>
      <c r="K114" s="74" t="s">
        <v>364</v>
      </c>
      <c r="L114" s="75">
        <v>4200</v>
      </c>
      <c r="M114" s="74" t="s">
        <v>387</v>
      </c>
      <c r="N114" s="74"/>
    </row>
    <row r="115" spans="1:14">
      <c r="A115" s="74" t="s">
        <v>30</v>
      </c>
      <c r="B115" s="74">
        <v>3</v>
      </c>
      <c r="C115" s="74" t="s">
        <v>171</v>
      </c>
      <c r="D115" s="74" t="s">
        <v>107</v>
      </c>
      <c r="E115" s="74" t="s">
        <v>82</v>
      </c>
      <c r="F115" s="74" t="s">
        <v>83</v>
      </c>
      <c r="G115" s="74" t="s">
        <v>241</v>
      </c>
      <c r="H115" s="74" t="s">
        <v>206</v>
      </c>
      <c r="I115" s="74" t="s">
        <v>206</v>
      </c>
      <c r="J115" s="74" t="s">
        <v>195</v>
      </c>
      <c r="K115" s="74" t="s">
        <v>372</v>
      </c>
      <c r="L115" s="75">
        <v>21350</v>
      </c>
      <c r="M115" s="74" t="s">
        <v>373</v>
      </c>
      <c r="N115" s="74"/>
    </row>
    <row r="116" spans="1:14">
      <c r="A116" s="74" t="s">
        <v>30</v>
      </c>
      <c r="B116" s="74">
        <v>4</v>
      </c>
      <c r="C116" s="74" t="s">
        <v>171</v>
      </c>
      <c r="D116" s="74" t="s">
        <v>107</v>
      </c>
      <c r="E116" s="74" t="s">
        <v>84</v>
      </c>
      <c r="F116" s="74" t="s">
        <v>85</v>
      </c>
      <c r="G116" s="74" t="s">
        <v>241</v>
      </c>
      <c r="H116" s="74" t="s">
        <v>194</v>
      </c>
      <c r="I116" s="74" t="s">
        <v>194</v>
      </c>
      <c r="J116" s="74" t="s">
        <v>195</v>
      </c>
      <c r="K116" s="74" t="s">
        <v>375</v>
      </c>
      <c r="L116" s="75">
        <v>9600</v>
      </c>
      <c r="M116" s="74" t="s">
        <v>388</v>
      </c>
      <c r="N116" s="74"/>
    </row>
    <row r="117" spans="1:14">
      <c r="A117" s="74" t="s">
        <v>30</v>
      </c>
      <c r="B117" s="74">
        <v>5</v>
      </c>
      <c r="C117" s="74" t="s">
        <v>171</v>
      </c>
      <c r="D117" s="74" t="s">
        <v>107</v>
      </c>
      <c r="E117" s="74" t="s">
        <v>96</v>
      </c>
      <c r="F117" s="74" t="s">
        <v>97</v>
      </c>
      <c r="G117" s="74" t="s">
        <v>241</v>
      </c>
      <c r="H117" s="74" t="s">
        <v>246</v>
      </c>
      <c r="I117" s="74" t="s">
        <v>200</v>
      </c>
      <c r="J117" s="74" t="s">
        <v>201</v>
      </c>
      <c r="K117" s="74" t="s">
        <v>340</v>
      </c>
      <c r="L117" s="75">
        <v>3000</v>
      </c>
      <c r="M117" s="74" t="s">
        <v>345</v>
      </c>
      <c r="N117" s="74"/>
    </row>
    <row r="118" ht="46" spans="1:14">
      <c r="A118" s="74" t="s">
        <v>30</v>
      </c>
      <c r="B118" s="74">
        <v>6</v>
      </c>
      <c r="C118" s="74" t="s">
        <v>171</v>
      </c>
      <c r="D118" s="74" t="s">
        <v>107</v>
      </c>
      <c r="E118" s="74" t="s">
        <v>109</v>
      </c>
      <c r="F118" s="74" t="s">
        <v>110</v>
      </c>
      <c r="G118" s="74" t="s">
        <v>241</v>
      </c>
      <c r="H118" s="74" t="s">
        <v>248</v>
      </c>
      <c r="I118" s="74" t="s">
        <v>248</v>
      </c>
      <c r="J118" s="74" t="s">
        <v>195</v>
      </c>
      <c r="K118" s="74" t="s">
        <v>389</v>
      </c>
      <c r="L118" s="75">
        <v>6488</v>
      </c>
      <c r="M118" s="74" t="s">
        <v>390</v>
      </c>
      <c r="N118" s="74" t="s">
        <v>249</v>
      </c>
    </row>
    <row r="119" ht="31" spans="1:14">
      <c r="A119" s="74" t="s">
        <v>30</v>
      </c>
      <c r="B119" s="74">
        <v>7</v>
      </c>
      <c r="C119" s="74" t="s">
        <v>171</v>
      </c>
      <c r="D119" s="74" t="s">
        <v>107</v>
      </c>
      <c r="E119" s="74" t="s">
        <v>68</v>
      </c>
      <c r="F119" s="74" t="s">
        <v>69</v>
      </c>
      <c r="G119" s="74" t="s">
        <v>241</v>
      </c>
      <c r="H119" s="74" t="s">
        <v>242</v>
      </c>
      <c r="I119" s="74" t="s">
        <v>200</v>
      </c>
      <c r="J119" s="74" t="s">
        <v>188</v>
      </c>
      <c r="K119" s="74" t="s">
        <v>364</v>
      </c>
      <c r="L119" s="75">
        <v>4200</v>
      </c>
      <c r="M119" s="74" t="s">
        <v>387</v>
      </c>
      <c r="N119" s="74"/>
    </row>
    <row r="120" spans="1:14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5"/>
      <c r="M120" s="74"/>
      <c r="N120" s="74"/>
    </row>
    <row r="121" spans="1:14">
      <c r="A121" s="70" t="s">
        <v>306</v>
      </c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</row>
    <row r="122" spans="1:14">
      <c r="A122" s="72" t="s">
        <v>53</v>
      </c>
      <c r="B122" s="72" t="s">
        <v>54</v>
      </c>
      <c r="C122" s="72" t="s">
        <v>174</v>
      </c>
      <c r="D122" s="72" t="s">
        <v>325</v>
      </c>
      <c r="E122" s="72" t="s">
        <v>55</v>
      </c>
      <c r="F122" s="72" t="s">
        <v>56</v>
      </c>
      <c r="G122" s="72" t="s">
        <v>175</v>
      </c>
      <c r="H122" s="72" t="s">
        <v>176</v>
      </c>
      <c r="I122" s="72" t="s">
        <v>177</v>
      </c>
      <c r="J122" s="72" t="s">
        <v>178</v>
      </c>
      <c r="K122" s="72" t="s">
        <v>326</v>
      </c>
      <c r="L122" s="73" t="s">
        <v>327</v>
      </c>
      <c r="M122" s="72" t="s">
        <v>183</v>
      </c>
      <c r="N122" s="72" t="s">
        <v>184</v>
      </c>
    </row>
    <row r="123" ht="31" spans="1:14">
      <c r="A123" s="74" t="s">
        <v>31</v>
      </c>
      <c r="B123" s="74">
        <v>2</v>
      </c>
      <c r="C123" s="74" t="s">
        <v>171</v>
      </c>
      <c r="D123" s="74" t="s">
        <v>111</v>
      </c>
      <c r="E123" s="74" t="s">
        <v>68</v>
      </c>
      <c r="F123" s="74" t="s">
        <v>69</v>
      </c>
      <c r="G123" s="74" t="s">
        <v>252</v>
      </c>
      <c r="H123" s="74" t="s">
        <v>242</v>
      </c>
      <c r="I123" s="74" t="s">
        <v>191</v>
      </c>
      <c r="J123" s="74" t="s">
        <v>188</v>
      </c>
      <c r="K123" s="74" t="s">
        <v>364</v>
      </c>
      <c r="L123" s="75">
        <v>4200</v>
      </c>
      <c r="M123" s="74" t="s">
        <v>387</v>
      </c>
      <c r="N123" s="74"/>
    </row>
    <row r="124" ht="31" spans="1:14">
      <c r="A124" s="74" t="s">
        <v>31</v>
      </c>
      <c r="B124" s="74">
        <v>3</v>
      </c>
      <c r="C124" s="74" t="s">
        <v>171</v>
      </c>
      <c r="D124" s="74" t="s">
        <v>111</v>
      </c>
      <c r="E124" s="74" t="s">
        <v>112</v>
      </c>
      <c r="F124" s="74" t="s">
        <v>113</v>
      </c>
      <c r="G124" s="74" t="s">
        <v>252</v>
      </c>
      <c r="H124" s="74" t="s">
        <v>253</v>
      </c>
      <c r="I124" s="74" t="s">
        <v>253</v>
      </c>
      <c r="J124" s="74" t="s">
        <v>195</v>
      </c>
      <c r="K124" s="74" t="s">
        <v>391</v>
      </c>
      <c r="L124" s="75">
        <v>120000</v>
      </c>
      <c r="M124" s="74" t="s">
        <v>254</v>
      </c>
      <c r="N124" s="74" t="s">
        <v>255</v>
      </c>
    </row>
    <row r="125" ht="31" spans="1:14">
      <c r="A125" s="74" t="s">
        <v>31</v>
      </c>
      <c r="B125" s="74">
        <v>4</v>
      </c>
      <c r="C125" s="74" t="s">
        <v>171</v>
      </c>
      <c r="D125" s="74" t="s">
        <v>111</v>
      </c>
      <c r="E125" s="74" t="s">
        <v>68</v>
      </c>
      <c r="F125" s="74" t="s">
        <v>69</v>
      </c>
      <c r="G125" s="74" t="s">
        <v>252</v>
      </c>
      <c r="H125" s="74" t="s">
        <v>242</v>
      </c>
      <c r="I125" s="74" t="s">
        <v>200</v>
      </c>
      <c r="J125" s="74" t="s">
        <v>188</v>
      </c>
      <c r="K125" s="74" t="s">
        <v>364</v>
      </c>
      <c r="L125" s="75">
        <v>4200</v>
      </c>
      <c r="M125" s="74" t="s">
        <v>387</v>
      </c>
      <c r="N125" s="74"/>
    </row>
    <row r="126" spans="1:14">
      <c r="A126" s="70" t="s">
        <v>307</v>
      </c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</row>
    <row r="127" spans="1:14">
      <c r="A127" s="72" t="s">
        <v>53</v>
      </c>
      <c r="B127" s="72" t="s">
        <v>54</v>
      </c>
      <c r="C127" s="72" t="s">
        <v>174</v>
      </c>
      <c r="D127" s="72" t="s">
        <v>325</v>
      </c>
      <c r="E127" s="72" t="s">
        <v>55</v>
      </c>
      <c r="F127" s="72" t="s">
        <v>56</v>
      </c>
      <c r="G127" s="72" t="s">
        <v>175</v>
      </c>
      <c r="H127" s="72" t="s">
        <v>176</v>
      </c>
      <c r="I127" s="72" t="s">
        <v>177</v>
      </c>
      <c r="J127" s="72" t="s">
        <v>178</v>
      </c>
      <c r="K127" s="72" t="s">
        <v>326</v>
      </c>
      <c r="L127" s="73" t="s">
        <v>327</v>
      </c>
      <c r="M127" s="72" t="s">
        <v>183</v>
      </c>
      <c r="N127" s="72" t="s">
        <v>184</v>
      </c>
    </row>
    <row r="128" ht="31" spans="1:14">
      <c r="A128" s="74" t="s">
        <v>32</v>
      </c>
      <c r="B128" s="74">
        <v>2</v>
      </c>
      <c r="C128" s="74" t="s">
        <v>171</v>
      </c>
      <c r="D128" s="74" t="s">
        <v>114</v>
      </c>
      <c r="E128" s="74" t="s">
        <v>68</v>
      </c>
      <c r="F128" s="74" t="s">
        <v>69</v>
      </c>
      <c r="G128" s="74" t="s">
        <v>258</v>
      </c>
      <c r="H128" s="74" t="s">
        <v>242</v>
      </c>
      <c r="I128" s="74" t="s">
        <v>191</v>
      </c>
      <c r="J128" s="74" t="s">
        <v>188</v>
      </c>
      <c r="K128" s="74" t="s">
        <v>364</v>
      </c>
      <c r="L128" s="75">
        <v>4200</v>
      </c>
      <c r="M128" s="74" t="s">
        <v>387</v>
      </c>
      <c r="N128" s="74"/>
    </row>
    <row r="129" ht="31" spans="1:14">
      <c r="A129" s="74" t="s">
        <v>32</v>
      </c>
      <c r="B129" s="74">
        <v>3</v>
      </c>
      <c r="C129" s="74" t="s">
        <v>171</v>
      </c>
      <c r="D129" s="74" t="s">
        <v>114</v>
      </c>
      <c r="E129" s="74" t="s">
        <v>115</v>
      </c>
      <c r="F129" s="74" t="s">
        <v>116</v>
      </c>
      <c r="G129" s="74" t="s">
        <v>258</v>
      </c>
      <c r="H129" s="74" t="s">
        <v>194</v>
      </c>
      <c r="I129" s="74" t="s">
        <v>194</v>
      </c>
      <c r="J129" s="74" t="s">
        <v>195</v>
      </c>
      <c r="K129" s="74" t="s">
        <v>375</v>
      </c>
      <c r="L129" s="75">
        <v>9600</v>
      </c>
      <c r="M129" s="74" t="s">
        <v>388</v>
      </c>
      <c r="N129" s="74"/>
    </row>
    <row r="130" ht="31" spans="1:14">
      <c r="A130" s="74" t="s">
        <v>32</v>
      </c>
      <c r="B130" s="74">
        <v>4</v>
      </c>
      <c r="C130" s="74" t="s">
        <v>171</v>
      </c>
      <c r="D130" s="74" t="s">
        <v>114</v>
      </c>
      <c r="E130" s="74" t="s">
        <v>68</v>
      </c>
      <c r="F130" s="74" t="s">
        <v>69</v>
      </c>
      <c r="G130" s="74" t="s">
        <v>258</v>
      </c>
      <c r="H130" s="74" t="s">
        <v>242</v>
      </c>
      <c r="I130" s="74" t="s">
        <v>200</v>
      </c>
      <c r="J130" s="74" t="s">
        <v>188</v>
      </c>
      <c r="K130" s="74" t="s">
        <v>364</v>
      </c>
      <c r="L130" s="75">
        <v>4200</v>
      </c>
      <c r="M130" s="74" t="s">
        <v>387</v>
      </c>
      <c r="N130" s="74"/>
    </row>
    <row r="131" spans="1:14">
      <c r="A131" s="70" t="s">
        <v>308</v>
      </c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</row>
    <row r="132" spans="1:14">
      <c r="A132" s="72" t="s">
        <v>53</v>
      </c>
      <c r="B132" s="72" t="s">
        <v>54</v>
      </c>
      <c r="C132" s="72" t="s">
        <v>174</v>
      </c>
      <c r="D132" s="72" t="s">
        <v>325</v>
      </c>
      <c r="E132" s="72" t="s">
        <v>55</v>
      </c>
      <c r="F132" s="72" t="s">
        <v>56</v>
      </c>
      <c r="G132" s="72" t="s">
        <v>175</v>
      </c>
      <c r="H132" s="72" t="s">
        <v>176</v>
      </c>
      <c r="I132" s="72" t="s">
        <v>177</v>
      </c>
      <c r="J132" s="72" t="s">
        <v>178</v>
      </c>
      <c r="K132" s="72" t="s">
        <v>326</v>
      </c>
      <c r="L132" s="73" t="s">
        <v>327</v>
      </c>
      <c r="M132" s="72" t="s">
        <v>183</v>
      </c>
      <c r="N132" s="72" t="s">
        <v>184</v>
      </c>
    </row>
    <row r="133" ht="31" spans="1:14">
      <c r="A133" s="74" t="s">
        <v>33</v>
      </c>
      <c r="B133" s="74">
        <v>1</v>
      </c>
      <c r="C133" s="74" t="s">
        <v>171</v>
      </c>
      <c r="D133" s="74" t="s">
        <v>350</v>
      </c>
      <c r="E133" s="74" t="s">
        <v>68</v>
      </c>
      <c r="F133" s="74" t="s">
        <v>69</v>
      </c>
      <c r="G133" s="74" t="s">
        <v>262</v>
      </c>
      <c r="H133" s="74" t="s">
        <v>263</v>
      </c>
      <c r="I133" s="74" t="s">
        <v>191</v>
      </c>
      <c r="J133" s="74" t="s">
        <v>188</v>
      </c>
      <c r="K133" s="74" t="s">
        <v>364</v>
      </c>
      <c r="L133" s="75">
        <v>5600</v>
      </c>
      <c r="M133" s="74" t="s">
        <v>392</v>
      </c>
      <c r="N133" s="74"/>
    </row>
    <row r="134" ht="31" spans="1:14">
      <c r="A134" s="74" t="s">
        <v>33</v>
      </c>
      <c r="B134" s="74">
        <v>2</v>
      </c>
      <c r="C134" s="74" t="s">
        <v>171</v>
      </c>
      <c r="D134" s="74" t="s">
        <v>350</v>
      </c>
      <c r="E134" s="74" t="s">
        <v>118</v>
      </c>
      <c r="F134" s="74" t="s">
        <v>119</v>
      </c>
      <c r="G134" s="74" t="s">
        <v>262</v>
      </c>
      <c r="H134" s="74" t="s">
        <v>265</v>
      </c>
      <c r="I134" s="74" t="s">
        <v>265</v>
      </c>
      <c r="J134" s="74" t="s">
        <v>195</v>
      </c>
      <c r="K134" s="74" t="s">
        <v>393</v>
      </c>
      <c r="L134" s="75">
        <v>50850</v>
      </c>
      <c r="M134" s="74" t="s">
        <v>266</v>
      </c>
      <c r="N134" s="74"/>
    </row>
    <row r="135" ht="31" spans="1:14">
      <c r="A135" s="74" t="s">
        <v>33</v>
      </c>
      <c r="B135" s="74">
        <v>3</v>
      </c>
      <c r="C135" s="74" t="s">
        <v>171</v>
      </c>
      <c r="D135" s="74" t="s">
        <v>350</v>
      </c>
      <c r="E135" s="74" t="s">
        <v>68</v>
      </c>
      <c r="F135" s="74" t="s">
        <v>69</v>
      </c>
      <c r="G135" s="74" t="s">
        <v>262</v>
      </c>
      <c r="H135" s="74" t="s">
        <v>263</v>
      </c>
      <c r="I135" s="74" t="s">
        <v>200</v>
      </c>
      <c r="J135" s="74" t="s">
        <v>188</v>
      </c>
      <c r="K135" s="74" t="s">
        <v>364</v>
      </c>
      <c r="L135" s="75">
        <v>5600</v>
      </c>
      <c r="M135" s="74" t="s">
        <v>392</v>
      </c>
      <c r="N135" s="74"/>
    </row>
    <row r="136" ht="46" spans="1:14">
      <c r="A136" s="74" t="s">
        <v>33</v>
      </c>
      <c r="B136" s="74">
        <v>5</v>
      </c>
      <c r="C136" s="74" t="s">
        <v>171</v>
      </c>
      <c r="D136" s="74" t="s">
        <v>350</v>
      </c>
      <c r="E136" s="74" t="s">
        <v>121</v>
      </c>
      <c r="F136" s="74" t="s">
        <v>121</v>
      </c>
      <c r="G136" s="74" t="s">
        <v>262</v>
      </c>
      <c r="H136" s="74" t="s">
        <v>267</v>
      </c>
      <c r="I136" s="74" t="s">
        <v>268</v>
      </c>
      <c r="J136" s="74" t="s">
        <v>269</v>
      </c>
      <c r="K136" s="74" t="s">
        <v>394</v>
      </c>
      <c r="L136" s="75">
        <v>16500</v>
      </c>
      <c r="M136" s="74" t="s">
        <v>395</v>
      </c>
      <c r="N136" s="74" t="s">
        <v>271</v>
      </c>
    </row>
    <row r="137" spans="1:14">
      <c r="A137" s="70" t="s">
        <v>309</v>
      </c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</row>
    <row r="138" spans="1:14">
      <c r="A138" s="72" t="s">
        <v>53</v>
      </c>
      <c r="B138" s="72" t="s">
        <v>54</v>
      </c>
      <c r="C138" s="72" t="s">
        <v>174</v>
      </c>
      <c r="D138" s="72" t="s">
        <v>325</v>
      </c>
      <c r="E138" s="72" t="s">
        <v>55</v>
      </c>
      <c r="F138" s="72" t="s">
        <v>56</v>
      </c>
      <c r="G138" s="72" t="s">
        <v>175</v>
      </c>
      <c r="H138" s="72" t="s">
        <v>176</v>
      </c>
      <c r="I138" s="72" t="s">
        <v>177</v>
      </c>
      <c r="J138" s="72" t="s">
        <v>178</v>
      </c>
      <c r="K138" s="72" t="s">
        <v>326</v>
      </c>
      <c r="L138" s="73" t="s">
        <v>327</v>
      </c>
      <c r="M138" s="72" t="s">
        <v>183</v>
      </c>
      <c r="N138" s="72" t="s">
        <v>184</v>
      </c>
    </row>
    <row r="139" ht="31" spans="1:14">
      <c r="A139" s="74" t="s">
        <v>35</v>
      </c>
      <c r="B139" s="74">
        <v>1</v>
      </c>
      <c r="C139" s="74" t="s">
        <v>171</v>
      </c>
      <c r="D139" s="74" t="s">
        <v>354</v>
      </c>
      <c r="E139" s="74" t="s">
        <v>68</v>
      </c>
      <c r="F139" s="74" t="s">
        <v>69</v>
      </c>
      <c r="G139" s="74" t="s">
        <v>274</v>
      </c>
      <c r="H139" s="74" t="s">
        <v>242</v>
      </c>
      <c r="I139" s="74" t="s">
        <v>191</v>
      </c>
      <c r="J139" s="74" t="s">
        <v>188</v>
      </c>
      <c r="K139" s="74" t="s">
        <v>364</v>
      </c>
      <c r="L139" s="75">
        <v>4200</v>
      </c>
      <c r="M139" s="74" t="s">
        <v>387</v>
      </c>
      <c r="N139" s="74"/>
    </row>
    <row r="140" ht="31" spans="1:14">
      <c r="A140" s="74" t="s">
        <v>35</v>
      </c>
      <c r="B140" s="74">
        <v>2</v>
      </c>
      <c r="C140" s="74" t="s">
        <v>171</v>
      </c>
      <c r="D140" s="74" t="s">
        <v>354</v>
      </c>
      <c r="E140" s="74" t="s">
        <v>123</v>
      </c>
      <c r="F140" s="74" t="s">
        <v>124</v>
      </c>
      <c r="G140" s="74" t="s">
        <v>274</v>
      </c>
      <c r="H140" s="74" t="s">
        <v>199</v>
      </c>
      <c r="I140" s="74" t="s">
        <v>200</v>
      </c>
      <c r="J140" s="74" t="s">
        <v>201</v>
      </c>
      <c r="K140" s="74" t="s">
        <v>369</v>
      </c>
      <c r="L140" s="75">
        <v>5000</v>
      </c>
      <c r="M140" s="74" t="s">
        <v>370</v>
      </c>
      <c r="N140" s="74"/>
    </row>
    <row r="141" ht="31" spans="1:14">
      <c r="A141" s="74" t="s">
        <v>35</v>
      </c>
      <c r="B141" s="74">
        <v>3</v>
      </c>
      <c r="C141" s="74" t="s">
        <v>171</v>
      </c>
      <c r="D141" s="74" t="s">
        <v>354</v>
      </c>
      <c r="E141" s="74" t="s">
        <v>68</v>
      </c>
      <c r="F141" s="74" t="s">
        <v>69</v>
      </c>
      <c r="G141" s="74" t="s">
        <v>274</v>
      </c>
      <c r="H141" s="74" t="s">
        <v>242</v>
      </c>
      <c r="I141" s="74" t="s">
        <v>200</v>
      </c>
      <c r="J141" s="74" t="s">
        <v>188</v>
      </c>
      <c r="K141" s="74" t="s">
        <v>364</v>
      </c>
      <c r="L141" s="75">
        <v>4200</v>
      </c>
      <c r="M141" s="74" t="s">
        <v>387</v>
      </c>
      <c r="N141" s="74"/>
    </row>
    <row r="142" spans="1:14">
      <c r="A142" s="70" t="s">
        <v>310</v>
      </c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</row>
    <row r="143" spans="1:14">
      <c r="A143" s="72" t="s">
        <v>53</v>
      </c>
      <c r="B143" s="72" t="s">
        <v>54</v>
      </c>
      <c r="C143" s="72" t="s">
        <v>174</v>
      </c>
      <c r="D143" s="72" t="s">
        <v>325</v>
      </c>
      <c r="E143" s="72" t="s">
        <v>55</v>
      </c>
      <c r="F143" s="72" t="s">
        <v>56</v>
      </c>
      <c r="G143" s="72" t="s">
        <v>175</v>
      </c>
      <c r="H143" s="72" t="s">
        <v>176</v>
      </c>
      <c r="I143" s="72" t="s">
        <v>177</v>
      </c>
      <c r="J143" s="72" t="s">
        <v>178</v>
      </c>
      <c r="K143" s="72" t="s">
        <v>326</v>
      </c>
      <c r="L143" s="73" t="s">
        <v>327</v>
      </c>
      <c r="M143" s="72" t="s">
        <v>183</v>
      </c>
      <c r="N143" s="72" t="s">
        <v>184</v>
      </c>
    </row>
    <row r="144" ht="31" spans="1:14">
      <c r="A144" s="74" t="s">
        <v>37</v>
      </c>
      <c r="B144" s="74">
        <v>2</v>
      </c>
      <c r="C144" s="74" t="s">
        <v>171</v>
      </c>
      <c r="D144" s="74" t="s">
        <v>126</v>
      </c>
      <c r="E144" s="74" t="s">
        <v>68</v>
      </c>
      <c r="F144" s="74" t="s">
        <v>69</v>
      </c>
      <c r="G144" s="74" t="s">
        <v>277</v>
      </c>
      <c r="H144" s="74" t="s">
        <v>242</v>
      </c>
      <c r="I144" s="74" t="s">
        <v>191</v>
      </c>
      <c r="J144" s="74" t="s">
        <v>188</v>
      </c>
      <c r="K144" s="74" t="s">
        <v>364</v>
      </c>
      <c r="L144" s="75">
        <v>4200</v>
      </c>
      <c r="M144" s="74" t="s">
        <v>387</v>
      </c>
      <c r="N144" s="74"/>
    </row>
    <row r="145" ht="31" spans="1:14">
      <c r="A145" s="74" t="s">
        <v>37</v>
      </c>
      <c r="B145" s="74">
        <v>3</v>
      </c>
      <c r="C145" s="74" t="s">
        <v>171</v>
      </c>
      <c r="D145" s="74" t="s">
        <v>126</v>
      </c>
      <c r="E145" s="74" t="s">
        <v>127</v>
      </c>
      <c r="F145" s="74" t="s">
        <v>128</v>
      </c>
      <c r="G145" s="74" t="s">
        <v>277</v>
      </c>
      <c r="H145" s="74" t="s">
        <v>253</v>
      </c>
      <c r="I145" s="74" t="s">
        <v>253</v>
      </c>
      <c r="J145" s="74" t="s">
        <v>195</v>
      </c>
      <c r="K145" s="74" t="s">
        <v>396</v>
      </c>
      <c r="L145" s="75">
        <v>15000</v>
      </c>
      <c r="M145" s="74" t="s">
        <v>397</v>
      </c>
      <c r="N145" s="74"/>
    </row>
    <row r="146" ht="31" spans="1:14">
      <c r="A146" s="74" t="s">
        <v>37</v>
      </c>
      <c r="B146" s="74">
        <v>4</v>
      </c>
      <c r="C146" s="74" t="s">
        <v>171</v>
      </c>
      <c r="D146" s="74" t="s">
        <v>126</v>
      </c>
      <c r="E146" s="74" t="s">
        <v>68</v>
      </c>
      <c r="F146" s="74" t="s">
        <v>69</v>
      </c>
      <c r="G146" s="74" t="s">
        <v>277</v>
      </c>
      <c r="H146" s="74" t="s">
        <v>242</v>
      </c>
      <c r="I146" s="74" t="s">
        <v>200</v>
      </c>
      <c r="J146" s="74" t="s">
        <v>188</v>
      </c>
      <c r="K146" s="74" t="s">
        <v>364</v>
      </c>
      <c r="L146" s="75">
        <v>4200</v>
      </c>
      <c r="M146" s="74" t="s">
        <v>387</v>
      </c>
      <c r="N146" s="74"/>
    </row>
    <row r="147" spans="1:14">
      <c r="A147" s="70" t="s">
        <v>311</v>
      </c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</row>
    <row r="148" spans="1:14">
      <c r="A148" s="72" t="s">
        <v>53</v>
      </c>
      <c r="B148" s="72" t="s">
        <v>54</v>
      </c>
      <c r="C148" s="72" t="s">
        <v>174</v>
      </c>
      <c r="D148" s="72" t="s">
        <v>325</v>
      </c>
      <c r="E148" s="72" t="s">
        <v>55</v>
      </c>
      <c r="F148" s="72" t="s">
        <v>56</v>
      </c>
      <c r="G148" s="72" t="s">
        <v>175</v>
      </c>
      <c r="H148" s="72" t="s">
        <v>176</v>
      </c>
      <c r="I148" s="72" t="s">
        <v>177</v>
      </c>
      <c r="J148" s="72" t="s">
        <v>178</v>
      </c>
      <c r="K148" s="72" t="s">
        <v>326</v>
      </c>
      <c r="L148" s="73" t="s">
        <v>327</v>
      </c>
      <c r="M148" s="72" t="s">
        <v>183</v>
      </c>
      <c r="N148" s="72" t="s">
        <v>184</v>
      </c>
    </row>
    <row r="149" ht="31" spans="1:14">
      <c r="A149" s="74" t="s">
        <v>38</v>
      </c>
      <c r="B149" s="74">
        <v>2</v>
      </c>
      <c r="C149" s="74" t="s">
        <v>171</v>
      </c>
      <c r="D149" s="74" t="s">
        <v>129</v>
      </c>
      <c r="E149" s="74" t="s">
        <v>68</v>
      </c>
      <c r="F149" s="74" t="s">
        <v>69</v>
      </c>
      <c r="G149" s="74" t="s">
        <v>281</v>
      </c>
      <c r="H149" s="74" t="s">
        <v>242</v>
      </c>
      <c r="I149" s="74" t="s">
        <v>191</v>
      </c>
      <c r="J149" s="74" t="s">
        <v>188</v>
      </c>
      <c r="K149" s="74" t="s">
        <v>364</v>
      </c>
      <c r="L149" s="75">
        <v>4200</v>
      </c>
      <c r="M149" s="74" t="s">
        <v>387</v>
      </c>
      <c r="N149" s="74"/>
    </row>
    <row r="150" ht="31" spans="1:14">
      <c r="A150" s="74" t="s">
        <v>38</v>
      </c>
      <c r="B150" s="74">
        <v>3</v>
      </c>
      <c r="C150" s="74" t="s">
        <v>171</v>
      </c>
      <c r="D150" s="74" t="s">
        <v>129</v>
      </c>
      <c r="E150" s="74" t="s">
        <v>130</v>
      </c>
      <c r="F150" s="74" t="s">
        <v>131</v>
      </c>
      <c r="G150" s="74" t="s">
        <v>281</v>
      </c>
      <c r="H150" s="74" t="s">
        <v>253</v>
      </c>
      <c r="I150" s="74" t="s">
        <v>253</v>
      </c>
      <c r="J150" s="74" t="s">
        <v>195</v>
      </c>
      <c r="K150" s="74" t="s">
        <v>398</v>
      </c>
      <c r="L150" s="75">
        <v>20000</v>
      </c>
      <c r="M150" s="74" t="s">
        <v>399</v>
      </c>
      <c r="N150" s="74"/>
    </row>
    <row r="151" ht="31" spans="1:14">
      <c r="A151" s="74" t="s">
        <v>38</v>
      </c>
      <c r="B151" s="74">
        <v>4</v>
      </c>
      <c r="C151" s="74" t="s">
        <v>171</v>
      </c>
      <c r="D151" s="74" t="s">
        <v>129</v>
      </c>
      <c r="E151" s="74" t="s">
        <v>68</v>
      </c>
      <c r="F151" s="74" t="s">
        <v>69</v>
      </c>
      <c r="G151" s="74" t="s">
        <v>281</v>
      </c>
      <c r="H151" s="74" t="s">
        <v>242</v>
      </c>
      <c r="I151" s="74" t="s">
        <v>200</v>
      </c>
      <c r="J151" s="74" t="s">
        <v>188</v>
      </c>
      <c r="K151" s="74" t="s">
        <v>364</v>
      </c>
      <c r="L151" s="75">
        <v>4200</v>
      </c>
      <c r="M151" s="74" t="s">
        <v>387</v>
      </c>
      <c r="N151" s="74"/>
    </row>
    <row r="152" spans="1:14">
      <c r="A152" s="70" t="s">
        <v>312</v>
      </c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</row>
    <row r="153" spans="1:14">
      <c r="A153" s="72" t="s">
        <v>53</v>
      </c>
      <c r="B153" s="72" t="s">
        <v>54</v>
      </c>
      <c r="C153" s="72" t="s">
        <v>174</v>
      </c>
      <c r="D153" s="72" t="s">
        <v>325</v>
      </c>
      <c r="E153" s="72" t="s">
        <v>55</v>
      </c>
      <c r="F153" s="72" t="s">
        <v>56</v>
      </c>
      <c r="G153" s="72" t="s">
        <v>175</v>
      </c>
      <c r="H153" s="72" t="s">
        <v>176</v>
      </c>
      <c r="I153" s="72" t="s">
        <v>177</v>
      </c>
      <c r="J153" s="72" t="s">
        <v>178</v>
      </c>
      <c r="K153" s="72" t="s">
        <v>326</v>
      </c>
      <c r="L153" s="73" t="s">
        <v>327</v>
      </c>
      <c r="M153" s="72" t="s">
        <v>183</v>
      </c>
      <c r="N153" s="72" t="s">
        <v>184</v>
      </c>
    </row>
    <row r="154" ht="31" spans="1:14">
      <c r="A154" s="74" t="s">
        <v>39</v>
      </c>
      <c r="B154" s="74">
        <v>2</v>
      </c>
      <c r="C154" s="74" t="s">
        <v>171</v>
      </c>
      <c r="D154" s="74" t="s">
        <v>132</v>
      </c>
      <c r="E154" s="74" t="s">
        <v>68</v>
      </c>
      <c r="F154" s="74" t="s">
        <v>69</v>
      </c>
      <c r="G154" s="74" t="s">
        <v>284</v>
      </c>
      <c r="H154" s="74" t="s">
        <v>242</v>
      </c>
      <c r="I154" s="74" t="s">
        <v>191</v>
      </c>
      <c r="J154" s="74" t="s">
        <v>188</v>
      </c>
      <c r="K154" s="74" t="s">
        <v>364</v>
      </c>
      <c r="L154" s="75">
        <v>4200</v>
      </c>
      <c r="M154" s="74" t="s">
        <v>387</v>
      </c>
      <c r="N154" s="74"/>
    </row>
    <row r="155" ht="31" spans="1:14">
      <c r="A155" s="74" t="s">
        <v>39</v>
      </c>
      <c r="B155" s="74">
        <v>3</v>
      </c>
      <c r="C155" s="74" t="s">
        <v>171</v>
      </c>
      <c r="D155" s="74" t="s">
        <v>132</v>
      </c>
      <c r="E155" s="74" t="s">
        <v>130</v>
      </c>
      <c r="F155" s="74" t="s">
        <v>133</v>
      </c>
      <c r="G155" s="74" t="s">
        <v>284</v>
      </c>
      <c r="H155" s="74" t="s">
        <v>285</v>
      </c>
      <c r="I155" s="74" t="s">
        <v>285</v>
      </c>
      <c r="J155" s="74" t="s">
        <v>195</v>
      </c>
      <c r="K155" s="74" t="s">
        <v>398</v>
      </c>
      <c r="L155" s="75">
        <v>22000</v>
      </c>
      <c r="M155" s="74" t="s">
        <v>400</v>
      </c>
      <c r="N155" s="74"/>
    </row>
    <row r="156" ht="31" spans="1:14">
      <c r="A156" s="74" t="s">
        <v>39</v>
      </c>
      <c r="B156" s="74">
        <v>4</v>
      </c>
      <c r="C156" s="74" t="s">
        <v>171</v>
      </c>
      <c r="D156" s="74" t="s">
        <v>132</v>
      </c>
      <c r="E156" s="74" t="s">
        <v>68</v>
      </c>
      <c r="F156" s="74" t="s">
        <v>69</v>
      </c>
      <c r="G156" s="74" t="s">
        <v>284</v>
      </c>
      <c r="H156" s="74" t="s">
        <v>242</v>
      </c>
      <c r="I156" s="74" t="s">
        <v>200</v>
      </c>
      <c r="J156" s="74" t="s">
        <v>188</v>
      </c>
      <c r="K156" s="74" t="s">
        <v>364</v>
      </c>
      <c r="L156" s="75">
        <v>4200</v>
      </c>
      <c r="M156" s="74" t="s">
        <v>387</v>
      </c>
      <c r="N156" s="74"/>
    </row>
    <row r="157" spans="1:14">
      <c r="A157" s="70" t="s">
        <v>313</v>
      </c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</row>
    <row r="158" spans="1:14">
      <c r="A158" s="72" t="s">
        <v>53</v>
      </c>
      <c r="B158" s="72" t="s">
        <v>54</v>
      </c>
      <c r="C158" s="72" t="s">
        <v>174</v>
      </c>
      <c r="D158" s="72" t="s">
        <v>325</v>
      </c>
      <c r="E158" s="72" t="s">
        <v>55</v>
      </c>
      <c r="F158" s="72" t="s">
        <v>56</v>
      </c>
      <c r="G158" s="72" t="s">
        <v>175</v>
      </c>
      <c r="H158" s="72" t="s">
        <v>176</v>
      </c>
      <c r="I158" s="72" t="s">
        <v>177</v>
      </c>
      <c r="J158" s="72" t="s">
        <v>178</v>
      </c>
      <c r="K158" s="72" t="s">
        <v>326</v>
      </c>
      <c r="L158" s="73" t="s">
        <v>327</v>
      </c>
      <c r="M158" s="72" t="s">
        <v>183</v>
      </c>
      <c r="N158" s="72" t="s">
        <v>184</v>
      </c>
    </row>
    <row r="159" ht="31" spans="1:14">
      <c r="A159" s="74" t="s">
        <v>42</v>
      </c>
      <c r="B159" s="74">
        <v>2</v>
      </c>
      <c r="C159" s="74" t="s">
        <v>171</v>
      </c>
      <c r="D159" s="74" t="s">
        <v>361</v>
      </c>
      <c r="E159" s="74" t="s">
        <v>68</v>
      </c>
      <c r="F159" s="74" t="s">
        <v>69</v>
      </c>
      <c r="G159" s="74" t="s">
        <v>314</v>
      </c>
      <c r="H159" s="74" t="s">
        <v>242</v>
      </c>
      <c r="I159" s="74" t="s">
        <v>191</v>
      </c>
      <c r="J159" s="74" t="s">
        <v>188</v>
      </c>
      <c r="K159" s="74" t="s">
        <v>364</v>
      </c>
      <c r="L159" s="75">
        <v>4200</v>
      </c>
      <c r="M159" s="74" t="s">
        <v>387</v>
      </c>
      <c r="N159" s="74"/>
    </row>
    <row r="160" spans="1:14">
      <c r="A160" s="74" t="s">
        <v>42</v>
      </c>
      <c r="B160" s="74">
        <v>3</v>
      </c>
      <c r="C160" s="74" t="s">
        <v>171</v>
      </c>
      <c r="D160" s="74" t="s">
        <v>361</v>
      </c>
      <c r="E160" s="74" t="s">
        <v>139</v>
      </c>
      <c r="F160" s="74" t="s">
        <v>140</v>
      </c>
      <c r="G160" s="74" t="s">
        <v>314</v>
      </c>
      <c r="H160" s="74" t="s">
        <v>318</v>
      </c>
      <c r="I160" s="74" t="s">
        <v>318</v>
      </c>
      <c r="J160" s="74" t="s">
        <v>195</v>
      </c>
      <c r="K160" s="74" t="s">
        <v>402</v>
      </c>
      <c r="L160" s="75">
        <v>4800</v>
      </c>
      <c r="M160" s="74" t="s">
        <v>403</v>
      </c>
      <c r="N160" s="74"/>
    </row>
    <row r="161" spans="1:14">
      <c r="A161" s="74" t="s">
        <v>42</v>
      </c>
      <c r="B161" s="74">
        <v>4</v>
      </c>
      <c r="C161" s="74" t="s">
        <v>171</v>
      </c>
      <c r="D161" s="74" t="s">
        <v>361</v>
      </c>
      <c r="E161" s="74" t="s">
        <v>139</v>
      </c>
      <c r="F161" s="74" t="s">
        <v>143</v>
      </c>
      <c r="G161" s="74" t="s">
        <v>314</v>
      </c>
      <c r="H161" s="74" t="s">
        <v>318</v>
      </c>
      <c r="I161" s="74" t="s">
        <v>318</v>
      </c>
      <c r="J161" s="74" t="s">
        <v>195</v>
      </c>
      <c r="K161" s="74" t="s">
        <v>402</v>
      </c>
      <c r="L161" s="75">
        <v>4800</v>
      </c>
      <c r="M161" s="74" t="s">
        <v>403</v>
      </c>
      <c r="N161" s="74"/>
    </row>
    <row r="162" spans="1:14">
      <c r="A162" s="74" t="s">
        <v>42</v>
      </c>
      <c r="B162" s="74">
        <v>5</v>
      </c>
      <c r="C162" s="74" t="s">
        <v>171</v>
      </c>
      <c r="D162" s="74" t="s">
        <v>361</v>
      </c>
      <c r="E162" s="74" t="s">
        <v>139</v>
      </c>
      <c r="F162" s="74" t="s">
        <v>144</v>
      </c>
      <c r="G162" s="74" t="s">
        <v>314</v>
      </c>
      <c r="H162" s="74" t="s">
        <v>318</v>
      </c>
      <c r="I162" s="74" t="s">
        <v>318</v>
      </c>
      <c r="J162" s="74" t="s">
        <v>195</v>
      </c>
      <c r="K162" s="74" t="s">
        <v>402</v>
      </c>
      <c r="L162" s="75">
        <v>4800</v>
      </c>
      <c r="M162" s="74" t="s">
        <v>403</v>
      </c>
      <c r="N162" s="74"/>
    </row>
    <row r="163" spans="1:14">
      <c r="A163" s="74" t="s">
        <v>42</v>
      </c>
      <c r="B163" s="74">
        <v>6</v>
      </c>
      <c r="C163" s="74" t="s">
        <v>171</v>
      </c>
      <c r="D163" s="74" t="s">
        <v>361</v>
      </c>
      <c r="E163" s="74" t="s">
        <v>139</v>
      </c>
      <c r="F163" s="74" t="s">
        <v>145</v>
      </c>
      <c r="G163" s="74" t="s">
        <v>314</v>
      </c>
      <c r="H163" s="74" t="s">
        <v>318</v>
      </c>
      <c r="I163" s="74" t="s">
        <v>318</v>
      </c>
      <c r="J163" s="74" t="s">
        <v>195</v>
      </c>
      <c r="K163" s="74" t="s">
        <v>402</v>
      </c>
      <c r="L163" s="75">
        <v>4800</v>
      </c>
      <c r="M163" s="74" t="s">
        <v>403</v>
      </c>
      <c r="N163" s="74"/>
    </row>
    <row r="164" spans="1:14">
      <c r="A164" s="74" t="s">
        <v>42</v>
      </c>
      <c r="B164" s="74">
        <v>7</v>
      </c>
      <c r="C164" s="74" t="s">
        <v>171</v>
      </c>
      <c r="D164" s="74" t="s">
        <v>361</v>
      </c>
      <c r="E164" s="74" t="s">
        <v>139</v>
      </c>
      <c r="F164" s="74" t="s">
        <v>146</v>
      </c>
      <c r="G164" s="74" t="s">
        <v>314</v>
      </c>
      <c r="H164" s="74" t="s">
        <v>318</v>
      </c>
      <c r="I164" s="74" t="s">
        <v>318</v>
      </c>
      <c r="J164" s="74" t="s">
        <v>195</v>
      </c>
      <c r="K164" s="74" t="s">
        <v>402</v>
      </c>
      <c r="L164" s="75">
        <v>4800</v>
      </c>
      <c r="M164" s="74" t="s">
        <v>403</v>
      </c>
      <c r="N164" s="74"/>
    </row>
    <row r="165" ht="31" spans="1:14">
      <c r="A165" s="74" t="s">
        <v>42</v>
      </c>
      <c r="B165" s="74">
        <v>8</v>
      </c>
      <c r="C165" s="74" t="s">
        <v>171</v>
      </c>
      <c r="D165" s="74" t="s">
        <v>361</v>
      </c>
      <c r="E165" s="74" t="s">
        <v>68</v>
      </c>
      <c r="F165" s="74" t="s">
        <v>69</v>
      </c>
      <c r="G165" s="74" t="s">
        <v>314</v>
      </c>
      <c r="H165" s="74" t="s">
        <v>242</v>
      </c>
      <c r="I165" s="74" t="s">
        <v>191</v>
      </c>
      <c r="J165" s="74" t="s">
        <v>188</v>
      </c>
      <c r="K165" s="74" t="s">
        <v>364</v>
      </c>
      <c r="L165" s="75">
        <v>4200</v>
      </c>
      <c r="M165" s="74" t="s">
        <v>387</v>
      </c>
      <c r="N165" s="74"/>
    </row>
    <row r="166" spans="1:14">
      <c r="A166" s="70" t="s">
        <v>138</v>
      </c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</row>
    <row r="167" spans="1:14">
      <c r="A167" s="72" t="s">
        <v>53</v>
      </c>
      <c r="B167" s="72" t="s">
        <v>54</v>
      </c>
      <c r="C167" s="72" t="s">
        <v>174</v>
      </c>
      <c r="D167" s="72" t="s">
        <v>325</v>
      </c>
      <c r="E167" s="72" t="s">
        <v>55</v>
      </c>
      <c r="F167" s="72" t="s">
        <v>56</v>
      </c>
      <c r="G167" s="72" t="s">
        <v>175</v>
      </c>
      <c r="H167" s="72" t="s">
        <v>176</v>
      </c>
      <c r="I167" s="72" t="s">
        <v>177</v>
      </c>
      <c r="J167" s="72" t="s">
        <v>178</v>
      </c>
      <c r="K167" s="72" t="s">
        <v>326</v>
      </c>
      <c r="L167" s="73" t="s">
        <v>327</v>
      </c>
      <c r="M167" s="72" t="s">
        <v>183</v>
      </c>
      <c r="N167" s="72" t="s">
        <v>184</v>
      </c>
    </row>
    <row r="168" ht="31" spans="1:14">
      <c r="A168" s="74" t="s">
        <v>43</v>
      </c>
      <c r="B168" s="74">
        <v>1</v>
      </c>
      <c r="C168" s="74" t="s">
        <v>171</v>
      </c>
      <c r="D168" s="74" t="s">
        <v>358</v>
      </c>
      <c r="E168" s="74" t="s">
        <v>141</v>
      </c>
      <c r="F168" s="74" t="s">
        <v>142</v>
      </c>
      <c r="G168" s="74" t="s">
        <v>322</v>
      </c>
      <c r="H168" s="74" t="s">
        <v>297</v>
      </c>
      <c r="I168" s="74" t="s">
        <v>268</v>
      </c>
      <c r="J168" s="74" t="s">
        <v>188</v>
      </c>
      <c r="K168" s="74" t="s">
        <v>401</v>
      </c>
      <c r="L168" s="75"/>
      <c r="M168" s="74" t="s">
        <v>298</v>
      </c>
      <c r="N168" s="74" t="s">
        <v>299</v>
      </c>
    </row>
    <row r="169" spans="1:14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5"/>
      <c r="M169" s="74"/>
      <c r="N169" s="74"/>
    </row>
    <row r="170" spans="1:14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5"/>
      <c r="M170" s="74"/>
      <c r="N170" s="74"/>
    </row>
    <row r="171" spans="1:14">
      <c r="A171" s="70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</row>
    <row r="172" spans="1:14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3"/>
      <c r="M172" s="72"/>
      <c r="N172" s="72"/>
    </row>
    <row r="173" spans="1:14">
      <c r="A173" s="74"/>
      <c r="B173" s="81"/>
      <c r="C173" s="74"/>
      <c r="D173" s="74"/>
      <c r="E173" s="74"/>
      <c r="F173" s="74"/>
      <c r="G173" s="74"/>
      <c r="H173" s="74"/>
      <c r="I173" s="74"/>
      <c r="J173" s="74"/>
      <c r="K173" s="74"/>
      <c r="L173" s="75"/>
      <c r="M173" s="74"/>
      <c r="N173" s="74"/>
    </row>
    <row r="174" spans="1:14">
      <c r="A174" s="74"/>
      <c r="B174" s="81"/>
      <c r="C174" s="74"/>
      <c r="D174" s="74"/>
      <c r="E174" s="74"/>
      <c r="F174" s="74"/>
      <c r="G174" s="74"/>
      <c r="H174" s="74"/>
      <c r="I174" s="74"/>
      <c r="J174" s="74"/>
      <c r="K174" s="74"/>
      <c r="L174" s="75"/>
      <c r="M174" s="74"/>
      <c r="N174" s="74"/>
    </row>
  </sheetData>
  <mergeCells count="29">
    <mergeCell ref="A1:N1"/>
    <mergeCell ref="P1:R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2:N82"/>
    <mergeCell ref="B86:N86"/>
    <mergeCell ref="A87:N87"/>
    <mergeCell ref="A106:N106"/>
    <mergeCell ref="A112:N112"/>
    <mergeCell ref="A121:N121"/>
    <mergeCell ref="A126:N126"/>
    <mergeCell ref="A131:N131"/>
    <mergeCell ref="A137:N137"/>
    <mergeCell ref="A142:N142"/>
    <mergeCell ref="A147:N147"/>
    <mergeCell ref="A152:N152"/>
    <mergeCell ref="A157:N157"/>
    <mergeCell ref="A166:N166"/>
    <mergeCell ref="A171:N171"/>
  </mergeCells>
  <conditionalFormatting sqref="L9:L84 L86:L166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{3c1cea45-65cc-4e4e-8bc4-cc7b3026c201}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1cea45-65cc-4e4e-8bc4-cc7b3026c20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L9:L84 L86:L166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4"/>
  <sheetViews>
    <sheetView showGridLines="0" topLeftCell="J1" workbookViewId="0">
      <selection activeCell="Q15" sqref="Q15"/>
    </sheetView>
  </sheetViews>
  <sheetFormatPr defaultColWidth="9.64285714285714" defaultRowHeight="17.6"/>
  <cols>
    <col min="1" max="1" width="14" customWidth="1"/>
    <col min="2" max="2" width="10" customWidth="1"/>
    <col min="3" max="3" width="8" customWidth="1"/>
    <col min="4" max="4" width="25" customWidth="1"/>
    <col min="5" max="5" width="14.2767857142857" customWidth="1"/>
    <col min="6" max="6" width="38" customWidth="1"/>
    <col min="7" max="7" width="12" customWidth="1"/>
    <col min="8" max="8" width="14" customWidth="1"/>
    <col min="9" max="10" width="12" customWidth="1"/>
    <col min="11" max="11" width="22" customWidth="1"/>
    <col min="12" max="12" width="14" customWidth="1"/>
    <col min="13" max="13" width="52" customWidth="1"/>
    <col min="14" max="14" width="36" customWidth="1"/>
    <col min="16" max="16" width="14.4285714285714" customWidth="1"/>
    <col min="17" max="17" width="12.4910714285714" customWidth="1"/>
    <col min="18" max="18" width="13.2857142857143" customWidth="1"/>
    <col min="19" max="19" width="11.9017857142857" customWidth="1"/>
    <col min="21" max="22" width="13.2857142857143"/>
  </cols>
  <sheetData>
    <row r="1" ht="23.2" spans="1:18">
      <c r="A1" s="56" t="s">
        <v>404</v>
      </c>
      <c r="P1" s="57" t="s">
        <v>166</v>
      </c>
    </row>
    <row r="2" spans="1:18">
      <c r="A2" s="58" t="s">
        <v>148</v>
      </c>
      <c r="B2" s="59" t="s">
        <v>149</v>
      </c>
      <c r="C2" s="58" t="s">
        <v>150</v>
      </c>
      <c r="D2" s="59" t="s">
        <v>151</v>
      </c>
      <c r="E2" s="60"/>
      <c r="F2" s="60"/>
      <c r="G2" s="60"/>
      <c r="H2" s="60"/>
      <c r="I2" s="60"/>
      <c r="J2" s="60"/>
      <c r="K2" s="60"/>
      <c r="L2" s="61"/>
      <c r="M2" s="60"/>
      <c r="N2" s="60"/>
      <c r="P2" s="62" t="s">
        <v>3</v>
      </c>
      <c r="Q2" s="63" t="s">
        <v>168</v>
      </c>
      <c r="R2" s="64" t="s">
        <v>171</v>
      </c>
    </row>
    <row r="3" spans="1:18">
      <c r="A3" s="58" t="s">
        <v>154</v>
      </c>
      <c r="B3" s="59" t="s">
        <v>155</v>
      </c>
      <c r="C3" s="58" t="s">
        <v>162</v>
      </c>
      <c r="D3" s="59" t="s">
        <v>163</v>
      </c>
      <c r="E3" s="60"/>
      <c r="F3" s="60"/>
      <c r="G3" s="60"/>
      <c r="H3" s="60"/>
      <c r="I3" s="60"/>
      <c r="J3" s="60"/>
      <c r="K3" s="60"/>
      <c r="L3" s="61"/>
      <c r="M3" s="60"/>
      <c r="N3" s="60"/>
      <c r="P3" s="65" t="s">
        <v>26</v>
      </c>
      <c r="Q3" s="66">
        <f t="shared" ref="Q3:Q12" si="0">SUMIFS($L$1:$L$175,$C$1:$C$175,"DV",$A$1:$A$175,$P3)</f>
        <v>139380</v>
      </c>
      <c r="R3" s="67">
        <f t="shared" ref="R3:R15" si="1">SUMIFS($L$1:$L$175,$C$1:$C$175,"PV",$A$1:$A$175,$P3)</f>
        <v>139380</v>
      </c>
    </row>
    <row r="4" spans="1:18">
      <c r="A4" s="58" t="s">
        <v>152</v>
      </c>
      <c r="B4" s="59" t="s">
        <v>153</v>
      </c>
      <c r="C4" s="58" t="s">
        <v>156</v>
      </c>
      <c r="D4" s="59" t="s">
        <v>157</v>
      </c>
      <c r="E4" s="60"/>
      <c r="F4" s="60"/>
      <c r="G4" s="60"/>
      <c r="H4" s="60"/>
      <c r="I4" s="60"/>
      <c r="J4" s="60"/>
      <c r="K4" s="60"/>
      <c r="L4" s="61"/>
      <c r="M4" s="60"/>
      <c r="N4" s="60"/>
      <c r="P4" s="65" t="s">
        <v>27</v>
      </c>
      <c r="Q4" s="66">
        <f t="shared" si="0"/>
        <v>22400</v>
      </c>
      <c r="R4" s="67">
        <f t="shared" si="1"/>
        <v>22400</v>
      </c>
    </row>
    <row r="5" spans="1:18">
      <c r="A5" s="58" t="s">
        <v>158</v>
      </c>
      <c r="B5" s="59" t="s">
        <v>159</v>
      </c>
      <c r="C5" s="58" t="s">
        <v>160</v>
      </c>
      <c r="D5" s="59" t="s">
        <v>161</v>
      </c>
      <c r="E5" s="60"/>
      <c r="F5" s="60"/>
      <c r="G5" s="60"/>
      <c r="H5" s="60"/>
      <c r="I5" s="60"/>
      <c r="J5" s="60"/>
      <c r="K5" s="60"/>
      <c r="L5" s="61"/>
      <c r="M5" s="60"/>
      <c r="N5" s="60"/>
      <c r="P5" s="65" t="s">
        <v>30</v>
      </c>
      <c r="Q5" s="66">
        <f t="shared" si="0"/>
        <v>64960</v>
      </c>
      <c r="R5" s="67">
        <f t="shared" si="1"/>
        <v>64960</v>
      </c>
    </row>
    <row r="6" spans="1:18">
      <c r="A6" s="68" t="s">
        <v>164</v>
      </c>
      <c r="B6" s="69" t="s">
        <v>324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P6" s="65" t="s">
        <v>31</v>
      </c>
      <c r="Q6" s="66">
        <f t="shared" si="0"/>
        <v>154800</v>
      </c>
      <c r="R6" s="67">
        <f t="shared" si="1"/>
        <v>154800</v>
      </c>
    </row>
    <row r="7" spans="1:18">
      <c r="A7" s="70" t="s">
        <v>167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P7" s="65" t="s">
        <v>32</v>
      </c>
      <c r="Q7" s="66">
        <f t="shared" si="0"/>
        <v>6720</v>
      </c>
      <c r="R7" s="67">
        <f t="shared" si="1"/>
        <v>6720</v>
      </c>
    </row>
    <row r="8" spans="1:18">
      <c r="A8" s="72" t="s">
        <v>53</v>
      </c>
      <c r="B8" s="72" t="s">
        <v>54</v>
      </c>
      <c r="C8" s="72" t="s">
        <v>174</v>
      </c>
      <c r="D8" s="72" t="s">
        <v>325</v>
      </c>
      <c r="E8" s="72" t="s">
        <v>55</v>
      </c>
      <c r="F8" s="72" t="s">
        <v>56</v>
      </c>
      <c r="G8" s="72" t="s">
        <v>175</v>
      </c>
      <c r="H8" s="72" t="s">
        <v>176</v>
      </c>
      <c r="I8" s="72" t="s">
        <v>177</v>
      </c>
      <c r="J8" s="72" t="s">
        <v>178</v>
      </c>
      <c r="K8" s="72" t="s">
        <v>326</v>
      </c>
      <c r="L8" s="73" t="s">
        <v>327</v>
      </c>
      <c r="M8" s="72" t="s">
        <v>183</v>
      </c>
      <c r="N8" s="72" t="s">
        <v>184</v>
      </c>
      <c r="P8" s="65" t="s">
        <v>33</v>
      </c>
      <c r="Q8" s="66">
        <f t="shared" si="0"/>
        <v>85435</v>
      </c>
      <c r="R8" s="67">
        <f t="shared" si="1"/>
        <v>85435</v>
      </c>
    </row>
    <row r="9" ht="31" spans="1:18">
      <c r="A9" s="74" t="s">
        <v>26</v>
      </c>
      <c r="B9" s="74">
        <v>2</v>
      </c>
      <c r="C9" s="74" t="s">
        <v>168</v>
      </c>
      <c r="D9" s="74" t="s">
        <v>50</v>
      </c>
      <c r="E9" s="74" t="s">
        <v>68</v>
      </c>
      <c r="F9" s="74" t="s">
        <v>69</v>
      </c>
      <c r="G9" s="74" t="s">
        <v>185</v>
      </c>
      <c r="H9" s="74" t="s">
        <v>186</v>
      </c>
      <c r="I9" s="74" t="s">
        <v>191</v>
      </c>
      <c r="J9" s="74" t="s">
        <v>188</v>
      </c>
      <c r="K9" s="74" t="s">
        <v>328</v>
      </c>
      <c r="L9" s="75">
        <v>5600</v>
      </c>
      <c r="M9" s="74" t="s">
        <v>192</v>
      </c>
      <c r="N9" s="74"/>
      <c r="P9" s="65" t="s">
        <v>35</v>
      </c>
      <c r="Q9" s="66">
        <f t="shared" si="0"/>
        <v>9800</v>
      </c>
      <c r="R9" s="67">
        <f t="shared" si="1"/>
        <v>9800</v>
      </c>
    </row>
    <row r="10" spans="1:18">
      <c r="A10" s="74" t="s">
        <v>26</v>
      </c>
      <c r="B10" s="74">
        <v>3</v>
      </c>
      <c r="C10" s="74" t="s">
        <v>168</v>
      </c>
      <c r="D10" s="74" t="s">
        <v>50</v>
      </c>
      <c r="E10" s="74" t="s">
        <v>70</v>
      </c>
      <c r="F10" s="74" t="s">
        <v>71</v>
      </c>
      <c r="G10" s="74" t="s">
        <v>193</v>
      </c>
      <c r="H10" s="74" t="s">
        <v>194</v>
      </c>
      <c r="I10" s="74" t="s">
        <v>194</v>
      </c>
      <c r="J10" s="74" t="s">
        <v>195</v>
      </c>
      <c r="K10" s="74" t="s">
        <v>351</v>
      </c>
      <c r="L10" s="75">
        <v>960</v>
      </c>
      <c r="M10" s="74" t="s">
        <v>405</v>
      </c>
      <c r="N10" s="74"/>
      <c r="P10" s="65" t="s">
        <v>37</v>
      </c>
      <c r="Q10" s="66">
        <f t="shared" si="0"/>
        <v>34800</v>
      </c>
      <c r="R10" s="67">
        <f t="shared" si="1"/>
        <v>34800</v>
      </c>
    </row>
    <row r="11" spans="1:18">
      <c r="A11" s="74" t="s">
        <v>26</v>
      </c>
      <c r="B11" s="74">
        <v>4</v>
      </c>
      <c r="C11" s="74" t="s">
        <v>168</v>
      </c>
      <c r="D11" s="74" t="s">
        <v>50</v>
      </c>
      <c r="E11" s="74" t="s">
        <v>72</v>
      </c>
      <c r="F11" s="74" t="s">
        <v>73</v>
      </c>
      <c r="G11" s="74" t="s">
        <v>193</v>
      </c>
      <c r="H11" s="74" t="s">
        <v>194</v>
      </c>
      <c r="I11" s="74" t="s">
        <v>194</v>
      </c>
      <c r="J11" s="74" t="s">
        <v>195</v>
      </c>
      <c r="K11" s="74" t="s">
        <v>351</v>
      </c>
      <c r="L11" s="75">
        <v>960</v>
      </c>
      <c r="M11" s="74" t="s">
        <v>405</v>
      </c>
      <c r="N11" s="74"/>
      <c r="P11" s="65" t="s">
        <v>38</v>
      </c>
      <c r="Q11" s="66">
        <f t="shared" si="0"/>
        <v>34800</v>
      </c>
      <c r="R11" s="67">
        <f t="shared" si="1"/>
        <v>34800</v>
      </c>
    </row>
    <row r="12" spans="1:18">
      <c r="A12" s="74" t="s">
        <v>26</v>
      </c>
      <c r="B12" s="74">
        <v>5</v>
      </c>
      <c r="C12" s="74" t="s">
        <v>168</v>
      </c>
      <c r="D12" s="74" t="s">
        <v>50</v>
      </c>
      <c r="E12" s="74" t="s">
        <v>74</v>
      </c>
      <c r="F12" s="74" t="s">
        <v>75</v>
      </c>
      <c r="G12" s="74" t="s">
        <v>193</v>
      </c>
      <c r="H12" s="74" t="s">
        <v>194</v>
      </c>
      <c r="I12" s="74" t="s">
        <v>194</v>
      </c>
      <c r="J12" s="74" t="s">
        <v>195</v>
      </c>
      <c r="K12" s="74" t="s">
        <v>351</v>
      </c>
      <c r="L12" s="75">
        <v>960</v>
      </c>
      <c r="M12" s="74" t="s">
        <v>405</v>
      </c>
      <c r="N12" s="74"/>
      <c r="P12" s="65" t="s">
        <v>39</v>
      </c>
      <c r="Q12" s="66">
        <f t="shared" si="0"/>
        <v>37800</v>
      </c>
      <c r="R12" s="67">
        <f t="shared" si="1"/>
        <v>37800</v>
      </c>
    </row>
    <row r="13" spans="1:18">
      <c r="A13" s="74" t="s">
        <v>26</v>
      </c>
      <c r="B13" s="74">
        <v>6</v>
      </c>
      <c r="C13" s="74" t="s">
        <v>168</v>
      </c>
      <c r="D13" s="74" t="s">
        <v>50</v>
      </c>
      <c r="E13" s="74" t="s">
        <v>76</v>
      </c>
      <c r="F13" s="74" t="s">
        <v>77</v>
      </c>
      <c r="G13" s="74" t="s">
        <v>193</v>
      </c>
      <c r="H13" s="74" t="s">
        <v>197</v>
      </c>
      <c r="I13" s="74" t="s">
        <v>197</v>
      </c>
      <c r="J13" s="74" t="s">
        <v>195</v>
      </c>
      <c r="K13" s="74" t="s">
        <v>351</v>
      </c>
      <c r="L13" s="75">
        <v>3840</v>
      </c>
      <c r="M13" s="74" t="s">
        <v>406</v>
      </c>
      <c r="N13" s="74"/>
      <c r="P13" s="65" t="s">
        <v>42</v>
      </c>
      <c r="Q13" s="66" t="s">
        <v>210</v>
      </c>
      <c r="R13" s="67">
        <f t="shared" si="1"/>
        <v>64800</v>
      </c>
    </row>
    <row r="14" spans="1:18">
      <c r="A14" s="74" t="s">
        <v>26</v>
      </c>
      <c r="B14" s="74">
        <v>7</v>
      </c>
      <c r="C14" s="74" t="s">
        <v>168</v>
      </c>
      <c r="D14" s="74" t="s">
        <v>50</v>
      </c>
      <c r="E14" s="74" t="s">
        <v>78</v>
      </c>
      <c r="F14" s="74" t="s">
        <v>79</v>
      </c>
      <c r="G14" s="74" t="s">
        <v>193</v>
      </c>
      <c r="H14" s="74" t="s">
        <v>199</v>
      </c>
      <c r="I14" s="74" t="s">
        <v>200</v>
      </c>
      <c r="J14" s="74" t="s">
        <v>201</v>
      </c>
      <c r="K14" s="74" t="s">
        <v>369</v>
      </c>
      <c r="L14" s="75">
        <v>5000</v>
      </c>
      <c r="M14" s="74" t="s">
        <v>370</v>
      </c>
      <c r="N14" s="74"/>
      <c r="P14" s="65" t="s">
        <v>40</v>
      </c>
      <c r="Q14" s="66">
        <f>SUMIFS($L$1:$L$175,$C$1:$C$175,"DV",$A$1:$A$175,$P14)</f>
        <v>0</v>
      </c>
      <c r="R14" s="67">
        <f t="shared" si="1"/>
        <v>0</v>
      </c>
    </row>
    <row r="15" spans="1:18">
      <c r="A15" s="74" t="s">
        <v>26</v>
      </c>
      <c r="B15" s="74">
        <v>8</v>
      </c>
      <c r="C15" s="74" t="s">
        <v>168</v>
      </c>
      <c r="D15" s="74" t="s">
        <v>50</v>
      </c>
      <c r="E15" s="74" t="s">
        <v>80</v>
      </c>
      <c r="F15" s="74" t="s">
        <v>203</v>
      </c>
      <c r="G15" s="74" t="s">
        <v>193</v>
      </c>
      <c r="H15" s="74" t="s">
        <v>204</v>
      </c>
      <c r="I15" s="74" t="s">
        <v>204</v>
      </c>
      <c r="J15" s="74" t="s">
        <v>195</v>
      </c>
      <c r="K15" s="74" t="s">
        <v>351</v>
      </c>
      <c r="L15" s="75">
        <v>9600</v>
      </c>
      <c r="M15" s="74" t="s">
        <v>407</v>
      </c>
      <c r="N15" s="74"/>
      <c r="P15" s="65" t="s">
        <v>43</v>
      </c>
      <c r="Q15" s="66">
        <f>SUMIFS($L$1:$L$175,$C$1:$C$175,"DV",$A$1:$A$175,$P15)</f>
        <v>0</v>
      </c>
      <c r="R15" s="67">
        <f t="shared" si="1"/>
        <v>0</v>
      </c>
    </row>
    <row r="16" spans="1:18">
      <c r="A16" s="74" t="s">
        <v>26</v>
      </c>
      <c r="B16" s="74">
        <v>9</v>
      </c>
      <c r="C16" s="74" t="s">
        <v>168</v>
      </c>
      <c r="D16" s="74" t="s">
        <v>50</v>
      </c>
      <c r="E16" s="74" t="s">
        <v>82</v>
      </c>
      <c r="F16" s="74" t="s">
        <v>83</v>
      </c>
      <c r="G16" s="74" t="s">
        <v>193</v>
      </c>
      <c r="H16" s="74" t="s">
        <v>206</v>
      </c>
      <c r="I16" s="74" t="s">
        <v>206</v>
      </c>
      <c r="J16" s="74" t="s">
        <v>195</v>
      </c>
      <c r="K16" s="74" t="s">
        <v>332</v>
      </c>
      <c r="L16" s="75">
        <v>30500</v>
      </c>
      <c r="M16" s="74" t="s">
        <v>207</v>
      </c>
      <c r="N16" s="74"/>
      <c r="P16" s="65" t="s">
        <v>216</v>
      </c>
      <c r="Q16" s="66">
        <v>7200</v>
      </c>
      <c r="R16" s="67">
        <v>7200</v>
      </c>
    </row>
    <row r="17" ht="31" spans="1:18">
      <c r="A17" s="74" t="s">
        <v>26</v>
      </c>
      <c r="B17" s="74">
        <v>10</v>
      </c>
      <c r="C17" s="74" t="s">
        <v>168</v>
      </c>
      <c r="D17" s="74" t="s">
        <v>50</v>
      </c>
      <c r="E17" s="74" t="s">
        <v>68</v>
      </c>
      <c r="F17" s="74" t="s">
        <v>69</v>
      </c>
      <c r="G17" s="74" t="s">
        <v>193</v>
      </c>
      <c r="H17" s="74" t="s">
        <v>208</v>
      </c>
      <c r="I17" s="74" t="s">
        <v>191</v>
      </c>
      <c r="J17" s="74" t="s">
        <v>188</v>
      </c>
      <c r="K17" s="74" t="s">
        <v>328</v>
      </c>
      <c r="L17" s="75">
        <v>4800</v>
      </c>
      <c r="M17" s="74" t="s">
        <v>209</v>
      </c>
      <c r="N17" s="74"/>
      <c r="P17" s="76" t="s">
        <v>219</v>
      </c>
      <c r="Q17" s="66">
        <v>1800</v>
      </c>
      <c r="R17" s="67">
        <v>1950</v>
      </c>
    </row>
    <row r="18" spans="1:18">
      <c r="A18" s="74" t="s">
        <v>26</v>
      </c>
      <c r="B18" s="74">
        <v>11</v>
      </c>
      <c r="C18" s="74" t="s">
        <v>168</v>
      </c>
      <c r="D18" s="74" t="s">
        <v>50</v>
      </c>
      <c r="E18" s="74" t="s">
        <v>84</v>
      </c>
      <c r="F18" s="74" t="s">
        <v>85</v>
      </c>
      <c r="G18" s="74" t="s">
        <v>193</v>
      </c>
      <c r="H18" s="74" t="s">
        <v>200</v>
      </c>
      <c r="I18" s="74" t="s">
        <v>200</v>
      </c>
      <c r="J18" s="74" t="s">
        <v>195</v>
      </c>
      <c r="K18" s="74" t="s">
        <v>402</v>
      </c>
      <c r="L18" s="75">
        <v>28800</v>
      </c>
      <c r="M18" s="74" t="s">
        <v>408</v>
      </c>
      <c r="N18" s="74"/>
      <c r="P18" s="77" t="s">
        <v>223</v>
      </c>
      <c r="Q18" s="66">
        <f>SUM(Q3:Q17)</f>
        <v>599895</v>
      </c>
      <c r="R18" s="67">
        <f>SUM(R3:R17)</f>
        <v>664845</v>
      </c>
    </row>
    <row r="19" spans="1:18">
      <c r="A19" s="74" t="s">
        <v>26</v>
      </c>
      <c r="B19" s="74">
        <v>12</v>
      </c>
      <c r="C19" s="74" t="s">
        <v>168</v>
      </c>
      <c r="D19" s="74" t="s">
        <v>50</v>
      </c>
      <c r="E19" s="74" t="s">
        <v>86</v>
      </c>
      <c r="F19" s="74" t="s">
        <v>212</v>
      </c>
      <c r="G19" s="74" t="s">
        <v>185</v>
      </c>
      <c r="H19" s="74" t="s">
        <v>186</v>
      </c>
      <c r="I19" s="74" t="s">
        <v>200</v>
      </c>
      <c r="J19" s="74" t="s">
        <v>188</v>
      </c>
      <c r="K19" s="74" t="s">
        <v>334</v>
      </c>
      <c r="L19" s="75">
        <v>4200</v>
      </c>
      <c r="M19" s="74" t="s">
        <v>213</v>
      </c>
      <c r="N19" s="74"/>
      <c r="P19" s="78"/>
      <c r="Q19" s="66"/>
      <c r="R19" s="67"/>
    </row>
    <row r="20" spans="1:18">
      <c r="A20" s="74" t="s">
        <v>26</v>
      </c>
      <c r="B20" s="74">
        <v>13</v>
      </c>
      <c r="C20" s="74" t="s">
        <v>168</v>
      </c>
      <c r="D20" s="74" t="s">
        <v>50</v>
      </c>
      <c r="E20" s="74" t="s">
        <v>88</v>
      </c>
      <c r="F20" s="74" t="s">
        <v>214</v>
      </c>
      <c r="G20" s="74" t="s">
        <v>193</v>
      </c>
      <c r="H20" s="74" t="s">
        <v>208</v>
      </c>
      <c r="I20" s="74" t="s">
        <v>200</v>
      </c>
      <c r="J20" s="74" t="s">
        <v>188</v>
      </c>
      <c r="K20" s="74" t="s">
        <v>334</v>
      </c>
      <c r="L20" s="75">
        <v>3600</v>
      </c>
      <c r="M20" s="74" t="s">
        <v>215</v>
      </c>
      <c r="N20" s="74"/>
    </row>
    <row r="21" ht="31" spans="1:18">
      <c r="A21" s="74" t="s">
        <v>26</v>
      </c>
      <c r="B21" s="74">
        <v>14</v>
      </c>
      <c r="C21" s="74" t="s">
        <v>168</v>
      </c>
      <c r="D21" s="74" t="s">
        <v>50</v>
      </c>
      <c r="E21" s="74" t="s">
        <v>90</v>
      </c>
      <c r="F21" s="74" t="s">
        <v>91</v>
      </c>
      <c r="G21" s="74" t="s">
        <v>193</v>
      </c>
      <c r="H21" s="74" t="s">
        <v>208</v>
      </c>
      <c r="I21" s="74" t="s">
        <v>204</v>
      </c>
      <c r="J21" s="74" t="s">
        <v>188</v>
      </c>
      <c r="K21" s="74" t="s">
        <v>409</v>
      </c>
      <c r="L21" s="75">
        <v>12000</v>
      </c>
      <c r="M21" s="74" t="s">
        <v>410</v>
      </c>
      <c r="N21" s="74" t="s">
        <v>218</v>
      </c>
    </row>
    <row r="22" spans="1:18">
      <c r="A22" s="74" t="s">
        <v>26</v>
      </c>
      <c r="B22" s="74">
        <v>15</v>
      </c>
      <c r="C22" s="74" t="s">
        <v>168</v>
      </c>
      <c r="D22" s="74" t="s">
        <v>50</v>
      </c>
      <c r="E22" s="74" t="s">
        <v>92</v>
      </c>
      <c r="F22" s="74" t="s">
        <v>220</v>
      </c>
      <c r="G22" s="74" t="s">
        <v>193</v>
      </c>
      <c r="H22" s="74" t="s">
        <v>221</v>
      </c>
      <c r="I22" s="74" t="s">
        <v>221</v>
      </c>
      <c r="J22" s="74" t="s">
        <v>195</v>
      </c>
      <c r="K22" s="74" t="s">
        <v>351</v>
      </c>
      <c r="L22" s="75">
        <v>10560</v>
      </c>
      <c r="M22" s="74" t="s">
        <v>411</v>
      </c>
      <c r="N22" s="74"/>
    </row>
    <row r="23" spans="1:18">
      <c r="A23" s="74" t="s">
        <v>26</v>
      </c>
      <c r="B23" s="74">
        <v>16</v>
      </c>
      <c r="C23" s="74" t="s">
        <v>168</v>
      </c>
      <c r="D23" s="74" t="s">
        <v>50</v>
      </c>
      <c r="E23" s="74" t="s">
        <v>94</v>
      </c>
      <c r="F23" s="74" t="s">
        <v>224</v>
      </c>
      <c r="G23" s="74" t="s">
        <v>193</v>
      </c>
      <c r="H23" s="74" t="s">
        <v>208</v>
      </c>
      <c r="I23" s="74" t="s">
        <v>191</v>
      </c>
      <c r="J23" s="74" t="s">
        <v>188</v>
      </c>
      <c r="K23" s="74" t="s">
        <v>339</v>
      </c>
      <c r="L23" s="75">
        <v>6000</v>
      </c>
      <c r="M23" s="74" t="s">
        <v>225</v>
      </c>
      <c r="N23" s="74"/>
    </row>
    <row r="24" spans="1:18">
      <c r="A24" s="74" t="s">
        <v>26</v>
      </c>
      <c r="B24" s="74">
        <v>17</v>
      </c>
      <c r="C24" s="74" t="s">
        <v>168</v>
      </c>
      <c r="D24" s="74" t="s">
        <v>50</v>
      </c>
      <c r="E24" s="74" t="s">
        <v>96</v>
      </c>
      <c r="F24" s="74" t="s">
        <v>97</v>
      </c>
      <c r="G24" s="74" t="s">
        <v>193</v>
      </c>
      <c r="H24" s="74" t="s">
        <v>226</v>
      </c>
      <c r="I24" s="74" t="s">
        <v>227</v>
      </c>
      <c r="J24" s="74" t="s">
        <v>201</v>
      </c>
      <c r="K24" s="74" t="s">
        <v>412</v>
      </c>
      <c r="L24" s="75">
        <v>7200</v>
      </c>
      <c r="M24" s="74" t="s">
        <v>413</v>
      </c>
      <c r="N24" s="74"/>
    </row>
    <row r="25" ht="31" spans="1:18">
      <c r="A25" s="74" t="s">
        <v>26</v>
      </c>
      <c r="B25" s="74">
        <v>18</v>
      </c>
      <c r="C25" s="74" t="s">
        <v>168</v>
      </c>
      <c r="D25" s="74" t="s">
        <v>50</v>
      </c>
      <c r="E25" s="74" t="s">
        <v>68</v>
      </c>
      <c r="F25" s="74" t="s">
        <v>69</v>
      </c>
      <c r="G25" s="74" t="s">
        <v>193</v>
      </c>
      <c r="H25" s="74" t="s">
        <v>208</v>
      </c>
      <c r="I25" s="74" t="s">
        <v>191</v>
      </c>
      <c r="J25" s="74" t="s">
        <v>188</v>
      </c>
      <c r="K25" s="74" t="s">
        <v>328</v>
      </c>
      <c r="L25" s="75">
        <v>4800</v>
      </c>
      <c r="M25" s="74" t="s">
        <v>209</v>
      </c>
      <c r="N25" s="74"/>
    </row>
    <row r="26" spans="1:18">
      <c r="A26" s="70" t="s">
        <v>232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</row>
    <row r="27" spans="1:18">
      <c r="A27" s="72" t="s">
        <v>53</v>
      </c>
      <c r="B27" s="72" t="s">
        <v>54</v>
      </c>
      <c r="C27" s="72" t="s">
        <v>174</v>
      </c>
      <c r="D27" s="72" t="s">
        <v>325</v>
      </c>
      <c r="E27" s="72" t="s">
        <v>55</v>
      </c>
      <c r="F27" s="72" t="s">
        <v>56</v>
      </c>
      <c r="G27" s="72" t="s">
        <v>175</v>
      </c>
      <c r="H27" s="72" t="s">
        <v>176</v>
      </c>
      <c r="I27" s="72" t="s">
        <v>177</v>
      </c>
      <c r="J27" s="72" t="s">
        <v>178</v>
      </c>
      <c r="K27" s="72" t="s">
        <v>326</v>
      </c>
      <c r="L27" s="73" t="s">
        <v>327</v>
      </c>
      <c r="M27" s="72" t="s">
        <v>183</v>
      </c>
      <c r="N27" s="72" t="s">
        <v>184</v>
      </c>
    </row>
    <row r="28" ht="31" spans="1:18">
      <c r="A28" s="74" t="s">
        <v>27</v>
      </c>
      <c r="B28" s="74">
        <v>2</v>
      </c>
      <c r="C28" s="74" t="s">
        <v>168</v>
      </c>
      <c r="D28" s="74" t="s">
        <v>100</v>
      </c>
      <c r="E28" s="74" t="s">
        <v>68</v>
      </c>
      <c r="F28" s="74" t="s">
        <v>69</v>
      </c>
      <c r="G28" s="74" t="s">
        <v>233</v>
      </c>
      <c r="H28" s="74" t="s">
        <v>208</v>
      </c>
      <c r="I28" s="74" t="s">
        <v>191</v>
      </c>
      <c r="J28" s="74" t="s">
        <v>188</v>
      </c>
      <c r="K28" s="74" t="s">
        <v>328</v>
      </c>
      <c r="L28" s="75">
        <v>4800</v>
      </c>
      <c r="M28" s="74" t="s">
        <v>209</v>
      </c>
      <c r="N28" s="74"/>
    </row>
    <row r="29" ht="46" spans="1:18">
      <c r="A29" s="74" t="s">
        <v>27</v>
      </c>
      <c r="B29" s="74">
        <v>3</v>
      </c>
      <c r="C29" s="74" t="s">
        <v>168</v>
      </c>
      <c r="D29" s="74" t="s">
        <v>100</v>
      </c>
      <c r="E29" s="74" t="s">
        <v>101</v>
      </c>
      <c r="F29" s="74" t="s">
        <v>102</v>
      </c>
      <c r="G29" s="74" t="s">
        <v>233</v>
      </c>
      <c r="H29" s="74" t="s">
        <v>234</v>
      </c>
      <c r="I29" s="74" t="s">
        <v>227</v>
      </c>
      <c r="J29" s="74" t="s">
        <v>188</v>
      </c>
      <c r="K29" s="74" t="s">
        <v>334</v>
      </c>
      <c r="L29" s="75">
        <v>3300</v>
      </c>
      <c r="M29" s="74" t="s">
        <v>414</v>
      </c>
      <c r="N29" s="74" t="s">
        <v>236</v>
      </c>
    </row>
    <row r="30" ht="31" spans="1:18">
      <c r="A30" s="74" t="s">
        <v>27</v>
      </c>
      <c r="B30" s="74">
        <v>4</v>
      </c>
      <c r="C30" s="74" t="s">
        <v>168</v>
      </c>
      <c r="D30" s="74" t="s">
        <v>100</v>
      </c>
      <c r="E30" s="74" t="s">
        <v>104</v>
      </c>
      <c r="F30" s="74" t="s">
        <v>105</v>
      </c>
      <c r="G30" s="74" t="s">
        <v>233</v>
      </c>
      <c r="H30" s="74" t="s">
        <v>208</v>
      </c>
      <c r="I30" s="74" t="s">
        <v>187</v>
      </c>
      <c r="J30" s="74" t="s">
        <v>188</v>
      </c>
      <c r="K30" s="74" t="s">
        <v>415</v>
      </c>
      <c r="L30" s="75">
        <v>9500</v>
      </c>
      <c r="M30" s="74" t="s">
        <v>416</v>
      </c>
      <c r="N30" s="74" t="s">
        <v>238</v>
      </c>
    </row>
    <row r="31" ht="31" spans="1:18">
      <c r="A31" s="74" t="s">
        <v>27</v>
      </c>
      <c r="B31" s="74">
        <v>5</v>
      </c>
      <c r="C31" s="74" t="s">
        <v>168</v>
      </c>
      <c r="D31" s="74" t="s">
        <v>100</v>
      </c>
      <c r="E31" s="74" t="s">
        <v>68</v>
      </c>
      <c r="F31" s="74" t="s">
        <v>69</v>
      </c>
      <c r="G31" s="74" t="s">
        <v>233</v>
      </c>
      <c r="H31" s="74" t="s">
        <v>208</v>
      </c>
      <c r="I31" s="74" t="s">
        <v>191</v>
      </c>
      <c r="J31" s="74" t="s">
        <v>188</v>
      </c>
      <c r="K31" s="74" t="s">
        <v>328</v>
      </c>
      <c r="L31" s="75">
        <v>4800</v>
      </c>
      <c r="M31" s="74" t="s">
        <v>209</v>
      </c>
      <c r="N31" s="74"/>
    </row>
    <row r="32" spans="1:18">
      <c r="A32" s="70" t="s">
        <v>240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</row>
    <row r="33" spans="1:14">
      <c r="A33" s="72" t="s">
        <v>53</v>
      </c>
      <c r="B33" s="72" t="s">
        <v>54</v>
      </c>
      <c r="C33" s="72" t="s">
        <v>174</v>
      </c>
      <c r="D33" s="72" t="s">
        <v>325</v>
      </c>
      <c r="E33" s="72" t="s">
        <v>55</v>
      </c>
      <c r="F33" s="72" t="s">
        <v>56</v>
      </c>
      <c r="G33" s="72" t="s">
        <v>175</v>
      </c>
      <c r="H33" s="72" t="s">
        <v>176</v>
      </c>
      <c r="I33" s="72" t="s">
        <v>177</v>
      </c>
      <c r="J33" s="72" t="s">
        <v>178</v>
      </c>
      <c r="K33" s="72" t="s">
        <v>326</v>
      </c>
      <c r="L33" s="73" t="s">
        <v>327</v>
      </c>
      <c r="M33" s="72" t="s">
        <v>183</v>
      </c>
      <c r="N33" s="72" t="s">
        <v>184</v>
      </c>
    </row>
    <row r="34" ht="31" spans="1:14">
      <c r="A34" s="74" t="s">
        <v>30</v>
      </c>
      <c r="B34" s="74">
        <v>2</v>
      </c>
      <c r="C34" s="74" t="s">
        <v>168</v>
      </c>
      <c r="D34" s="74" t="s">
        <v>107</v>
      </c>
      <c r="E34" s="74" t="s">
        <v>68</v>
      </c>
      <c r="F34" s="74" t="s">
        <v>69</v>
      </c>
      <c r="G34" s="74" t="s">
        <v>241</v>
      </c>
      <c r="H34" s="74" t="s">
        <v>242</v>
      </c>
      <c r="I34" s="74" t="s">
        <v>191</v>
      </c>
      <c r="J34" s="74" t="s">
        <v>188</v>
      </c>
      <c r="K34" s="74" t="s">
        <v>328</v>
      </c>
      <c r="L34" s="75">
        <v>2400</v>
      </c>
      <c r="M34" s="74" t="s">
        <v>244</v>
      </c>
      <c r="N34" s="74"/>
    </row>
    <row r="35" spans="1:14">
      <c r="A35" s="74" t="s">
        <v>30</v>
      </c>
      <c r="B35" s="74">
        <v>3</v>
      </c>
      <c r="C35" s="74" t="s">
        <v>168</v>
      </c>
      <c r="D35" s="74" t="s">
        <v>107</v>
      </c>
      <c r="E35" s="74" t="s">
        <v>82</v>
      </c>
      <c r="F35" s="74" t="s">
        <v>83</v>
      </c>
      <c r="G35" s="74" t="s">
        <v>241</v>
      </c>
      <c r="H35" s="74" t="s">
        <v>206</v>
      </c>
      <c r="I35" s="74" t="s">
        <v>206</v>
      </c>
      <c r="J35" s="74" t="s">
        <v>195</v>
      </c>
      <c r="K35" s="74" t="s">
        <v>332</v>
      </c>
      <c r="L35" s="75">
        <v>30500</v>
      </c>
      <c r="M35" s="74" t="s">
        <v>207</v>
      </c>
      <c r="N35" s="74"/>
    </row>
    <row r="36" spans="1:14">
      <c r="A36" s="74" t="s">
        <v>30</v>
      </c>
      <c r="B36" s="74">
        <v>4</v>
      </c>
      <c r="C36" s="74" t="s">
        <v>168</v>
      </c>
      <c r="D36" s="74" t="s">
        <v>107</v>
      </c>
      <c r="E36" s="74" t="s">
        <v>84</v>
      </c>
      <c r="F36" s="74" t="s">
        <v>85</v>
      </c>
      <c r="G36" s="74" t="s">
        <v>241</v>
      </c>
      <c r="H36" s="74" t="s">
        <v>194</v>
      </c>
      <c r="I36" s="74" t="s">
        <v>194</v>
      </c>
      <c r="J36" s="74" t="s">
        <v>195</v>
      </c>
      <c r="K36" s="74" t="s">
        <v>402</v>
      </c>
      <c r="L36" s="75">
        <v>14400</v>
      </c>
      <c r="M36" s="74" t="s">
        <v>417</v>
      </c>
      <c r="N36" s="74"/>
    </row>
    <row r="37" spans="1:14">
      <c r="A37" s="74" t="s">
        <v>30</v>
      </c>
      <c r="B37" s="74">
        <v>5</v>
      </c>
      <c r="C37" s="74" t="s">
        <v>168</v>
      </c>
      <c r="D37" s="74" t="s">
        <v>107</v>
      </c>
      <c r="E37" s="74" t="s">
        <v>96</v>
      </c>
      <c r="F37" s="74" t="s">
        <v>97</v>
      </c>
      <c r="G37" s="74" t="s">
        <v>241</v>
      </c>
      <c r="H37" s="74" t="s">
        <v>246</v>
      </c>
      <c r="I37" s="74" t="s">
        <v>200</v>
      </c>
      <c r="J37" s="74" t="s">
        <v>201</v>
      </c>
      <c r="K37" s="74" t="s">
        <v>412</v>
      </c>
      <c r="L37" s="75">
        <v>3600</v>
      </c>
      <c r="M37" s="74" t="s">
        <v>418</v>
      </c>
      <c r="N37" s="74"/>
    </row>
    <row r="38" ht="46" spans="1:14">
      <c r="A38" s="74" t="s">
        <v>30</v>
      </c>
      <c r="B38" s="74">
        <v>6</v>
      </c>
      <c r="C38" s="74" t="s">
        <v>168</v>
      </c>
      <c r="D38" s="74" t="s">
        <v>107</v>
      </c>
      <c r="E38" s="74" t="s">
        <v>109</v>
      </c>
      <c r="F38" s="74" t="s">
        <v>110</v>
      </c>
      <c r="G38" s="74" t="s">
        <v>241</v>
      </c>
      <c r="H38" s="74" t="s">
        <v>248</v>
      </c>
      <c r="I38" s="74" t="s">
        <v>248</v>
      </c>
      <c r="J38" s="74" t="s">
        <v>195</v>
      </c>
      <c r="K38" s="74" t="s">
        <v>419</v>
      </c>
      <c r="L38" s="75">
        <v>11660</v>
      </c>
      <c r="M38" s="74" t="s">
        <v>420</v>
      </c>
      <c r="N38" s="74" t="s">
        <v>249</v>
      </c>
    </row>
    <row r="39" ht="31" spans="1:14">
      <c r="A39" s="74" t="s">
        <v>30</v>
      </c>
      <c r="B39" s="74">
        <v>7</v>
      </c>
      <c r="C39" s="74" t="s">
        <v>168</v>
      </c>
      <c r="D39" s="74" t="s">
        <v>107</v>
      </c>
      <c r="E39" s="74" t="s">
        <v>68</v>
      </c>
      <c r="F39" s="74" t="s">
        <v>69</v>
      </c>
      <c r="G39" s="74" t="s">
        <v>241</v>
      </c>
      <c r="H39" s="74" t="s">
        <v>242</v>
      </c>
      <c r="I39" s="74" t="s">
        <v>200</v>
      </c>
      <c r="J39" s="74" t="s">
        <v>188</v>
      </c>
      <c r="K39" s="74" t="s">
        <v>328</v>
      </c>
      <c r="L39" s="75">
        <v>2400</v>
      </c>
      <c r="M39" s="74" t="s">
        <v>244</v>
      </c>
      <c r="N39" s="74"/>
    </row>
    <row r="40" spans="1:14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5"/>
      <c r="M40" s="74"/>
      <c r="N40" s="74"/>
    </row>
    <row r="41" spans="1:14">
      <c r="A41" s="70" t="s">
        <v>251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</row>
    <row r="42" spans="1:14">
      <c r="A42" s="72" t="s">
        <v>53</v>
      </c>
      <c r="B42" s="72" t="s">
        <v>54</v>
      </c>
      <c r="C42" s="72" t="s">
        <v>174</v>
      </c>
      <c r="D42" s="72" t="s">
        <v>325</v>
      </c>
      <c r="E42" s="72" t="s">
        <v>55</v>
      </c>
      <c r="F42" s="72" t="s">
        <v>56</v>
      </c>
      <c r="G42" s="72" t="s">
        <v>175</v>
      </c>
      <c r="H42" s="72" t="s">
        <v>176</v>
      </c>
      <c r="I42" s="72" t="s">
        <v>177</v>
      </c>
      <c r="J42" s="72" t="s">
        <v>178</v>
      </c>
      <c r="K42" s="72" t="s">
        <v>326</v>
      </c>
      <c r="L42" s="73" t="s">
        <v>327</v>
      </c>
      <c r="M42" s="72" t="s">
        <v>183</v>
      </c>
      <c r="N42" s="72" t="s">
        <v>184</v>
      </c>
    </row>
    <row r="43" ht="31" spans="1:14">
      <c r="A43" s="74" t="s">
        <v>31</v>
      </c>
      <c r="B43" s="74">
        <v>2</v>
      </c>
      <c r="C43" s="74" t="s">
        <v>168</v>
      </c>
      <c r="D43" s="74" t="s">
        <v>111</v>
      </c>
      <c r="E43" s="74" t="s">
        <v>68</v>
      </c>
      <c r="F43" s="74" t="s">
        <v>69</v>
      </c>
      <c r="G43" s="74" t="s">
        <v>252</v>
      </c>
      <c r="H43" s="74" t="s">
        <v>242</v>
      </c>
      <c r="I43" s="74" t="s">
        <v>191</v>
      </c>
      <c r="J43" s="74" t="s">
        <v>188</v>
      </c>
      <c r="K43" s="74" t="s">
        <v>328</v>
      </c>
      <c r="L43" s="75">
        <v>2400</v>
      </c>
      <c r="M43" s="74" t="s">
        <v>244</v>
      </c>
      <c r="N43" s="74"/>
    </row>
    <row r="44" ht="31" spans="1:14">
      <c r="A44" s="74" t="s">
        <v>31</v>
      </c>
      <c r="B44" s="74">
        <v>3</v>
      </c>
      <c r="C44" s="74" t="s">
        <v>168</v>
      </c>
      <c r="D44" s="74" t="s">
        <v>111</v>
      </c>
      <c r="E44" s="74" t="s">
        <v>112</v>
      </c>
      <c r="F44" s="74" t="s">
        <v>113</v>
      </c>
      <c r="G44" s="74" t="s">
        <v>252</v>
      </c>
      <c r="H44" s="74" t="s">
        <v>253</v>
      </c>
      <c r="I44" s="74" t="s">
        <v>253</v>
      </c>
      <c r="J44" s="74" t="s">
        <v>195</v>
      </c>
      <c r="K44" s="74" t="s">
        <v>421</v>
      </c>
      <c r="L44" s="75">
        <v>150000</v>
      </c>
      <c r="M44" s="74" t="s">
        <v>422</v>
      </c>
      <c r="N44" s="74" t="s">
        <v>255</v>
      </c>
    </row>
    <row r="45" ht="31" spans="1:14">
      <c r="A45" s="74" t="s">
        <v>31</v>
      </c>
      <c r="B45" s="74">
        <v>4</v>
      </c>
      <c r="C45" s="74" t="s">
        <v>168</v>
      </c>
      <c r="D45" s="74" t="s">
        <v>111</v>
      </c>
      <c r="E45" s="74" t="s">
        <v>68</v>
      </c>
      <c r="F45" s="74" t="s">
        <v>69</v>
      </c>
      <c r="G45" s="74" t="s">
        <v>252</v>
      </c>
      <c r="H45" s="74" t="s">
        <v>242</v>
      </c>
      <c r="I45" s="74" t="s">
        <v>200</v>
      </c>
      <c r="J45" s="74" t="s">
        <v>188</v>
      </c>
      <c r="K45" s="74" t="s">
        <v>328</v>
      </c>
      <c r="L45" s="75">
        <v>2400</v>
      </c>
      <c r="M45" s="74" t="s">
        <v>244</v>
      </c>
      <c r="N45" s="74"/>
    </row>
    <row r="46" spans="1:14">
      <c r="A46" s="70" t="s">
        <v>257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</row>
    <row r="47" spans="1:14">
      <c r="A47" s="72" t="s">
        <v>53</v>
      </c>
      <c r="B47" s="72" t="s">
        <v>54</v>
      </c>
      <c r="C47" s="72" t="s">
        <v>174</v>
      </c>
      <c r="D47" s="72" t="s">
        <v>325</v>
      </c>
      <c r="E47" s="72" t="s">
        <v>55</v>
      </c>
      <c r="F47" s="72" t="s">
        <v>56</v>
      </c>
      <c r="G47" s="72" t="s">
        <v>175</v>
      </c>
      <c r="H47" s="72" t="s">
        <v>176</v>
      </c>
      <c r="I47" s="72" t="s">
        <v>177</v>
      </c>
      <c r="J47" s="72" t="s">
        <v>178</v>
      </c>
      <c r="K47" s="72" t="s">
        <v>326</v>
      </c>
      <c r="L47" s="73" t="s">
        <v>327</v>
      </c>
      <c r="M47" s="72" t="s">
        <v>183</v>
      </c>
      <c r="N47" s="72" t="s">
        <v>184</v>
      </c>
    </row>
    <row r="48" ht="31" spans="1:14">
      <c r="A48" s="74" t="s">
        <v>32</v>
      </c>
      <c r="B48" s="74">
        <v>2</v>
      </c>
      <c r="C48" s="74" t="s">
        <v>168</v>
      </c>
      <c r="D48" s="74" t="s">
        <v>114</v>
      </c>
      <c r="E48" s="74" t="s">
        <v>68</v>
      </c>
      <c r="F48" s="74" t="s">
        <v>69</v>
      </c>
      <c r="G48" s="74" t="s">
        <v>258</v>
      </c>
      <c r="H48" s="74" t="s">
        <v>242</v>
      </c>
      <c r="I48" s="74" t="s">
        <v>191</v>
      </c>
      <c r="J48" s="74" t="s">
        <v>188</v>
      </c>
      <c r="K48" s="74" t="s">
        <v>328</v>
      </c>
      <c r="L48" s="75">
        <v>2400</v>
      </c>
      <c r="M48" s="74" t="s">
        <v>244</v>
      </c>
      <c r="N48" s="74"/>
    </row>
    <row r="49" ht="31" spans="1:14">
      <c r="A49" s="74" t="s">
        <v>32</v>
      </c>
      <c r="B49" s="74">
        <v>3</v>
      </c>
      <c r="C49" s="74" t="s">
        <v>168</v>
      </c>
      <c r="D49" s="74" t="s">
        <v>114</v>
      </c>
      <c r="E49" s="74" t="s">
        <v>115</v>
      </c>
      <c r="F49" s="74" t="s">
        <v>116</v>
      </c>
      <c r="G49" s="74" t="s">
        <v>258</v>
      </c>
      <c r="H49" s="74" t="s">
        <v>194</v>
      </c>
      <c r="I49" s="74" t="s">
        <v>194</v>
      </c>
      <c r="J49" s="74" t="s">
        <v>195</v>
      </c>
      <c r="K49" s="74" t="s">
        <v>423</v>
      </c>
      <c r="L49" s="75">
        <v>1920</v>
      </c>
      <c r="M49" s="74" t="s">
        <v>424</v>
      </c>
      <c r="N49" s="74"/>
    </row>
    <row r="50" ht="31" spans="1:14">
      <c r="A50" s="74" t="s">
        <v>32</v>
      </c>
      <c r="B50" s="74">
        <v>4</v>
      </c>
      <c r="C50" s="74" t="s">
        <v>168</v>
      </c>
      <c r="D50" s="74" t="s">
        <v>114</v>
      </c>
      <c r="E50" s="74" t="s">
        <v>68</v>
      </c>
      <c r="F50" s="74" t="s">
        <v>69</v>
      </c>
      <c r="G50" s="74" t="s">
        <v>258</v>
      </c>
      <c r="H50" s="74" t="s">
        <v>242</v>
      </c>
      <c r="I50" s="74" t="s">
        <v>200</v>
      </c>
      <c r="J50" s="74" t="s">
        <v>188</v>
      </c>
      <c r="K50" s="74" t="s">
        <v>328</v>
      </c>
      <c r="L50" s="75">
        <v>2400</v>
      </c>
      <c r="M50" s="74" t="s">
        <v>244</v>
      </c>
      <c r="N50" s="74"/>
    </row>
    <row r="51" spans="1:14">
      <c r="A51" s="70" t="s">
        <v>261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</row>
    <row r="52" spans="1:14">
      <c r="A52" s="72" t="s">
        <v>53</v>
      </c>
      <c r="B52" s="72" t="s">
        <v>54</v>
      </c>
      <c r="C52" s="72" t="s">
        <v>174</v>
      </c>
      <c r="D52" s="72" t="s">
        <v>325</v>
      </c>
      <c r="E52" s="72" t="s">
        <v>55</v>
      </c>
      <c r="F52" s="72" t="s">
        <v>56</v>
      </c>
      <c r="G52" s="72" t="s">
        <v>175</v>
      </c>
      <c r="H52" s="72" t="s">
        <v>176</v>
      </c>
      <c r="I52" s="72" t="s">
        <v>177</v>
      </c>
      <c r="J52" s="72" t="s">
        <v>178</v>
      </c>
      <c r="K52" s="72" t="s">
        <v>326</v>
      </c>
      <c r="L52" s="73" t="s">
        <v>327</v>
      </c>
      <c r="M52" s="72" t="s">
        <v>183</v>
      </c>
      <c r="N52" s="72" t="s">
        <v>184</v>
      </c>
    </row>
    <row r="53" ht="31" spans="1:14">
      <c r="A53" s="74" t="s">
        <v>33</v>
      </c>
      <c r="B53" s="74">
        <v>1</v>
      </c>
      <c r="C53" s="74" t="s">
        <v>168</v>
      </c>
      <c r="D53" s="74" t="s">
        <v>350</v>
      </c>
      <c r="E53" s="74" t="s">
        <v>68</v>
      </c>
      <c r="F53" s="74" t="s">
        <v>69</v>
      </c>
      <c r="G53" s="74" t="s">
        <v>262</v>
      </c>
      <c r="H53" s="74" t="s">
        <v>263</v>
      </c>
      <c r="I53" s="74" t="s">
        <v>191</v>
      </c>
      <c r="J53" s="74" t="s">
        <v>188</v>
      </c>
      <c r="K53" s="74" t="s">
        <v>328</v>
      </c>
      <c r="L53" s="75">
        <v>3200</v>
      </c>
      <c r="M53" s="74" t="s">
        <v>264</v>
      </c>
      <c r="N53" s="74"/>
    </row>
    <row r="54" ht="31" spans="1:14">
      <c r="A54" s="74" t="s">
        <v>33</v>
      </c>
      <c r="B54" s="74">
        <v>2</v>
      </c>
      <c r="C54" s="74" t="s">
        <v>168</v>
      </c>
      <c r="D54" s="74" t="s">
        <v>350</v>
      </c>
      <c r="E54" s="74" t="s">
        <v>118</v>
      </c>
      <c r="F54" s="74" t="s">
        <v>119</v>
      </c>
      <c r="G54" s="74" t="s">
        <v>262</v>
      </c>
      <c r="H54" s="74" t="s">
        <v>265</v>
      </c>
      <c r="I54" s="74" t="s">
        <v>265</v>
      </c>
      <c r="J54" s="74" t="s">
        <v>195</v>
      </c>
      <c r="K54" s="74" t="s">
        <v>425</v>
      </c>
      <c r="L54" s="75">
        <v>55935</v>
      </c>
      <c r="M54" s="74" t="s">
        <v>426</v>
      </c>
      <c r="N54" s="74"/>
    </row>
    <row r="55" ht="31" spans="1:14">
      <c r="A55" s="74" t="s">
        <v>33</v>
      </c>
      <c r="B55" s="74">
        <v>3</v>
      </c>
      <c r="C55" s="74" t="s">
        <v>168</v>
      </c>
      <c r="D55" s="74" t="s">
        <v>350</v>
      </c>
      <c r="E55" s="74" t="s">
        <v>68</v>
      </c>
      <c r="F55" s="74" t="s">
        <v>69</v>
      </c>
      <c r="G55" s="74" t="s">
        <v>262</v>
      </c>
      <c r="H55" s="74" t="s">
        <v>263</v>
      </c>
      <c r="I55" s="74" t="s">
        <v>200</v>
      </c>
      <c r="J55" s="74" t="s">
        <v>188</v>
      </c>
      <c r="K55" s="74" t="s">
        <v>328</v>
      </c>
      <c r="L55" s="75">
        <v>3200</v>
      </c>
      <c r="M55" s="74" t="s">
        <v>264</v>
      </c>
      <c r="N55" s="74"/>
    </row>
    <row r="56" ht="46" spans="1:14">
      <c r="A56" s="74" t="s">
        <v>33</v>
      </c>
      <c r="B56" s="74">
        <v>5</v>
      </c>
      <c r="C56" s="74" t="s">
        <v>168</v>
      </c>
      <c r="D56" s="74" t="s">
        <v>350</v>
      </c>
      <c r="E56" s="74" t="s">
        <v>121</v>
      </c>
      <c r="F56" s="74" t="s">
        <v>121</v>
      </c>
      <c r="G56" s="74" t="s">
        <v>262</v>
      </c>
      <c r="H56" s="74" t="s">
        <v>267</v>
      </c>
      <c r="I56" s="74" t="s">
        <v>268</v>
      </c>
      <c r="J56" s="74" t="s">
        <v>269</v>
      </c>
      <c r="K56" s="74" t="s">
        <v>427</v>
      </c>
      <c r="L56" s="75">
        <v>23100</v>
      </c>
      <c r="M56" s="74" t="s">
        <v>428</v>
      </c>
      <c r="N56" s="74" t="s">
        <v>271</v>
      </c>
    </row>
    <row r="57" spans="1:14">
      <c r="A57" s="70" t="s">
        <v>273</v>
      </c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</row>
    <row r="58" spans="1:14">
      <c r="A58" s="72" t="s">
        <v>53</v>
      </c>
      <c r="B58" s="72" t="s">
        <v>54</v>
      </c>
      <c r="C58" s="72" t="s">
        <v>174</v>
      </c>
      <c r="D58" s="72" t="s">
        <v>325</v>
      </c>
      <c r="E58" s="72" t="s">
        <v>55</v>
      </c>
      <c r="F58" s="72" t="s">
        <v>56</v>
      </c>
      <c r="G58" s="72" t="s">
        <v>175</v>
      </c>
      <c r="H58" s="72" t="s">
        <v>176</v>
      </c>
      <c r="I58" s="72" t="s">
        <v>177</v>
      </c>
      <c r="J58" s="72" t="s">
        <v>178</v>
      </c>
      <c r="K58" s="72" t="s">
        <v>326</v>
      </c>
      <c r="L58" s="73" t="s">
        <v>327</v>
      </c>
      <c r="M58" s="72" t="s">
        <v>183</v>
      </c>
      <c r="N58" s="72" t="s">
        <v>184</v>
      </c>
    </row>
    <row r="59" ht="31" spans="1:14">
      <c r="A59" s="74" t="s">
        <v>35</v>
      </c>
      <c r="B59" s="74">
        <v>1</v>
      </c>
      <c r="C59" s="74" t="s">
        <v>168</v>
      </c>
      <c r="D59" s="74" t="s">
        <v>354</v>
      </c>
      <c r="E59" s="74" t="s">
        <v>68</v>
      </c>
      <c r="F59" s="74" t="s">
        <v>69</v>
      </c>
      <c r="G59" s="74" t="s">
        <v>274</v>
      </c>
      <c r="H59" s="74" t="s">
        <v>242</v>
      </c>
      <c r="I59" s="74" t="s">
        <v>191</v>
      </c>
      <c r="J59" s="74" t="s">
        <v>188</v>
      </c>
      <c r="K59" s="74" t="s">
        <v>328</v>
      </c>
      <c r="L59" s="75">
        <v>2400</v>
      </c>
      <c r="M59" s="74" t="s">
        <v>244</v>
      </c>
      <c r="N59" s="74"/>
    </row>
    <row r="60" ht="31" spans="1:14">
      <c r="A60" s="74" t="s">
        <v>35</v>
      </c>
      <c r="B60" s="74">
        <v>2</v>
      </c>
      <c r="C60" s="74" t="s">
        <v>168</v>
      </c>
      <c r="D60" s="74" t="s">
        <v>354</v>
      </c>
      <c r="E60" s="74" t="s">
        <v>123</v>
      </c>
      <c r="F60" s="74" t="s">
        <v>124</v>
      </c>
      <c r="G60" s="74" t="s">
        <v>274</v>
      </c>
      <c r="H60" s="74" t="s">
        <v>199</v>
      </c>
      <c r="I60" s="74" t="s">
        <v>200</v>
      </c>
      <c r="J60" s="74" t="s">
        <v>201</v>
      </c>
      <c r="K60" s="74" t="s">
        <v>369</v>
      </c>
      <c r="L60" s="75">
        <v>5000</v>
      </c>
      <c r="M60" s="74" t="s">
        <v>370</v>
      </c>
      <c r="N60" s="74"/>
    </row>
    <row r="61" ht="31" spans="1:14">
      <c r="A61" s="74" t="s">
        <v>35</v>
      </c>
      <c r="B61" s="74">
        <v>3</v>
      </c>
      <c r="C61" s="74" t="s">
        <v>168</v>
      </c>
      <c r="D61" s="74" t="s">
        <v>354</v>
      </c>
      <c r="E61" s="74" t="s">
        <v>68</v>
      </c>
      <c r="F61" s="74" t="s">
        <v>69</v>
      </c>
      <c r="G61" s="74" t="s">
        <v>274</v>
      </c>
      <c r="H61" s="74" t="s">
        <v>242</v>
      </c>
      <c r="I61" s="74" t="s">
        <v>200</v>
      </c>
      <c r="J61" s="74" t="s">
        <v>188</v>
      </c>
      <c r="K61" s="74" t="s">
        <v>328</v>
      </c>
      <c r="L61" s="75">
        <v>2400</v>
      </c>
      <c r="M61" s="74" t="s">
        <v>244</v>
      </c>
      <c r="N61" s="74"/>
    </row>
    <row r="62" spans="1:14">
      <c r="A62" s="70" t="s">
        <v>276</v>
      </c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</row>
    <row r="63" spans="1:14">
      <c r="A63" s="72" t="s">
        <v>53</v>
      </c>
      <c r="B63" s="72" t="s">
        <v>54</v>
      </c>
      <c r="C63" s="72" t="s">
        <v>174</v>
      </c>
      <c r="D63" s="72" t="s">
        <v>325</v>
      </c>
      <c r="E63" s="72" t="s">
        <v>55</v>
      </c>
      <c r="F63" s="72" t="s">
        <v>56</v>
      </c>
      <c r="G63" s="72" t="s">
        <v>175</v>
      </c>
      <c r="H63" s="72" t="s">
        <v>176</v>
      </c>
      <c r="I63" s="72" t="s">
        <v>177</v>
      </c>
      <c r="J63" s="72" t="s">
        <v>178</v>
      </c>
      <c r="K63" s="72" t="s">
        <v>326</v>
      </c>
      <c r="L63" s="73" t="s">
        <v>327</v>
      </c>
      <c r="M63" s="72" t="s">
        <v>183</v>
      </c>
      <c r="N63" s="72" t="s">
        <v>184</v>
      </c>
    </row>
    <row r="64" ht="31" spans="1:14">
      <c r="A64" s="74" t="s">
        <v>37</v>
      </c>
      <c r="B64" s="74">
        <v>2</v>
      </c>
      <c r="C64" s="74" t="s">
        <v>168</v>
      </c>
      <c r="D64" s="74" t="s">
        <v>126</v>
      </c>
      <c r="E64" s="74" t="s">
        <v>68</v>
      </c>
      <c r="F64" s="74" t="s">
        <v>69</v>
      </c>
      <c r="G64" s="74" t="s">
        <v>277</v>
      </c>
      <c r="H64" s="74" t="s">
        <v>242</v>
      </c>
      <c r="I64" s="74" t="s">
        <v>191</v>
      </c>
      <c r="J64" s="74" t="s">
        <v>188</v>
      </c>
      <c r="K64" s="74" t="s">
        <v>328</v>
      </c>
      <c r="L64" s="75">
        <v>2400</v>
      </c>
      <c r="M64" s="74" t="s">
        <v>244</v>
      </c>
      <c r="N64" s="74"/>
    </row>
    <row r="65" ht="31" spans="1:14">
      <c r="A65" s="74" t="s">
        <v>37</v>
      </c>
      <c r="B65" s="74">
        <v>3</v>
      </c>
      <c r="C65" s="74" t="s">
        <v>168</v>
      </c>
      <c r="D65" s="74" t="s">
        <v>126</v>
      </c>
      <c r="E65" s="74" t="s">
        <v>127</v>
      </c>
      <c r="F65" s="74" t="s">
        <v>128</v>
      </c>
      <c r="G65" s="74" t="s">
        <v>277</v>
      </c>
      <c r="H65" s="74" t="s">
        <v>253</v>
      </c>
      <c r="I65" s="74" t="s">
        <v>253</v>
      </c>
      <c r="J65" s="74" t="s">
        <v>195</v>
      </c>
      <c r="K65" s="74" t="s">
        <v>329</v>
      </c>
      <c r="L65" s="75">
        <v>30000</v>
      </c>
      <c r="M65" s="74" t="s">
        <v>429</v>
      </c>
      <c r="N65" s="74"/>
    </row>
    <row r="66" ht="31" spans="1:14">
      <c r="A66" s="74" t="s">
        <v>37</v>
      </c>
      <c r="B66" s="74">
        <v>4</v>
      </c>
      <c r="C66" s="74" t="s">
        <v>168</v>
      </c>
      <c r="D66" s="74" t="s">
        <v>126</v>
      </c>
      <c r="E66" s="74" t="s">
        <v>68</v>
      </c>
      <c r="F66" s="74" t="s">
        <v>69</v>
      </c>
      <c r="G66" s="74" t="s">
        <v>277</v>
      </c>
      <c r="H66" s="74" t="s">
        <v>242</v>
      </c>
      <c r="I66" s="74" t="s">
        <v>200</v>
      </c>
      <c r="J66" s="74" t="s">
        <v>188</v>
      </c>
      <c r="K66" s="74" t="s">
        <v>328</v>
      </c>
      <c r="L66" s="75">
        <v>2400</v>
      </c>
      <c r="M66" s="74" t="s">
        <v>244</v>
      </c>
      <c r="N66" s="74"/>
    </row>
    <row r="67" spans="1:14">
      <c r="A67" s="70" t="s">
        <v>280</v>
      </c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</row>
    <row r="68" spans="1:14">
      <c r="A68" s="72" t="s">
        <v>53</v>
      </c>
      <c r="B68" s="72" t="s">
        <v>54</v>
      </c>
      <c r="C68" s="72" t="s">
        <v>174</v>
      </c>
      <c r="D68" s="72" t="s">
        <v>325</v>
      </c>
      <c r="E68" s="72" t="s">
        <v>55</v>
      </c>
      <c r="F68" s="72" t="s">
        <v>56</v>
      </c>
      <c r="G68" s="72" t="s">
        <v>175</v>
      </c>
      <c r="H68" s="72" t="s">
        <v>176</v>
      </c>
      <c r="I68" s="72" t="s">
        <v>177</v>
      </c>
      <c r="J68" s="72" t="s">
        <v>178</v>
      </c>
      <c r="K68" s="72" t="s">
        <v>326</v>
      </c>
      <c r="L68" s="73" t="s">
        <v>327</v>
      </c>
      <c r="M68" s="72" t="s">
        <v>183</v>
      </c>
      <c r="N68" s="72" t="s">
        <v>184</v>
      </c>
    </row>
    <row r="69" ht="31" spans="1:14">
      <c r="A69" s="74" t="s">
        <v>38</v>
      </c>
      <c r="B69" s="74">
        <v>2</v>
      </c>
      <c r="C69" s="74" t="s">
        <v>168</v>
      </c>
      <c r="D69" s="74" t="s">
        <v>129</v>
      </c>
      <c r="E69" s="74" t="s">
        <v>68</v>
      </c>
      <c r="F69" s="74" t="s">
        <v>69</v>
      </c>
      <c r="G69" s="74" t="s">
        <v>281</v>
      </c>
      <c r="H69" s="74" t="s">
        <v>242</v>
      </c>
      <c r="I69" s="74" t="s">
        <v>191</v>
      </c>
      <c r="J69" s="74" t="s">
        <v>188</v>
      </c>
      <c r="K69" s="74" t="s">
        <v>328</v>
      </c>
      <c r="L69" s="75">
        <v>2400</v>
      </c>
      <c r="M69" s="74" t="s">
        <v>244</v>
      </c>
      <c r="N69" s="74"/>
    </row>
    <row r="70" ht="31" spans="1:14">
      <c r="A70" s="74" t="s">
        <v>38</v>
      </c>
      <c r="B70" s="74">
        <v>3</v>
      </c>
      <c r="C70" s="74" t="s">
        <v>168</v>
      </c>
      <c r="D70" s="74" t="s">
        <v>129</v>
      </c>
      <c r="E70" s="74" t="s">
        <v>130</v>
      </c>
      <c r="F70" s="74" t="s">
        <v>131</v>
      </c>
      <c r="G70" s="74" t="s">
        <v>281</v>
      </c>
      <c r="H70" s="74" t="s">
        <v>253</v>
      </c>
      <c r="I70" s="74" t="s">
        <v>253</v>
      </c>
      <c r="J70" s="74" t="s">
        <v>195</v>
      </c>
      <c r="K70" s="74" t="s">
        <v>329</v>
      </c>
      <c r="L70" s="75">
        <v>30000</v>
      </c>
      <c r="M70" s="74" t="s">
        <v>429</v>
      </c>
      <c r="N70" s="74"/>
    </row>
    <row r="71" ht="31" spans="1:14">
      <c r="A71" s="74" t="s">
        <v>38</v>
      </c>
      <c r="B71" s="74">
        <v>4</v>
      </c>
      <c r="C71" s="74" t="s">
        <v>168</v>
      </c>
      <c r="D71" s="74" t="s">
        <v>129</v>
      </c>
      <c r="E71" s="74" t="s">
        <v>68</v>
      </c>
      <c r="F71" s="74" t="s">
        <v>69</v>
      </c>
      <c r="G71" s="74" t="s">
        <v>281</v>
      </c>
      <c r="H71" s="74" t="s">
        <v>242</v>
      </c>
      <c r="I71" s="74" t="s">
        <v>200</v>
      </c>
      <c r="J71" s="74" t="s">
        <v>188</v>
      </c>
      <c r="K71" s="74" t="s">
        <v>328</v>
      </c>
      <c r="L71" s="75">
        <v>2400</v>
      </c>
      <c r="M71" s="74" t="s">
        <v>244</v>
      </c>
      <c r="N71" s="74"/>
    </row>
    <row r="72" spans="1:14">
      <c r="A72" s="70" t="s">
        <v>283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</row>
    <row r="73" spans="1:14">
      <c r="A73" s="72" t="s">
        <v>53</v>
      </c>
      <c r="B73" s="72" t="s">
        <v>54</v>
      </c>
      <c r="C73" s="72" t="s">
        <v>174</v>
      </c>
      <c r="D73" s="72" t="s">
        <v>325</v>
      </c>
      <c r="E73" s="72" t="s">
        <v>55</v>
      </c>
      <c r="F73" s="72" t="s">
        <v>56</v>
      </c>
      <c r="G73" s="72" t="s">
        <v>175</v>
      </c>
      <c r="H73" s="72" t="s">
        <v>176</v>
      </c>
      <c r="I73" s="72" t="s">
        <v>177</v>
      </c>
      <c r="J73" s="72" t="s">
        <v>178</v>
      </c>
      <c r="K73" s="72" t="s">
        <v>326</v>
      </c>
      <c r="L73" s="73" t="s">
        <v>327</v>
      </c>
      <c r="M73" s="72" t="s">
        <v>183</v>
      </c>
      <c r="N73" s="72" t="s">
        <v>184</v>
      </c>
    </row>
    <row r="74" ht="31" spans="1:14">
      <c r="A74" s="74" t="s">
        <v>39</v>
      </c>
      <c r="B74" s="74">
        <v>2</v>
      </c>
      <c r="C74" s="74" t="s">
        <v>168</v>
      </c>
      <c r="D74" s="74" t="s">
        <v>132</v>
      </c>
      <c r="E74" s="74" t="s">
        <v>68</v>
      </c>
      <c r="F74" s="74" t="s">
        <v>69</v>
      </c>
      <c r="G74" s="74" t="s">
        <v>284</v>
      </c>
      <c r="H74" s="74" t="s">
        <v>242</v>
      </c>
      <c r="I74" s="74" t="s">
        <v>191</v>
      </c>
      <c r="J74" s="74" t="s">
        <v>188</v>
      </c>
      <c r="K74" s="74" t="s">
        <v>328</v>
      </c>
      <c r="L74" s="75">
        <v>2400</v>
      </c>
      <c r="M74" s="74" t="s">
        <v>244</v>
      </c>
      <c r="N74" s="74"/>
    </row>
    <row r="75" ht="31" spans="1:14">
      <c r="A75" s="74" t="s">
        <v>39</v>
      </c>
      <c r="B75" s="74">
        <v>3</v>
      </c>
      <c r="C75" s="74" t="s">
        <v>168</v>
      </c>
      <c r="D75" s="74" t="s">
        <v>132</v>
      </c>
      <c r="E75" s="74" t="s">
        <v>130</v>
      </c>
      <c r="F75" s="74" t="s">
        <v>133</v>
      </c>
      <c r="G75" s="74" t="s">
        <v>284</v>
      </c>
      <c r="H75" s="74" t="s">
        <v>285</v>
      </c>
      <c r="I75" s="74" t="s">
        <v>285</v>
      </c>
      <c r="J75" s="74" t="s">
        <v>195</v>
      </c>
      <c r="K75" s="74" t="s">
        <v>329</v>
      </c>
      <c r="L75" s="75">
        <v>33000</v>
      </c>
      <c r="M75" s="74" t="s">
        <v>430</v>
      </c>
      <c r="N75" s="74"/>
    </row>
    <row r="76" ht="31" spans="1:14">
      <c r="A76" s="74" t="s">
        <v>39</v>
      </c>
      <c r="B76" s="74">
        <v>4</v>
      </c>
      <c r="C76" s="74" t="s">
        <v>168</v>
      </c>
      <c r="D76" s="74" t="s">
        <v>132</v>
      </c>
      <c r="E76" s="74" t="s">
        <v>68</v>
      </c>
      <c r="F76" s="74" t="s">
        <v>69</v>
      </c>
      <c r="G76" s="74" t="s">
        <v>284</v>
      </c>
      <c r="H76" s="74" t="s">
        <v>242</v>
      </c>
      <c r="I76" s="74" t="s">
        <v>200</v>
      </c>
      <c r="J76" s="74" t="s">
        <v>188</v>
      </c>
      <c r="K76" s="74" t="s">
        <v>328</v>
      </c>
      <c r="L76" s="75">
        <v>2400</v>
      </c>
      <c r="M76" s="74" t="s">
        <v>244</v>
      </c>
      <c r="N76" s="74"/>
    </row>
    <row r="77" spans="1:14">
      <c r="A77" s="70" t="s">
        <v>295</v>
      </c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</row>
    <row r="78" spans="1:14">
      <c r="A78" s="72" t="s">
        <v>53</v>
      </c>
      <c r="B78" s="72" t="s">
        <v>54</v>
      </c>
      <c r="C78" s="72" t="s">
        <v>174</v>
      </c>
      <c r="D78" s="72" t="s">
        <v>325</v>
      </c>
      <c r="E78" s="72" t="s">
        <v>55</v>
      </c>
      <c r="F78" s="72" t="s">
        <v>56</v>
      </c>
      <c r="G78" s="72" t="s">
        <v>175</v>
      </c>
      <c r="H78" s="72" t="s">
        <v>176</v>
      </c>
      <c r="I78" s="72" t="s">
        <v>177</v>
      </c>
      <c r="J78" s="72" t="s">
        <v>178</v>
      </c>
      <c r="K78" s="72" t="s">
        <v>326</v>
      </c>
      <c r="L78" s="73" t="s">
        <v>327</v>
      </c>
      <c r="M78" s="72" t="s">
        <v>183</v>
      </c>
      <c r="N78" s="72" t="s">
        <v>184</v>
      </c>
    </row>
    <row r="79" ht="31" spans="1:14">
      <c r="A79" s="74" t="s">
        <v>43</v>
      </c>
      <c r="B79" s="74">
        <v>1</v>
      </c>
      <c r="C79" s="74" t="s">
        <v>168</v>
      </c>
      <c r="D79" s="74" t="s">
        <v>358</v>
      </c>
      <c r="E79" s="74" t="s">
        <v>141</v>
      </c>
      <c r="F79" s="74" t="s">
        <v>142</v>
      </c>
      <c r="G79" s="74" t="s">
        <v>296</v>
      </c>
      <c r="H79" s="74" t="s">
        <v>297</v>
      </c>
      <c r="I79" s="74" t="s">
        <v>268</v>
      </c>
      <c r="J79" s="74" t="s">
        <v>188</v>
      </c>
      <c r="K79" s="74" t="s">
        <v>401</v>
      </c>
      <c r="L79" s="75"/>
      <c r="M79" s="74" t="s">
        <v>298</v>
      </c>
      <c r="N79" s="74" t="s">
        <v>299</v>
      </c>
    </row>
    <row r="80" spans="1:14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5"/>
      <c r="M80" s="74"/>
      <c r="N80" s="74"/>
    </row>
    <row r="81" spans="1:14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5"/>
      <c r="M81" s="74"/>
      <c r="N81" s="74"/>
    </row>
    <row r="82" spans="1:14">
      <c r="A82" s="79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</row>
    <row r="83" spans="1:14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3"/>
      <c r="M83" s="72"/>
      <c r="N83" s="72"/>
    </row>
    <row r="84" spans="1:14">
      <c r="A84" s="74"/>
      <c r="B84" s="81"/>
      <c r="C84" s="74"/>
      <c r="D84" s="74"/>
      <c r="E84" s="74"/>
      <c r="F84" s="74"/>
      <c r="G84" s="74"/>
      <c r="H84" s="74"/>
      <c r="I84" s="74"/>
      <c r="J84" s="74"/>
      <c r="K84" s="74"/>
      <c r="L84" s="75"/>
      <c r="M84" s="74"/>
      <c r="N84" s="74"/>
    </row>
    <row r="85" spans="1:14">
      <c r="A85" s="74"/>
      <c r="B85" s="81"/>
      <c r="C85" s="74"/>
      <c r="D85" s="74"/>
      <c r="E85" s="74"/>
      <c r="F85" s="74"/>
      <c r="G85" s="74"/>
      <c r="H85" s="74"/>
      <c r="I85" s="74"/>
      <c r="J85" s="74"/>
      <c r="K85" s="74"/>
      <c r="L85" s="75"/>
      <c r="M85" s="74"/>
      <c r="N85" s="74"/>
    </row>
    <row r="86" spans="1:14">
      <c r="A86" s="68" t="s">
        <v>301</v>
      </c>
      <c r="B86" s="69" t="s">
        <v>360</v>
      </c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</row>
    <row r="87" spans="1:14">
      <c r="A87" s="70" t="s">
        <v>303</v>
      </c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</row>
    <row r="88" spans="1:14">
      <c r="A88" s="72" t="s">
        <v>53</v>
      </c>
      <c r="B88" s="72" t="s">
        <v>54</v>
      </c>
      <c r="C88" s="72" t="s">
        <v>174</v>
      </c>
      <c r="D88" s="72" t="s">
        <v>325</v>
      </c>
      <c r="E88" s="72" t="s">
        <v>55</v>
      </c>
      <c r="F88" s="72" t="s">
        <v>56</v>
      </c>
      <c r="G88" s="72" t="s">
        <v>175</v>
      </c>
      <c r="H88" s="72" t="s">
        <v>176</v>
      </c>
      <c r="I88" s="72" t="s">
        <v>177</v>
      </c>
      <c r="J88" s="72" t="s">
        <v>178</v>
      </c>
      <c r="K88" s="72" t="s">
        <v>326</v>
      </c>
      <c r="L88" s="73" t="s">
        <v>327</v>
      </c>
      <c r="M88" s="72" t="s">
        <v>183</v>
      </c>
      <c r="N88" s="72" t="s">
        <v>184</v>
      </c>
    </row>
    <row r="89" ht="31" spans="1:14">
      <c r="A89" s="74" t="s">
        <v>26</v>
      </c>
      <c r="B89" s="74">
        <v>2</v>
      </c>
      <c r="C89" s="74" t="s">
        <v>171</v>
      </c>
      <c r="D89" s="74" t="s">
        <v>50</v>
      </c>
      <c r="E89" s="74" t="s">
        <v>68</v>
      </c>
      <c r="F89" s="74" t="s">
        <v>69</v>
      </c>
      <c r="G89" s="74" t="s">
        <v>185</v>
      </c>
      <c r="H89" s="74" t="s">
        <v>186</v>
      </c>
      <c r="I89" s="74" t="s">
        <v>191</v>
      </c>
      <c r="J89" s="74" t="s">
        <v>188</v>
      </c>
      <c r="K89" s="74" t="s">
        <v>328</v>
      </c>
      <c r="L89" s="75">
        <v>5600</v>
      </c>
      <c r="M89" s="74" t="s">
        <v>192</v>
      </c>
      <c r="N89" s="74"/>
    </row>
    <row r="90" spans="1:14">
      <c r="A90" s="74" t="s">
        <v>26</v>
      </c>
      <c r="B90" s="74">
        <v>3</v>
      </c>
      <c r="C90" s="74" t="s">
        <v>171</v>
      </c>
      <c r="D90" s="74" t="s">
        <v>50</v>
      </c>
      <c r="E90" s="74" t="s">
        <v>70</v>
      </c>
      <c r="F90" s="74" t="s">
        <v>71</v>
      </c>
      <c r="G90" s="74" t="s">
        <v>193</v>
      </c>
      <c r="H90" s="74" t="s">
        <v>194</v>
      </c>
      <c r="I90" s="74" t="s">
        <v>194</v>
      </c>
      <c r="J90" s="74" t="s">
        <v>195</v>
      </c>
      <c r="K90" s="74" t="s">
        <v>351</v>
      </c>
      <c r="L90" s="75">
        <v>960</v>
      </c>
      <c r="M90" s="74" t="s">
        <v>405</v>
      </c>
      <c r="N90" s="74"/>
    </row>
    <row r="91" spans="1:14">
      <c r="A91" s="74" t="s">
        <v>26</v>
      </c>
      <c r="B91" s="74">
        <v>4</v>
      </c>
      <c r="C91" s="74" t="s">
        <v>171</v>
      </c>
      <c r="D91" s="74" t="s">
        <v>50</v>
      </c>
      <c r="E91" s="74" t="s">
        <v>72</v>
      </c>
      <c r="F91" s="74" t="s">
        <v>73</v>
      </c>
      <c r="G91" s="74" t="s">
        <v>193</v>
      </c>
      <c r="H91" s="74" t="s">
        <v>194</v>
      </c>
      <c r="I91" s="74" t="s">
        <v>194</v>
      </c>
      <c r="J91" s="74" t="s">
        <v>195</v>
      </c>
      <c r="K91" s="74" t="s">
        <v>351</v>
      </c>
      <c r="L91" s="75">
        <v>960</v>
      </c>
      <c r="M91" s="74" t="s">
        <v>405</v>
      </c>
      <c r="N91" s="74"/>
    </row>
    <row r="92" spans="1:14">
      <c r="A92" s="74" t="s">
        <v>26</v>
      </c>
      <c r="B92" s="74">
        <v>5</v>
      </c>
      <c r="C92" s="74" t="s">
        <v>171</v>
      </c>
      <c r="D92" s="74" t="s">
        <v>50</v>
      </c>
      <c r="E92" s="74" t="s">
        <v>74</v>
      </c>
      <c r="F92" s="74" t="s">
        <v>75</v>
      </c>
      <c r="G92" s="74" t="s">
        <v>193</v>
      </c>
      <c r="H92" s="74" t="s">
        <v>194</v>
      </c>
      <c r="I92" s="74" t="s">
        <v>194</v>
      </c>
      <c r="J92" s="74" t="s">
        <v>195</v>
      </c>
      <c r="K92" s="74" t="s">
        <v>351</v>
      </c>
      <c r="L92" s="75">
        <v>960</v>
      </c>
      <c r="M92" s="74" t="s">
        <v>405</v>
      </c>
      <c r="N92" s="74"/>
    </row>
    <row r="93" spans="1:14">
      <c r="A93" s="74" t="s">
        <v>26</v>
      </c>
      <c r="B93" s="74">
        <v>6</v>
      </c>
      <c r="C93" s="74" t="s">
        <v>171</v>
      </c>
      <c r="D93" s="74" t="s">
        <v>50</v>
      </c>
      <c r="E93" s="74" t="s">
        <v>76</v>
      </c>
      <c r="F93" s="74" t="s">
        <v>77</v>
      </c>
      <c r="G93" s="74" t="s">
        <v>193</v>
      </c>
      <c r="H93" s="74" t="s">
        <v>197</v>
      </c>
      <c r="I93" s="74" t="s">
        <v>197</v>
      </c>
      <c r="J93" s="74" t="s">
        <v>195</v>
      </c>
      <c r="K93" s="74" t="s">
        <v>351</v>
      </c>
      <c r="L93" s="75">
        <v>3840</v>
      </c>
      <c r="M93" s="74" t="s">
        <v>406</v>
      </c>
      <c r="N93" s="74"/>
    </row>
    <row r="94" spans="1:14">
      <c r="A94" s="74" t="s">
        <v>26</v>
      </c>
      <c r="B94" s="74">
        <v>7</v>
      </c>
      <c r="C94" s="74" t="s">
        <v>171</v>
      </c>
      <c r="D94" s="74" t="s">
        <v>50</v>
      </c>
      <c r="E94" s="74" t="s">
        <v>78</v>
      </c>
      <c r="F94" s="74" t="s">
        <v>79</v>
      </c>
      <c r="G94" s="74" t="s">
        <v>193</v>
      </c>
      <c r="H94" s="74" t="s">
        <v>199</v>
      </c>
      <c r="I94" s="74" t="s">
        <v>200</v>
      </c>
      <c r="J94" s="74" t="s">
        <v>201</v>
      </c>
      <c r="K94" s="74" t="s">
        <v>369</v>
      </c>
      <c r="L94" s="75">
        <v>5000</v>
      </c>
      <c r="M94" s="74" t="s">
        <v>370</v>
      </c>
      <c r="N94" s="74"/>
    </row>
    <row r="95" spans="1:14">
      <c r="A95" s="74" t="s">
        <v>26</v>
      </c>
      <c r="B95" s="74">
        <v>8</v>
      </c>
      <c r="C95" s="74" t="s">
        <v>171</v>
      </c>
      <c r="D95" s="74" t="s">
        <v>50</v>
      </c>
      <c r="E95" s="74" t="s">
        <v>80</v>
      </c>
      <c r="F95" s="74" t="s">
        <v>203</v>
      </c>
      <c r="G95" s="74" t="s">
        <v>193</v>
      </c>
      <c r="H95" s="74" t="s">
        <v>204</v>
      </c>
      <c r="I95" s="74" t="s">
        <v>204</v>
      </c>
      <c r="J95" s="74" t="s">
        <v>195</v>
      </c>
      <c r="K95" s="74" t="s">
        <v>351</v>
      </c>
      <c r="L95" s="75">
        <v>9600</v>
      </c>
      <c r="M95" s="74" t="s">
        <v>407</v>
      </c>
      <c r="N95" s="74"/>
    </row>
    <row r="96" spans="1:14">
      <c r="A96" s="74" t="s">
        <v>26</v>
      </c>
      <c r="B96" s="74">
        <v>9</v>
      </c>
      <c r="C96" s="74" t="s">
        <v>171</v>
      </c>
      <c r="D96" s="74" t="s">
        <v>50</v>
      </c>
      <c r="E96" s="74" t="s">
        <v>82</v>
      </c>
      <c r="F96" s="74" t="s">
        <v>83</v>
      </c>
      <c r="G96" s="74" t="s">
        <v>193</v>
      </c>
      <c r="H96" s="74" t="s">
        <v>206</v>
      </c>
      <c r="I96" s="74" t="s">
        <v>206</v>
      </c>
      <c r="J96" s="74" t="s">
        <v>195</v>
      </c>
      <c r="K96" s="74" t="s">
        <v>332</v>
      </c>
      <c r="L96" s="75">
        <v>30500</v>
      </c>
      <c r="M96" s="74" t="s">
        <v>207</v>
      </c>
      <c r="N96" s="74"/>
    </row>
    <row r="97" ht="31" spans="1:14">
      <c r="A97" s="74" t="s">
        <v>26</v>
      </c>
      <c r="B97" s="74">
        <v>10</v>
      </c>
      <c r="C97" s="74" t="s">
        <v>171</v>
      </c>
      <c r="D97" s="74" t="s">
        <v>50</v>
      </c>
      <c r="E97" s="74" t="s">
        <v>68</v>
      </c>
      <c r="F97" s="74" t="s">
        <v>69</v>
      </c>
      <c r="G97" s="74" t="s">
        <v>193</v>
      </c>
      <c r="H97" s="74" t="s">
        <v>208</v>
      </c>
      <c r="I97" s="74" t="s">
        <v>191</v>
      </c>
      <c r="J97" s="74" t="s">
        <v>188</v>
      </c>
      <c r="K97" s="74" t="s">
        <v>328</v>
      </c>
      <c r="L97" s="75">
        <v>4800</v>
      </c>
      <c r="M97" s="74" t="s">
        <v>209</v>
      </c>
      <c r="N97" s="74"/>
    </row>
    <row r="98" spans="1:14">
      <c r="A98" s="74" t="s">
        <v>26</v>
      </c>
      <c r="B98" s="74">
        <v>11</v>
      </c>
      <c r="C98" s="74" t="s">
        <v>171</v>
      </c>
      <c r="D98" s="74" t="s">
        <v>50</v>
      </c>
      <c r="E98" s="74" t="s">
        <v>84</v>
      </c>
      <c r="F98" s="74" t="s">
        <v>85</v>
      </c>
      <c r="G98" s="74" t="s">
        <v>193</v>
      </c>
      <c r="H98" s="74" t="s">
        <v>200</v>
      </c>
      <c r="I98" s="74" t="s">
        <v>200</v>
      </c>
      <c r="J98" s="74" t="s">
        <v>195</v>
      </c>
      <c r="K98" s="74" t="s">
        <v>402</v>
      </c>
      <c r="L98" s="75">
        <v>28800</v>
      </c>
      <c r="M98" s="74" t="s">
        <v>408</v>
      </c>
      <c r="N98" s="74"/>
    </row>
    <row r="99" spans="1:14">
      <c r="A99" s="74" t="s">
        <v>26</v>
      </c>
      <c r="B99" s="74">
        <v>12</v>
      </c>
      <c r="C99" s="74" t="s">
        <v>171</v>
      </c>
      <c r="D99" s="74" t="s">
        <v>50</v>
      </c>
      <c r="E99" s="74" t="s">
        <v>86</v>
      </c>
      <c r="F99" s="74" t="s">
        <v>212</v>
      </c>
      <c r="G99" s="74" t="s">
        <v>185</v>
      </c>
      <c r="H99" s="74" t="s">
        <v>186</v>
      </c>
      <c r="I99" s="74" t="s">
        <v>200</v>
      </c>
      <c r="J99" s="74" t="s">
        <v>188</v>
      </c>
      <c r="K99" s="74" t="s">
        <v>334</v>
      </c>
      <c r="L99" s="75">
        <v>4200</v>
      </c>
      <c r="M99" s="74" t="s">
        <v>213</v>
      </c>
      <c r="N99" s="74"/>
    </row>
    <row r="100" spans="1:14">
      <c r="A100" s="74" t="s">
        <v>26</v>
      </c>
      <c r="B100" s="74">
        <v>13</v>
      </c>
      <c r="C100" s="74" t="s">
        <v>171</v>
      </c>
      <c r="D100" s="74" t="s">
        <v>50</v>
      </c>
      <c r="E100" s="74" t="s">
        <v>88</v>
      </c>
      <c r="F100" s="74" t="s">
        <v>214</v>
      </c>
      <c r="G100" s="74" t="s">
        <v>193</v>
      </c>
      <c r="H100" s="74" t="s">
        <v>208</v>
      </c>
      <c r="I100" s="74" t="s">
        <v>200</v>
      </c>
      <c r="J100" s="74" t="s">
        <v>188</v>
      </c>
      <c r="K100" s="74" t="s">
        <v>334</v>
      </c>
      <c r="L100" s="75">
        <v>3600</v>
      </c>
      <c r="M100" s="74" t="s">
        <v>215</v>
      </c>
      <c r="N100" s="74"/>
    </row>
    <row r="101" ht="31" spans="1:14">
      <c r="A101" s="74" t="s">
        <v>26</v>
      </c>
      <c r="B101" s="74">
        <v>14</v>
      </c>
      <c r="C101" s="74" t="s">
        <v>171</v>
      </c>
      <c r="D101" s="74" t="s">
        <v>50</v>
      </c>
      <c r="E101" s="74" t="s">
        <v>90</v>
      </c>
      <c r="F101" s="74" t="s">
        <v>91</v>
      </c>
      <c r="G101" s="74" t="s">
        <v>193</v>
      </c>
      <c r="H101" s="74" t="s">
        <v>208</v>
      </c>
      <c r="I101" s="74" t="s">
        <v>204</v>
      </c>
      <c r="J101" s="74" t="s">
        <v>188</v>
      </c>
      <c r="K101" s="74" t="s">
        <v>409</v>
      </c>
      <c r="L101" s="75">
        <v>12000</v>
      </c>
      <c r="M101" s="74" t="s">
        <v>410</v>
      </c>
      <c r="N101" s="74" t="s">
        <v>218</v>
      </c>
    </row>
    <row r="102" spans="1:14">
      <c r="A102" s="74" t="s">
        <v>26</v>
      </c>
      <c r="B102" s="74">
        <v>15</v>
      </c>
      <c r="C102" s="74" t="s">
        <v>171</v>
      </c>
      <c r="D102" s="74" t="s">
        <v>50</v>
      </c>
      <c r="E102" s="74" t="s">
        <v>92</v>
      </c>
      <c r="F102" s="74" t="s">
        <v>220</v>
      </c>
      <c r="G102" s="74" t="s">
        <v>193</v>
      </c>
      <c r="H102" s="74" t="s">
        <v>221</v>
      </c>
      <c r="I102" s="74" t="s">
        <v>221</v>
      </c>
      <c r="J102" s="74" t="s">
        <v>195</v>
      </c>
      <c r="K102" s="74" t="s">
        <v>351</v>
      </c>
      <c r="L102" s="75">
        <v>10560</v>
      </c>
      <c r="M102" s="74" t="s">
        <v>411</v>
      </c>
      <c r="N102" s="74"/>
    </row>
    <row r="103" spans="1:14">
      <c r="A103" s="74" t="s">
        <v>26</v>
      </c>
      <c r="B103" s="74">
        <v>16</v>
      </c>
      <c r="C103" s="74" t="s">
        <v>171</v>
      </c>
      <c r="D103" s="74" t="s">
        <v>50</v>
      </c>
      <c r="E103" s="74" t="s">
        <v>94</v>
      </c>
      <c r="F103" s="74" t="s">
        <v>224</v>
      </c>
      <c r="G103" s="74" t="s">
        <v>193</v>
      </c>
      <c r="H103" s="74" t="s">
        <v>208</v>
      </c>
      <c r="I103" s="74" t="s">
        <v>191</v>
      </c>
      <c r="J103" s="74" t="s">
        <v>188</v>
      </c>
      <c r="K103" s="74" t="s">
        <v>339</v>
      </c>
      <c r="L103" s="75">
        <v>6000</v>
      </c>
      <c r="M103" s="74" t="s">
        <v>225</v>
      </c>
      <c r="N103" s="74"/>
    </row>
    <row r="104" spans="1:14">
      <c r="A104" s="74" t="s">
        <v>26</v>
      </c>
      <c r="B104" s="74">
        <v>17</v>
      </c>
      <c r="C104" s="74" t="s">
        <v>171</v>
      </c>
      <c r="D104" s="74" t="s">
        <v>50</v>
      </c>
      <c r="E104" s="74" t="s">
        <v>96</v>
      </c>
      <c r="F104" s="74" t="s">
        <v>97</v>
      </c>
      <c r="G104" s="74" t="s">
        <v>193</v>
      </c>
      <c r="H104" s="74" t="s">
        <v>226</v>
      </c>
      <c r="I104" s="74" t="s">
        <v>227</v>
      </c>
      <c r="J104" s="74" t="s">
        <v>201</v>
      </c>
      <c r="K104" s="74" t="s">
        <v>412</v>
      </c>
      <c r="L104" s="75">
        <v>7200</v>
      </c>
      <c r="M104" s="74" t="s">
        <v>413</v>
      </c>
      <c r="N104" s="74"/>
    </row>
    <row r="105" ht="31" spans="1:14">
      <c r="A105" s="74" t="s">
        <v>26</v>
      </c>
      <c r="B105" s="74">
        <v>18</v>
      </c>
      <c r="C105" s="74" t="s">
        <v>171</v>
      </c>
      <c r="D105" s="74" t="s">
        <v>50</v>
      </c>
      <c r="E105" s="74" t="s">
        <v>68</v>
      </c>
      <c r="F105" s="74" t="s">
        <v>69</v>
      </c>
      <c r="G105" s="74" t="s">
        <v>193</v>
      </c>
      <c r="H105" s="74" t="s">
        <v>208</v>
      </c>
      <c r="I105" s="74" t="s">
        <v>191</v>
      </c>
      <c r="J105" s="74" t="s">
        <v>188</v>
      </c>
      <c r="K105" s="74" t="s">
        <v>328</v>
      </c>
      <c r="L105" s="75">
        <v>4800</v>
      </c>
      <c r="M105" s="74" t="s">
        <v>209</v>
      </c>
      <c r="N105" s="74"/>
    </row>
    <row r="106" spans="1:14">
      <c r="A106" s="70" t="s">
        <v>304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</row>
    <row r="107" spans="1:14">
      <c r="A107" s="72" t="s">
        <v>53</v>
      </c>
      <c r="B107" s="72" t="s">
        <v>54</v>
      </c>
      <c r="C107" s="72" t="s">
        <v>174</v>
      </c>
      <c r="D107" s="72" t="s">
        <v>325</v>
      </c>
      <c r="E107" s="72" t="s">
        <v>55</v>
      </c>
      <c r="F107" s="72" t="s">
        <v>56</v>
      </c>
      <c r="G107" s="72" t="s">
        <v>175</v>
      </c>
      <c r="H107" s="72" t="s">
        <v>176</v>
      </c>
      <c r="I107" s="72" t="s">
        <v>177</v>
      </c>
      <c r="J107" s="72" t="s">
        <v>178</v>
      </c>
      <c r="K107" s="72" t="s">
        <v>326</v>
      </c>
      <c r="L107" s="73" t="s">
        <v>327</v>
      </c>
      <c r="M107" s="72" t="s">
        <v>183</v>
      </c>
      <c r="N107" s="72" t="s">
        <v>184</v>
      </c>
    </row>
    <row r="108" ht="31" spans="1:14">
      <c r="A108" s="74" t="s">
        <v>27</v>
      </c>
      <c r="B108" s="74">
        <v>2</v>
      </c>
      <c r="C108" s="74" t="s">
        <v>171</v>
      </c>
      <c r="D108" s="74" t="s">
        <v>100</v>
      </c>
      <c r="E108" s="74" t="s">
        <v>68</v>
      </c>
      <c r="F108" s="74" t="s">
        <v>69</v>
      </c>
      <c r="G108" s="74" t="s">
        <v>233</v>
      </c>
      <c r="H108" s="74" t="s">
        <v>208</v>
      </c>
      <c r="I108" s="74" t="s">
        <v>191</v>
      </c>
      <c r="J108" s="74" t="s">
        <v>188</v>
      </c>
      <c r="K108" s="74" t="s">
        <v>328</v>
      </c>
      <c r="L108" s="75">
        <v>4800</v>
      </c>
      <c r="M108" s="74" t="s">
        <v>209</v>
      </c>
      <c r="N108" s="74"/>
    </row>
    <row r="109" ht="46" spans="1:14">
      <c r="A109" s="74" t="s">
        <v>27</v>
      </c>
      <c r="B109" s="74">
        <v>3</v>
      </c>
      <c r="C109" s="74" t="s">
        <v>171</v>
      </c>
      <c r="D109" s="74" t="s">
        <v>100</v>
      </c>
      <c r="E109" s="74" t="s">
        <v>101</v>
      </c>
      <c r="F109" s="74" t="s">
        <v>102</v>
      </c>
      <c r="G109" s="74" t="s">
        <v>233</v>
      </c>
      <c r="H109" s="74" t="s">
        <v>234</v>
      </c>
      <c r="I109" s="74" t="s">
        <v>227</v>
      </c>
      <c r="J109" s="74" t="s">
        <v>188</v>
      </c>
      <c r="K109" s="74" t="s">
        <v>334</v>
      </c>
      <c r="L109" s="75">
        <v>3300</v>
      </c>
      <c r="M109" s="74" t="s">
        <v>414</v>
      </c>
      <c r="N109" s="74" t="s">
        <v>236</v>
      </c>
    </row>
    <row r="110" ht="31" spans="1:14">
      <c r="A110" s="74" t="s">
        <v>27</v>
      </c>
      <c r="B110" s="74">
        <v>4</v>
      </c>
      <c r="C110" s="74" t="s">
        <v>171</v>
      </c>
      <c r="D110" s="74" t="s">
        <v>100</v>
      </c>
      <c r="E110" s="74" t="s">
        <v>104</v>
      </c>
      <c r="F110" s="74" t="s">
        <v>105</v>
      </c>
      <c r="G110" s="74" t="s">
        <v>233</v>
      </c>
      <c r="H110" s="74" t="s">
        <v>208</v>
      </c>
      <c r="I110" s="74" t="s">
        <v>187</v>
      </c>
      <c r="J110" s="74" t="s">
        <v>188</v>
      </c>
      <c r="K110" s="74" t="s">
        <v>415</v>
      </c>
      <c r="L110" s="75">
        <v>9500</v>
      </c>
      <c r="M110" s="74" t="s">
        <v>416</v>
      </c>
      <c r="N110" s="74" t="s">
        <v>238</v>
      </c>
    </row>
    <row r="111" ht="31" spans="1:14">
      <c r="A111" s="74" t="s">
        <v>27</v>
      </c>
      <c r="B111" s="74">
        <v>5</v>
      </c>
      <c r="C111" s="74" t="s">
        <v>171</v>
      </c>
      <c r="D111" s="74" t="s">
        <v>100</v>
      </c>
      <c r="E111" s="74" t="s">
        <v>68</v>
      </c>
      <c r="F111" s="74" t="s">
        <v>69</v>
      </c>
      <c r="G111" s="74" t="s">
        <v>233</v>
      </c>
      <c r="H111" s="74" t="s">
        <v>208</v>
      </c>
      <c r="I111" s="74" t="s">
        <v>191</v>
      </c>
      <c r="J111" s="74" t="s">
        <v>188</v>
      </c>
      <c r="K111" s="74" t="s">
        <v>328</v>
      </c>
      <c r="L111" s="75">
        <v>4800</v>
      </c>
      <c r="M111" s="74" t="s">
        <v>209</v>
      </c>
      <c r="N111" s="74"/>
    </row>
    <row r="112" spans="1:14">
      <c r="A112" s="70" t="s">
        <v>305</v>
      </c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</row>
    <row r="113" spans="1:14">
      <c r="A113" s="72" t="s">
        <v>53</v>
      </c>
      <c r="B113" s="72" t="s">
        <v>54</v>
      </c>
      <c r="C113" s="72" t="s">
        <v>174</v>
      </c>
      <c r="D113" s="72" t="s">
        <v>325</v>
      </c>
      <c r="E113" s="72" t="s">
        <v>55</v>
      </c>
      <c r="F113" s="72" t="s">
        <v>56</v>
      </c>
      <c r="G113" s="72" t="s">
        <v>175</v>
      </c>
      <c r="H113" s="72" t="s">
        <v>176</v>
      </c>
      <c r="I113" s="72" t="s">
        <v>177</v>
      </c>
      <c r="J113" s="72" t="s">
        <v>178</v>
      </c>
      <c r="K113" s="72" t="s">
        <v>326</v>
      </c>
      <c r="L113" s="73" t="s">
        <v>327</v>
      </c>
      <c r="M113" s="72" t="s">
        <v>183</v>
      </c>
      <c r="N113" s="72" t="s">
        <v>184</v>
      </c>
    </row>
    <row r="114" ht="31" spans="1:14">
      <c r="A114" s="74" t="s">
        <v>30</v>
      </c>
      <c r="B114" s="74">
        <v>2</v>
      </c>
      <c r="C114" s="74" t="s">
        <v>171</v>
      </c>
      <c r="D114" s="74" t="s">
        <v>107</v>
      </c>
      <c r="E114" s="74" t="s">
        <v>68</v>
      </c>
      <c r="F114" s="74" t="s">
        <v>69</v>
      </c>
      <c r="G114" s="74" t="s">
        <v>241</v>
      </c>
      <c r="H114" s="74" t="s">
        <v>242</v>
      </c>
      <c r="I114" s="74" t="s">
        <v>191</v>
      </c>
      <c r="J114" s="74" t="s">
        <v>188</v>
      </c>
      <c r="K114" s="74" t="s">
        <v>328</v>
      </c>
      <c r="L114" s="75">
        <v>2400</v>
      </c>
      <c r="M114" s="74" t="s">
        <v>244</v>
      </c>
      <c r="N114" s="74"/>
    </row>
    <row r="115" spans="1:14">
      <c r="A115" s="74" t="s">
        <v>30</v>
      </c>
      <c r="B115" s="74">
        <v>3</v>
      </c>
      <c r="C115" s="74" t="s">
        <v>171</v>
      </c>
      <c r="D115" s="74" t="s">
        <v>107</v>
      </c>
      <c r="E115" s="74" t="s">
        <v>82</v>
      </c>
      <c r="F115" s="74" t="s">
        <v>83</v>
      </c>
      <c r="G115" s="74" t="s">
        <v>241</v>
      </c>
      <c r="H115" s="74" t="s">
        <v>206</v>
      </c>
      <c r="I115" s="74" t="s">
        <v>206</v>
      </c>
      <c r="J115" s="74" t="s">
        <v>195</v>
      </c>
      <c r="K115" s="74" t="s">
        <v>332</v>
      </c>
      <c r="L115" s="75">
        <v>30500</v>
      </c>
      <c r="M115" s="74" t="s">
        <v>207</v>
      </c>
      <c r="N115" s="74"/>
    </row>
    <row r="116" spans="1:14">
      <c r="A116" s="74" t="s">
        <v>30</v>
      </c>
      <c r="B116" s="74">
        <v>4</v>
      </c>
      <c r="C116" s="74" t="s">
        <v>171</v>
      </c>
      <c r="D116" s="74" t="s">
        <v>107</v>
      </c>
      <c r="E116" s="74" t="s">
        <v>84</v>
      </c>
      <c r="F116" s="74" t="s">
        <v>85</v>
      </c>
      <c r="G116" s="74" t="s">
        <v>241</v>
      </c>
      <c r="H116" s="74" t="s">
        <v>194</v>
      </c>
      <c r="I116" s="74" t="s">
        <v>194</v>
      </c>
      <c r="J116" s="74" t="s">
        <v>195</v>
      </c>
      <c r="K116" s="74" t="s">
        <v>402</v>
      </c>
      <c r="L116" s="75">
        <v>14400</v>
      </c>
      <c r="M116" s="74" t="s">
        <v>417</v>
      </c>
      <c r="N116" s="74"/>
    </row>
    <row r="117" spans="1:14">
      <c r="A117" s="74" t="s">
        <v>30</v>
      </c>
      <c r="B117" s="74">
        <v>5</v>
      </c>
      <c r="C117" s="74" t="s">
        <v>171</v>
      </c>
      <c r="D117" s="74" t="s">
        <v>107</v>
      </c>
      <c r="E117" s="74" t="s">
        <v>96</v>
      </c>
      <c r="F117" s="74" t="s">
        <v>97</v>
      </c>
      <c r="G117" s="74" t="s">
        <v>241</v>
      </c>
      <c r="H117" s="74" t="s">
        <v>246</v>
      </c>
      <c r="I117" s="74" t="s">
        <v>200</v>
      </c>
      <c r="J117" s="74" t="s">
        <v>201</v>
      </c>
      <c r="K117" s="74" t="s">
        <v>412</v>
      </c>
      <c r="L117" s="75">
        <v>3600</v>
      </c>
      <c r="M117" s="74" t="s">
        <v>418</v>
      </c>
      <c r="N117" s="74"/>
    </row>
    <row r="118" ht="46" spans="1:14">
      <c r="A118" s="74" t="s">
        <v>30</v>
      </c>
      <c r="B118" s="74">
        <v>6</v>
      </c>
      <c r="C118" s="74" t="s">
        <v>171</v>
      </c>
      <c r="D118" s="74" t="s">
        <v>107</v>
      </c>
      <c r="E118" s="74" t="s">
        <v>109</v>
      </c>
      <c r="F118" s="74" t="s">
        <v>110</v>
      </c>
      <c r="G118" s="74" t="s">
        <v>241</v>
      </c>
      <c r="H118" s="74" t="s">
        <v>248</v>
      </c>
      <c r="I118" s="74" t="s">
        <v>248</v>
      </c>
      <c r="J118" s="74" t="s">
        <v>195</v>
      </c>
      <c r="K118" s="74" t="s">
        <v>419</v>
      </c>
      <c r="L118" s="75">
        <v>11660</v>
      </c>
      <c r="M118" s="74" t="s">
        <v>420</v>
      </c>
      <c r="N118" s="74" t="s">
        <v>249</v>
      </c>
    </row>
    <row r="119" ht="31" spans="1:14">
      <c r="A119" s="74" t="s">
        <v>30</v>
      </c>
      <c r="B119" s="74">
        <v>7</v>
      </c>
      <c r="C119" s="74" t="s">
        <v>171</v>
      </c>
      <c r="D119" s="74" t="s">
        <v>107</v>
      </c>
      <c r="E119" s="74" t="s">
        <v>68</v>
      </c>
      <c r="F119" s="74" t="s">
        <v>69</v>
      </c>
      <c r="G119" s="74" t="s">
        <v>241</v>
      </c>
      <c r="H119" s="74" t="s">
        <v>242</v>
      </c>
      <c r="I119" s="74" t="s">
        <v>200</v>
      </c>
      <c r="J119" s="74" t="s">
        <v>188</v>
      </c>
      <c r="K119" s="74" t="s">
        <v>328</v>
      </c>
      <c r="L119" s="75">
        <v>2400</v>
      </c>
      <c r="M119" s="74" t="s">
        <v>244</v>
      </c>
      <c r="N119" s="74"/>
    </row>
    <row r="120" spans="1:14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5"/>
      <c r="M120" s="74"/>
      <c r="N120" s="74"/>
    </row>
    <row r="121" spans="1:14">
      <c r="A121" s="70" t="s">
        <v>306</v>
      </c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</row>
    <row r="122" spans="1:14">
      <c r="A122" s="72" t="s">
        <v>53</v>
      </c>
      <c r="B122" s="72" t="s">
        <v>54</v>
      </c>
      <c r="C122" s="72" t="s">
        <v>174</v>
      </c>
      <c r="D122" s="72" t="s">
        <v>325</v>
      </c>
      <c r="E122" s="72" t="s">
        <v>55</v>
      </c>
      <c r="F122" s="72" t="s">
        <v>56</v>
      </c>
      <c r="G122" s="72" t="s">
        <v>175</v>
      </c>
      <c r="H122" s="72" t="s">
        <v>176</v>
      </c>
      <c r="I122" s="72" t="s">
        <v>177</v>
      </c>
      <c r="J122" s="72" t="s">
        <v>178</v>
      </c>
      <c r="K122" s="72" t="s">
        <v>326</v>
      </c>
      <c r="L122" s="73" t="s">
        <v>327</v>
      </c>
      <c r="M122" s="72" t="s">
        <v>183</v>
      </c>
      <c r="N122" s="72" t="s">
        <v>184</v>
      </c>
    </row>
    <row r="123" ht="31" spans="1:14">
      <c r="A123" s="74" t="s">
        <v>31</v>
      </c>
      <c r="B123" s="74">
        <v>2</v>
      </c>
      <c r="C123" s="74" t="s">
        <v>171</v>
      </c>
      <c r="D123" s="74" t="s">
        <v>111</v>
      </c>
      <c r="E123" s="74" t="s">
        <v>68</v>
      </c>
      <c r="F123" s="74" t="s">
        <v>69</v>
      </c>
      <c r="G123" s="74" t="s">
        <v>252</v>
      </c>
      <c r="H123" s="74" t="s">
        <v>242</v>
      </c>
      <c r="I123" s="74" t="s">
        <v>191</v>
      </c>
      <c r="J123" s="74" t="s">
        <v>188</v>
      </c>
      <c r="K123" s="74" t="s">
        <v>328</v>
      </c>
      <c r="L123" s="75">
        <v>2400</v>
      </c>
      <c r="M123" s="74" t="s">
        <v>244</v>
      </c>
      <c r="N123" s="74"/>
    </row>
    <row r="124" ht="31" spans="1:14">
      <c r="A124" s="74" t="s">
        <v>31</v>
      </c>
      <c r="B124" s="74">
        <v>3</v>
      </c>
      <c r="C124" s="74" t="s">
        <v>171</v>
      </c>
      <c r="D124" s="74" t="s">
        <v>111</v>
      </c>
      <c r="E124" s="74" t="s">
        <v>112</v>
      </c>
      <c r="F124" s="74" t="s">
        <v>113</v>
      </c>
      <c r="G124" s="74" t="s">
        <v>252</v>
      </c>
      <c r="H124" s="74" t="s">
        <v>253</v>
      </c>
      <c r="I124" s="74" t="s">
        <v>253</v>
      </c>
      <c r="J124" s="74" t="s">
        <v>195</v>
      </c>
      <c r="K124" s="74" t="s">
        <v>421</v>
      </c>
      <c r="L124" s="75">
        <v>150000</v>
      </c>
      <c r="M124" s="74" t="s">
        <v>422</v>
      </c>
      <c r="N124" s="74" t="s">
        <v>255</v>
      </c>
    </row>
    <row r="125" ht="31" spans="1:14">
      <c r="A125" s="74" t="s">
        <v>31</v>
      </c>
      <c r="B125" s="74">
        <v>4</v>
      </c>
      <c r="C125" s="74" t="s">
        <v>171</v>
      </c>
      <c r="D125" s="74" t="s">
        <v>111</v>
      </c>
      <c r="E125" s="74" t="s">
        <v>68</v>
      </c>
      <c r="F125" s="74" t="s">
        <v>69</v>
      </c>
      <c r="G125" s="74" t="s">
        <v>252</v>
      </c>
      <c r="H125" s="74" t="s">
        <v>242</v>
      </c>
      <c r="I125" s="74" t="s">
        <v>200</v>
      </c>
      <c r="J125" s="74" t="s">
        <v>188</v>
      </c>
      <c r="K125" s="74" t="s">
        <v>328</v>
      </c>
      <c r="L125" s="75">
        <v>2400</v>
      </c>
      <c r="M125" s="74" t="s">
        <v>244</v>
      </c>
      <c r="N125" s="74"/>
    </row>
    <row r="126" spans="1:14">
      <c r="A126" s="70" t="s">
        <v>307</v>
      </c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</row>
    <row r="127" spans="1:14">
      <c r="A127" s="72" t="s">
        <v>53</v>
      </c>
      <c r="B127" s="72" t="s">
        <v>54</v>
      </c>
      <c r="C127" s="72" t="s">
        <v>174</v>
      </c>
      <c r="D127" s="72" t="s">
        <v>325</v>
      </c>
      <c r="E127" s="72" t="s">
        <v>55</v>
      </c>
      <c r="F127" s="72" t="s">
        <v>56</v>
      </c>
      <c r="G127" s="72" t="s">
        <v>175</v>
      </c>
      <c r="H127" s="72" t="s">
        <v>176</v>
      </c>
      <c r="I127" s="72" t="s">
        <v>177</v>
      </c>
      <c r="J127" s="72" t="s">
        <v>178</v>
      </c>
      <c r="K127" s="72" t="s">
        <v>326</v>
      </c>
      <c r="L127" s="73" t="s">
        <v>327</v>
      </c>
      <c r="M127" s="72" t="s">
        <v>183</v>
      </c>
      <c r="N127" s="72" t="s">
        <v>184</v>
      </c>
    </row>
    <row r="128" ht="31" spans="1:14">
      <c r="A128" s="74" t="s">
        <v>32</v>
      </c>
      <c r="B128" s="74">
        <v>2</v>
      </c>
      <c r="C128" s="74" t="s">
        <v>171</v>
      </c>
      <c r="D128" s="74" t="s">
        <v>114</v>
      </c>
      <c r="E128" s="74" t="s">
        <v>68</v>
      </c>
      <c r="F128" s="74" t="s">
        <v>69</v>
      </c>
      <c r="G128" s="74" t="s">
        <v>258</v>
      </c>
      <c r="H128" s="74" t="s">
        <v>242</v>
      </c>
      <c r="I128" s="74" t="s">
        <v>191</v>
      </c>
      <c r="J128" s="74" t="s">
        <v>188</v>
      </c>
      <c r="K128" s="74" t="s">
        <v>328</v>
      </c>
      <c r="L128" s="75">
        <v>2400</v>
      </c>
      <c r="M128" s="74" t="s">
        <v>244</v>
      </c>
      <c r="N128" s="74"/>
    </row>
    <row r="129" ht="31" spans="1:14">
      <c r="A129" s="74" t="s">
        <v>32</v>
      </c>
      <c r="B129" s="74">
        <v>3</v>
      </c>
      <c r="C129" s="74" t="s">
        <v>171</v>
      </c>
      <c r="D129" s="74" t="s">
        <v>114</v>
      </c>
      <c r="E129" s="74" t="s">
        <v>115</v>
      </c>
      <c r="F129" s="74" t="s">
        <v>116</v>
      </c>
      <c r="G129" s="74" t="s">
        <v>258</v>
      </c>
      <c r="H129" s="74" t="s">
        <v>194</v>
      </c>
      <c r="I129" s="74" t="s">
        <v>194</v>
      </c>
      <c r="J129" s="74" t="s">
        <v>195</v>
      </c>
      <c r="K129" s="74" t="s">
        <v>423</v>
      </c>
      <c r="L129" s="75">
        <v>1920</v>
      </c>
      <c r="M129" s="74" t="s">
        <v>424</v>
      </c>
      <c r="N129" s="74"/>
    </row>
    <row r="130" ht="31" spans="1:14">
      <c r="A130" s="74" t="s">
        <v>32</v>
      </c>
      <c r="B130" s="74">
        <v>4</v>
      </c>
      <c r="C130" s="74" t="s">
        <v>171</v>
      </c>
      <c r="D130" s="74" t="s">
        <v>114</v>
      </c>
      <c r="E130" s="74" t="s">
        <v>68</v>
      </c>
      <c r="F130" s="74" t="s">
        <v>69</v>
      </c>
      <c r="G130" s="74" t="s">
        <v>258</v>
      </c>
      <c r="H130" s="74" t="s">
        <v>242</v>
      </c>
      <c r="I130" s="74" t="s">
        <v>200</v>
      </c>
      <c r="J130" s="74" t="s">
        <v>188</v>
      </c>
      <c r="K130" s="74" t="s">
        <v>328</v>
      </c>
      <c r="L130" s="75">
        <v>2400</v>
      </c>
      <c r="M130" s="74" t="s">
        <v>244</v>
      </c>
      <c r="N130" s="74"/>
    </row>
    <row r="131" spans="1:14">
      <c r="A131" s="70" t="s">
        <v>308</v>
      </c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</row>
    <row r="132" spans="1:14">
      <c r="A132" s="72" t="s">
        <v>53</v>
      </c>
      <c r="B132" s="72" t="s">
        <v>54</v>
      </c>
      <c r="C132" s="72" t="s">
        <v>174</v>
      </c>
      <c r="D132" s="72" t="s">
        <v>325</v>
      </c>
      <c r="E132" s="72" t="s">
        <v>55</v>
      </c>
      <c r="F132" s="72" t="s">
        <v>56</v>
      </c>
      <c r="G132" s="72" t="s">
        <v>175</v>
      </c>
      <c r="H132" s="72" t="s">
        <v>176</v>
      </c>
      <c r="I132" s="72" t="s">
        <v>177</v>
      </c>
      <c r="J132" s="72" t="s">
        <v>178</v>
      </c>
      <c r="K132" s="72" t="s">
        <v>326</v>
      </c>
      <c r="L132" s="73" t="s">
        <v>327</v>
      </c>
      <c r="M132" s="72" t="s">
        <v>183</v>
      </c>
      <c r="N132" s="72" t="s">
        <v>184</v>
      </c>
    </row>
    <row r="133" ht="31" spans="1:14">
      <c r="A133" s="74" t="s">
        <v>33</v>
      </c>
      <c r="B133" s="74">
        <v>1</v>
      </c>
      <c r="C133" s="74" t="s">
        <v>171</v>
      </c>
      <c r="D133" s="74" t="s">
        <v>350</v>
      </c>
      <c r="E133" s="74" t="s">
        <v>68</v>
      </c>
      <c r="F133" s="74" t="s">
        <v>69</v>
      </c>
      <c r="G133" s="74" t="s">
        <v>262</v>
      </c>
      <c r="H133" s="74" t="s">
        <v>263</v>
      </c>
      <c r="I133" s="74" t="s">
        <v>191</v>
      </c>
      <c r="J133" s="74" t="s">
        <v>188</v>
      </c>
      <c r="K133" s="74" t="s">
        <v>328</v>
      </c>
      <c r="L133" s="75">
        <v>3200</v>
      </c>
      <c r="M133" s="74" t="s">
        <v>264</v>
      </c>
      <c r="N133" s="74"/>
    </row>
    <row r="134" ht="31" spans="1:14">
      <c r="A134" s="74" t="s">
        <v>33</v>
      </c>
      <c r="B134" s="74">
        <v>2</v>
      </c>
      <c r="C134" s="74" t="s">
        <v>171</v>
      </c>
      <c r="D134" s="74" t="s">
        <v>350</v>
      </c>
      <c r="E134" s="74" t="s">
        <v>118</v>
      </c>
      <c r="F134" s="74" t="s">
        <v>119</v>
      </c>
      <c r="G134" s="74" t="s">
        <v>262</v>
      </c>
      <c r="H134" s="74" t="s">
        <v>265</v>
      </c>
      <c r="I134" s="74" t="s">
        <v>265</v>
      </c>
      <c r="J134" s="74" t="s">
        <v>195</v>
      </c>
      <c r="K134" s="74" t="s">
        <v>425</v>
      </c>
      <c r="L134" s="75">
        <v>55935</v>
      </c>
      <c r="M134" s="74" t="s">
        <v>426</v>
      </c>
      <c r="N134" s="74"/>
    </row>
    <row r="135" ht="31" spans="1:14">
      <c r="A135" s="74" t="s">
        <v>33</v>
      </c>
      <c r="B135" s="74">
        <v>3</v>
      </c>
      <c r="C135" s="74" t="s">
        <v>171</v>
      </c>
      <c r="D135" s="74" t="s">
        <v>350</v>
      </c>
      <c r="E135" s="74" t="s">
        <v>68</v>
      </c>
      <c r="F135" s="74" t="s">
        <v>69</v>
      </c>
      <c r="G135" s="74" t="s">
        <v>262</v>
      </c>
      <c r="H135" s="74" t="s">
        <v>263</v>
      </c>
      <c r="I135" s="74" t="s">
        <v>200</v>
      </c>
      <c r="J135" s="74" t="s">
        <v>188</v>
      </c>
      <c r="K135" s="74" t="s">
        <v>328</v>
      </c>
      <c r="L135" s="75">
        <v>3200</v>
      </c>
      <c r="M135" s="74" t="s">
        <v>264</v>
      </c>
      <c r="N135" s="74"/>
    </row>
    <row r="136" ht="46" spans="1:14">
      <c r="A136" s="74" t="s">
        <v>33</v>
      </c>
      <c r="B136" s="74">
        <v>5</v>
      </c>
      <c r="C136" s="74" t="s">
        <v>171</v>
      </c>
      <c r="D136" s="74" t="s">
        <v>350</v>
      </c>
      <c r="E136" s="74" t="s">
        <v>121</v>
      </c>
      <c r="F136" s="74" t="s">
        <v>121</v>
      </c>
      <c r="G136" s="74" t="s">
        <v>262</v>
      </c>
      <c r="H136" s="74" t="s">
        <v>267</v>
      </c>
      <c r="I136" s="74" t="s">
        <v>268</v>
      </c>
      <c r="J136" s="74" t="s">
        <v>269</v>
      </c>
      <c r="K136" s="74" t="s">
        <v>427</v>
      </c>
      <c r="L136" s="75">
        <v>23100</v>
      </c>
      <c r="M136" s="74" t="s">
        <v>428</v>
      </c>
      <c r="N136" s="74" t="s">
        <v>271</v>
      </c>
    </row>
    <row r="137" spans="1:14">
      <c r="A137" s="70" t="s">
        <v>309</v>
      </c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</row>
    <row r="138" spans="1:14">
      <c r="A138" s="72" t="s">
        <v>53</v>
      </c>
      <c r="B138" s="72" t="s">
        <v>54</v>
      </c>
      <c r="C138" s="72" t="s">
        <v>174</v>
      </c>
      <c r="D138" s="72" t="s">
        <v>325</v>
      </c>
      <c r="E138" s="72" t="s">
        <v>55</v>
      </c>
      <c r="F138" s="72" t="s">
        <v>56</v>
      </c>
      <c r="G138" s="72" t="s">
        <v>175</v>
      </c>
      <c r="H138" s="72" t="s">
        <v>176</v>
      </c>
      <c r="I138" s="72" t="s">
        <v>177</v>
      </c>
      <c r="J138" s="72" t="s">
        <v>178</v>
      </c>
      <c r="K138" s="72" t="s">
        <v>326</v>
      </c>
      <c r="L138" s="73" t="s">
        <v>327</v>
      </c>
      <c r="M138" s="72" t="s">
        <v>183</v>
      </c>
      <c r="N138" s="72" t="s">
        <v>184</v>
      </c>
    </row>
    <row r="139" ht="31" spans="1:14">
      <c r="A139" s="74" t="s">
        <v>35</v>
      </c>
      <c r="B139" s="74">
        <v>1</v>
      </c>
      <c r="C139" s="74" t="s">
        <v>171</v>
      </c>
      <c r="D139" s="74" t="s">
        <v>354</v>
      </c>
      <c r="E139" s="74" t="s">
        <v>68</v>
      </c>
      <c r="F139" s="74" t="s">
        <v>69</v>
      </c>
      <c r="G139" s="74" t="s">
        <v>274</v>
      </c>
      <c r="H139" s="74" t="s">
        <v>242</v>
      </c>
      <c r="I139" s="74" t="s">
        <v>191</v>
      </c>
      <c r="J139" s="74" t="s">
        <v>188</v>
      </c>
      <c r="K139" s="74" t="s">
        <v>328</v>
      </c>
      <c r="L139" s="75">
        <v>2400</v>
      </c>
      <c r="M139" s="74" t="s">
        <v>244</v>
      </c>
      <c r="N139" s="74"/>
    </row>
    <row r="140" ht="31" spans="1:14">
      <c r="A140" s="74" t="s">
        <v>35</v>
      </c>
      <c r="B140" s="74">
        <v>2</v>
      </c>
      <c r="C140" s="74" t="s">
        <v>171</v>
      </c>
      <c r="D140" s="74" t="s">
        <v>354</v>
      </c>
      <c r="E140" s="74" t="s">
        <v>123</v>
      </c>
      <c r="F140" s="74" t="s">
        <v>124</v>
      </c>
      <c r="G140" s="74" t="s">
        <v>274</v>
      </c>
      <c r="H140" s="74" t="s">
        <v>199</v>
      </c>
      <c r="I140" s="74" t="s">
        <v>200</v>
      </c>
      <c r="J140" s="74" t="s">
        <v>201</v>
      </c>
      <c r="K140" s="74" t="s">
        <v>369</v>
      </c>
      <c r="L140" s="75">
        <v>5000</v>
      </c>
      <c r="M140" s="74" t="s">
        <v>370</v>
      </c>
      <c r="N140" s="74"/>
    </row>
    <row r="141" ht="31" spans="1:14">
      <c r="A141" s="74" t="s">
        <v>35</v>
      </c>
      <c r="B141" s="74">
        <v>3</v>
      </c>
      <c r="C141" s="74" t="s">
        <v>171</v>
      </c>
      <c r="D141" s="74" t="s">
        <v>354</v>
      </c>
      <c r="E141" s="74" t="s">
        <v>68</v>
      </c>
      <c r="F141" s="74" t="s">
        <v>69</v>
      </c>
      <c r="G141" s="74" t="s">
        <v>274</v>
      </c>
      <c r="H141" s="74" t="s">
        <v>242</v>
      </c>
      <c r="I141" s="74" t="s">
        <v>200</v>
      </c>
      <c r="J141" s="74" t="s">
        <v>188</v>
      </c>
      <c r="K141" s="74" t="s">
        <v>328</v>
      </c>
      <c r="L141" s="75">
        <v>2400</v>
      </c>
      <c r="M141" s="74" t="s">
        <v>244</v>
      </c>
      <c r="N141" s="74"/>
    </row>
    <row r="142" spans="1:14">
      <c r="A142" s="70" t="s">
        <v>310</v>
      </c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</row>
    <row r="143" spans="1:14">
      <c r="A143" s="72" t="s">
        <v>53</v>
      </c>
      <c r="B143" s="72" t="s">
        <v>54</v>
      </c>
      <c r="C143" s="72" t="s">
        <v>174</v>
      </c>
      <c r="D143" s="72" t="s">
        <v>325</v>
      </c>
      <c r="E143" s="72" t="s">
        <v>55</v>
      </c>
      <c r="F143" s="72" t="s">
        <v>56</v>
      </c>
      <c r="G143" s="72" t="s">
        <v>175</v>
      </c>
      <c r="H143" s="72" t="s">
        <v>176</v>
      </c>
      <c r="I143" s="72" t="s">
        <v>177</v>
      </c>
      <c r="J143" s="72" t="s">
        <v>178</v>
      </c>
      <c r="K143" s="72" t="s">
        <v>326</v>
      </c>
      <c r="L143" s="73" t="s">
        <v>327</v>
      </c>
      <c r="M143" s="72" t="s">
        <v>183</v>
      </c>
      <c r="N143" s="72" t="s">
        <v>184</v>
      </c>
    </row>
    <row r="144" ht="31" spans="1:14">
      <c r="A144" s="74" t="s">
        <v>37</v>
      </c>
      <c r="B144" s="74">
        <v>2</v>
      </c>
      <c r="C144" s="74" t="s">
        <v>171</v>
      </c>
      <c r="D144" s="74" t="s">
        <v>126</v>
      </c>
      <c r="E144" s="74" t="s">
        <v>68</v>
      </c>
      <c r="F144" s="74" t="s">
        <v>69</v>
      </c>
      <c r="G144" s="74" t="s">
        <v>277</v>
      </c>
      <c r="H144" s="74" t="s">
        <v>242</v>
      </c>
      <c r="I144" s="74" t="s">
        <v>191</v>
      </c>
      <c r="J144" s="74" t="s">
        <v>188</v>
      </c>
      <c r="K144" s="74" t="s">
        <v>328</v>
      </c>
      <c r="L144" s="75">
        <v>2400</v>
      </c>
      <c r="M144" s="74" t="s">
        <v>244</v>
      </c>
      <c r="N144" s="74"/>
    </row>
    <row r="145" ht="31" spans="1:14">
      <c r="A145" s="74" t="s">
        <v>37</v>
      </c>
      <c r="B145" s="74">
        <v>3</v>
      </c>
      <c r="C145" s="74" t="s">
        <v>171</v>
      </c>
      <c r="D145" s="74" t="s">
        <v>126</v>
      </c>
      <c r="E145" s="74" t="s">
        <v>127</v>
      </c>
      <c r="F145" s="74" t="s">
        <v>128</v>
      </c>
      <c r="G145" s="74" t="s">
        <v>277</v>
      </c>
      <c r="H145" s="74" t="s">
        <v>253</v>
      </c>
      <c r="I145" s="74" t="s">
        <v>253</v>
      </c>
      <c r="J145" s="74" t="s">
        <v>195</v>
      </c>
      <c r="K145" s="74" t="s">
        <v>329</v>
      </c>
      <c r="L145" s="75">
        <v>30000</v>
      </c>
      <c r="M145" s="74" t="s">
        <v>429</v>
      </c>
      <c r="N145" s="74"/>
    </row>
    <row r="146" ht="31" spans="1:14">
      <c r="A146" s="74" t="s">
        <v>37</v>
      </c>
      <c r="B146" s="74">
        <v>4</v>
      </c>
      <c r="C146" s="74" t="s">
        <v>171</v>
      </c>
      <c r="D146" s="74" t="s">
        <v>126</v>
      </c>
      <c r="E146" s="74" t="s">
        <v>68</v>
      </c>
      <c r="F146" s="74" t="s">
        <v>69</v>
      </c>
      <c r="G146" s="74" t="s">
        <v>277</v>
      </c>
      <c r="H146" s="74" t="s">
        <v>242</v>
      </c>
      <c r="I146" s="74" t="s">
        <v>200</v>
      </c>
      <c r="J146" s="74" t="s">
        <v>188</v>
      </c>
      <c r="K146" s="74" t="s">
        <v>328</v>
      </c>
      <c r="L146" s="75">
        <v>2400</v>
      </c>
      <c r="M146" s="74" t="s">
        <v>244</v>
      </c>
      <c r="N146" s="74"/>
    </row>
    <row r="147" spans="1:14">
      <c r="A147" s="70" t="s">
        <v>311</v>
      </c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</row>
    <row r="148" spans="1:14">
      <c r="A148" s="72" t="s">
        <v>53</v>
      </c>
      <c r="B148" s="72" t="s">
        <v>54</v>
      </c>
      <c r="C148" s="72" t="s">
        <v>174</v>
      </c>
      <c r="D148" s="72" t="s">
        <v>325</v>
      </c>
      <c r="E148" s="72" t="s">
        <v>55</v>
      </c>
      <c r="F148" s="72" t="s">
        <v>56</v>
      </c>
      <c r="G148" s="72" t="s">
        <v>175</v>
      </c>
      <c r="H148" s="72" t="s">
        <v>176</v>
      </c>
      <c r="I148" s="72" t="s">
        <v>177</v>
      </c>
      <c r="J148" s="72" t="s">
        <v>178</v>
      </c>
      <c r="K148" s="72" t="s">
        <v>326</v>
      </c>
      <c r="L148" s="73" t="s">
        <v>327</v>
      </c>
      <c r="M148" s="72" t="s">
        <v>183</v>
      </c>
      <c r="N148" s="72" t="s">
        <v>184</v>
      </c>
    </row>
    <row r="149" ht="31" spans="1:14">
      <c r="A149" s="74" t="s">
        <v>38</v>
      </c>
      <c r="B149" s="74">
        <v>2</v>
      </c>
      <c r="C149" s="74" t="s">
        <v>171</v>
      </c>
      <c r="D149" s="74" t="s">
        <v>129</v>
      </c>
      <c r="E149" s="74" t="s">
        <v>68</v>
      </c>
      <c r="F149" s="74" t="s">
        <v>69</v>
      </c>
      <c r="G149" s="74" t="s">
        <v>281</v>
      </c>
      <c r="H149" s="74" t="s">
        <v>242</v>
      </c>
      <c r="I149" s="74" t="s">
        <v>191</v>
      </c>
      <c r="J149" s="74" t="s">
        <v>188</v>
      </c>
      <c r="K149" s="74" t="s">
        <v>328</v>
      </c>
      <c r="L149" s="75">
        <v>2400</v>
      </c>
      <c r="M149" s="74" t="s">
        <v>244</v>
      </c>
      <c r="N149" s="74"/>
    </row>
    <row r="150" ht="31" spans="1:14">
      <c r="A150" s="74" t="s">
        <v>38</v>
      </c>
      <c r="B150" s="74">
        <v>3</v>
      </c>
      <c r="C150" s="74" t="s">
        <v>171</v>
      </c>
      <c r="D150" s="74" t="s">
        <v>129</v>
      </c>
      <c r="E150" s="74" t="s">
        <v>130</v>
      </c>
      <c r="F150" s="74" t="s">
        <v>131</v>
      </c>
      <c r="G150" s="74" t="s">
        <v>281</v>
      </c>
      <c r="H150" s="74" t="s">
        <v>253</v>
      </c>
      <c r="I150" s="74" t="s">
        <v>253</v>
      </c>
      <c r="J150" s="74" t="s">
        <v>195</v>
      </c>
      <c r="K150" s="74" t="s">
        <v>329</v>
      </c>
      <c r="L150" s="75">
        <v>30000</v>
      </c>
      <c r="M150" s="74" t="s">
        <v>429</v>
      </c>
      <c r="N150" s="74"/>
    </row>
    <row r="151" ht="31" spans="1:14">
      <c r="A151" s="74" t="s">
        <v>38</v>
      </c>
      <c r="B151" s="74">
        <v>4</v>
      </c>
      <c r="C151" s="74" t="s">
        <v>171</v>
      </c>
      <c r="D151" s="74" t="s">
        <v>129</v>
      </c>
      <c r="E151" s="74" t="s">
        <v>68</v>
      </c>
      <c r="F151" s="74" t="s">
        <v>69</v>
      </c>
      <c r="G151" s="74" t="s">
        <v>281</v>
      </c>
      <c r="H151" s="74" t="s">
        <v>242</v>
      </c>
      <c r="I151" s="74" t="s">
        <v>200</v>
      </c>
      <c r="J151" s="74" t="s">
        <v>188</v>
      </c>
      <c r="K151" s="74" t="s">
        <v>328</v>
      </c>
      <c r="L151" s="75">
        <v>2400</v>
      </c>
      <c r="M151" s="74" t="s">
        <v>244</v>
      </c>
      <c r="N151" s="74"/>
    </row>
    <row r="152" spans="1:14">
      <c r="A152" s="70" t="s">
        <v>312</v>
      </c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</row>
    <row r="153" spans="1:14">
      <c r="A153" s="72" t="s">
        <v>53</v>
      </c>
      <c r="B153" s="72" t="s">
        <v>54</v>
      </c>
      <c r="C153" s="72" t="s">
        <v>174</v>
      </c>
      <c r="D153" s="72" t="s">
        <v>325</v>
      </c>
      <c r="E153" s="72" t="s">
        <v>55</v>
      </c>
      <c r="F153" s="72" t="s">
        <v>56</v>
      </c>
      <c r="G153" s="72" t="s">
        <v>175</v>
      </c>
      <c r="H153" s="72" t="s">
        <v>176</v>
      </c>
      <c r="I153" s="72" t="s">
        <v>177</v>
      </c>
      <c r="J153" s="72" t="s">
        <v>178</v>
      </c>
      <c r="K153" s="72" t="s">
        <v>326</v>
      </c>
      <c r="L153" s="73" t="s">
        <v>327</v>
      </c>
      <c r="M153" s="72" t="s">
        <v>183</v>
      </c>
      <c r="N153" s="72" t="s">
        <v>184</v>
      </c>
    </row>
    <row r="154" ht="31" spans="1:14">
      <c r="A154" s="74" t="s">
        <v>39</v>
      </c>
      <c r="B154" s="74">
        <v>2</v>
      </c>
      <c r="C154" s="74" t="s">
        <v>171</v>
      </c>
      <c r="D154" s="74" t="s">
        <v>132</v>
      </c>
      <c r="E154" s="74" t="s">
        <v>68</v>
      </c>
      <c r="F154" s="74" t="s">
        <v>69</v>
      </c>
      <c r="G154" s="74" t="s">
        <v>284</v>
      </c>
      <c r="H154" s="74" t="s">
        <v>242</v>
      </c>
      <c r="I154" s="74" t="s">
        <v>191</v>
      </c>
      <c r="J154" s="74" t="s">
        <v>188</v>
      </c>
      <c r="K154" s="74" t="s">
        <v>328</v>
      </c>
      <c r="L154" s="75">
        <v>2400</v>
      </c>
      <c r="M154" s="74" t="s">
        <v>244</v>
      </c>
      <c r="N154" s="74"/>
    </row>
    <row r="155" ht="31" spans="1:14">
      <c r="A155" s="74" t="s">
        <v>39</v>
      </c>
      <c r="B155" s="74">
        <v>3</v>
      </c>
      <c r="C155" s="74" t="s">
        <v>171</v>
      </c>
      <c r="D155" s="74" t="s">
        <v>132</v>
      </c>
      <c r="E155" s="74" t="s">
        <v>130</v>
      </c>
      <c r="F155" s="74" t="s">
        <v>133</v>
      </c>
      <c r="G155" s="74" t="s">
        <v>284</v>
      </c>
      <c r="H155" s="74" t="s">
        <v>285</v>
      </c>
      <c r="I155" s="74" t="s">
        <v>285</v>
      </c>
      <c r="J155" s="74" t="s">
        <v>195</v>
      </c>
      <c r="K155" s="74" t="s">
        <v>329</v>
      </c>
      <c r="L155" s="75">
        <v>33000</v>
      </c>
      <c r="M155" s="74" t="s">
        <v>430</v>
      </c>
      <c r="N155" s="74"/>
    </row>
    <row r="156" ht="31" spans="1:14">
      <c r="A156" s="74" t="s">
        <v>39</v>
      </c>
      <c r="B156" s="74">
        <v>4</v>
      </c>
      <c r="C156" s="74" t="s">
        <v>171</v>
      </c>
      <c r="D156" s="74" t="s">
        <v>132</v>
      </c>
      <c r="E156" s="74" t="s">
        <v>68</v>
      </c>
      <c r="F156" s="74" t="s">
        <v>69</v>
      </c>
      <c r="G156" s="74" t="s">
        <v>284</v>
      </c>
      <c r="H156" s="74" t="s">
        <v>242</v>
      </c>
      <c r="I156" s="74" t="s">
        <v>200</v>
      </c>
      <c r="J156" s="74" t="s">
        <v>188</v>
      </c>
      <c r="K156" s="74" t="s">
        <v>328</v>
      </c>
      <c r="L156" s="75">
        <v>2400</v>
      </c>
      <c r="M156" s="74" t="s">
        <v>244</v>
      </c>
      <c r="N156" s="74"/>
    </row>
    <row r="157" spans="1:14">
      <c r="A157" s="70" t="s">
        <v>313</v>
      </c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</row>
    <row r="158" spans="1:14">
      <c r="A158" s="72" t="s">
        <v>53</v>
      </c>
      <c r="B158" s="72" t="s">
        <v>54</v>
      </c>
      <c r="C158" s="72" t="s">
        <v>174</v>
      </c>
      <c r="D158" s="72" t="s">
        <v>325</v>
      </c>
      <c r="E158" s="72" t="s">
        <v>55</v>
      </c>
      <c r="F158" s="72" t="s">
        <v>56</v>
      </c>
      <c r="G158" s="72" t="s">
        <v>175</v>
      </c>
      <c r="H158" s="72" t="s">
        <v>176</v>
      </c>
      <c r="I158" s="72" t="s">
        <v>177</v>
      </c>
      <c r="J158" s="72" t="s">
        <v>178</v>
      </c>
      <c r="K158" s="72" t="s">
        <v>326</v>
      </c>
      <c r="L158" s="73" t="s">
        <v>327</v>
      </c>
      <c r="M158" s="72" t="s">
        <v>183</v>
      </c>
      <c r="N158" s="72" t="s">
        <v>184</v>
      </c>
    </row>
    <row r="159" ht="31" spans="1:14">
      <c r="A159" s="74" t="s">
        <v>42</v>
      </c>
      <c r="B159" s="74">
        <v>2</v>
      </c>
      <c r="C159" s="74" t="s">
        <v>171</v>
      </c>
      <c r="D159" s="74" t="s">
        <v>361</v>
      </c>
      <c r="E159" s="74" t="s">
        <v>68</v>
      </c>
      <c r="F159" s="74" t="s">
        <v>69</v>
      </c>
      <c r="G159" s="74" t="s">
        <v>314</v>
      </c>
      <c r="H159" s="74" t="s">
        <v>242</v>
      </c>
      <c r="I159" s="74" t="s">
        <v>191</v>
      </c>
      <c r="J159" s="74" t="s">
        <v>188</v>
      </c>
      <c r="K159" s="74" t="s">
        <v>328</v>
      </c>
      <c r="L159" s="75">
        <v>2400</v>
      </c>
      <c r="M159" s="74" t="s">
        <v>244</v>
      </c>
      <c r="N159" s="74"/>
    </row>
    <row r="160" spans="1:14">
      <c r="A160" s="74" t="s">
        <v>42</v>
      </c>
      <c r="B160" s="74">
        <v>3</v>
      </c>
      <c r="C160" s="74" t="s">
        <v>171</v>
      </c>
      <c r="D160" s="74" t="s">
        <v>361</v>
      </c>
      <c r="E160" s="74" t="s">
        <v>139</v>
      </c>
      <c r="F160" s="74" t="s">
        <v>140</v>
      </c>
      <c r="G160" s="74" t="s">
        <v>314</v>
      </c>
      <c r="H160" s="74" t="s">
        <v>318</v>
      </c>
      <c r="I160" s="74" t="s">
        <v>318</v>
      </c>
      <c r="J160" s="74" t="s">
        <v>195</v>
      </c>
      <c r="K160" s="74" t="s">
        <v>431</v>
      </c>
      <c r="L160" s="75">
        <v>12000</v>
      </c>
      <c r="M160" s="74" t="s">
        <v>432</v>
      </c>
      <c r="N160" s="74"/>
    </row>
    <row r="161" spans="1:14">
      <c r="A161" s="74" t="s">
        <v>42</v>
      </c>
      <c r="B161" s="74">
        <v>4</v>
      </c>
      <c r="C161" s="74" t="s">
        <v>171</v>
      </c>
      <c r="D161" s="74" t="s">
        <v>361</v>
      </c>
      <c r="E161" s="74" t="s">
        <v>139</v>
      </c>
      <c r="F161" s="74" t="s">
        <v>143</v>
      </c>
      <c r="G161" s="74" t="s">
        <v>314</v>
      </c>
      <c r="H161" s="74" t="s">
        <v>318</v>
      </c>
      <c r="I161" s="74" t="s">
        <v>318</v>
      </c>
      <c r="J161" s="74" t="s">
        <v>195</v>
      </c>
      <c r="K161" s="74" t="s">
        <v>431</v>
      </c>
      <c r="L161" s="75">
        <v>12000</v>
      </c>
      <c r="M161" s="74" t="s">
        <v>432</v>
      </c>
      <c r="N161" s="74"/>
    </row>
    <row r="162" spans="1:14">
      <c r="A162" s="74" t="s">
        <v>42</v>
      </c>
      <c r="B162" s="74">
        <v>5</v>
      </c>
      <c r="C162" s="74" t="s">
        <v>171</v>
      </c>
      <c r="D162" s="74" t="s">
        <v>361</v>
      </c>
      <c r="E162" s="74" t="s">
        <v>139</v>
      </c>
      <c r="F162" s="74" t="s">
        <v>144</v>
      </c>
      <c r="G162" s="74" t="s">
        <v>314</v>
      </c>
      <c r="H162" s="74" t="s">
        <v>318</v>
      </c>
      <c r="I162" s="74" t="s">
        <v>318</v>
      </c>
      <c r="J162" s="74" t="s">
        <v>195</v>
      </c>
      <c r="K162" s="74" t="s">
        <v>431</v>
      </c>
      <c r="L162" s="75">
        <v>12000</v>
      </c>
      <c r="M162" s="74" t="s">
        <v>432</v>
      </c>
      <c r="N162" s="74"/>
    </row>
    <row r="163" spans="1:14">
      <c r="A163" s="74" t="s">
        <v>42</v>
      </c>
      <c r="B163" s="74">
        <v>6</v>
      </c>
      <c r="C163" s="74" t="s">
        <v>171</v>
      </c>
      <c r="D163" s="74" t="s">
        <v>361</v>
      </c>
      <c r="E163" s="74" t="s">
        <v>139</v>
      </c>
      <c r="F163" s="74" t="s">
        <v>145</v>
      </c>
      <c r="G163" s="74" t="s">
        <v>314</v>
      </c>
      <c r="H163" s="74" t="s">
        <v>318</v>
      </c>
      <c r="I163" s="74" t="s">
        <v>318</v>
      </c>
      <c r="J163" s="74" t="s">
        <v>195</v>
      </c>
      <c r="K163" s="74" t="s">
        <v>431</v>
      </c>
      <c r="L163" s="75">
        <v>12000</v>
      </c>
      <c r="M163" s="74" t="s">
        <v>432</v>
      </c>
      <c r="N163" s="74"/>
    </row>
    <row r="164" spans="1:14">
      <c r="A164" s="74" t="s">
        <v>42</v>
      </c>
      <c r="B164" s="74">
        <v>7</v>
      </c>
      <c r="C164" s="74" t="s">
        <v>171</v>
      </c>
      <c r="D164" s="74" t="s">
        <v>361</v>
      </c>
      <c r="E164" s="74" t="s">
        <v>139</v>
      </c>
      <c r="F164" s="74" t="s">
        <v>146</v>
      </c>
      <c r="G164" s="74" t="s">
        <v>314</v>
      </c>
      <c r="H164" s="74" t="s">
        <v>318</v>
      </c>
      <c r="I164" s="74" t="s">
        <v>318</v>
      </c>
      <c r="J164" s="74" t="s">
        <v>195</v>
      </c>
      <c r="K164" s="74" t="s">
        <v>431</v>
      </c>
      <c r="L164" s="75">
        <v>12000</v>
      </c>
      <c r="M164" s="74" t="s">
        <v>432</v>
      </c>
      <c r="N164" s="74"/>
    </row>
    <row r="165" ht="31" spans="1:14">
      <c r="A165" s="74" t="s">
        <v>42</v>
      </c>
      <c r="B165" s="74">
        <v>8</v>
      </c>
      <c r="C165" s="74" t="s">
        <v>171</v>
      </c>
      <c r="D165" s="74" t="s">
        <v>361</v>
      </c>
      <c r="E165" s="74" t="s">
        <v>68</v>
      </c>
      <c r="F165" s="74" t="s">
        <v>69</v>
      </c>
      <c r="G165" s="74" t="s">
        <v>314</v>
      </c>
      <c r="H165" s="74" t="s">
        <v>242</v>
      </c>
      <c r="I165" s="74" t="s">
        <v>191</v>
      </c>
      <c r="J165" s="74" t="s">
        <v>188</v>
      </c>
      <c r="K165" s="74" t="s">
        <v>328</v>
      </c>
      <c r="L165" s="75">
        <v>2400</v>
      </c>
      <c r="M165" s="74" t="s">
        <v>244</v>
      </c>
      <c r="N165" s="74"/>
    </row>
    <row r="166" spans="1:14">
      <c r="A166" s="70" t="s">
        <v>138</v>
      </c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</row>
    <row r="167" spans="1:14">
      <c r="A167" s="72" t="s">
        <v>53</v>
      </c>
      <c r="B167" s="72" t="s">
        <v>54</v>
      </c>
      <c r="C167" s="72" t="s">
        <v>174</v>
      </c>
      <c r="D167" s="72" t="s">
        <v>325</v>
      </c>
      <c r="E167" s="72" t="s">
        <v>55</v>
      </c>
      <c r="F167" s="72" t="s">
        <v>56</v>
      </c>
      <c r="G167" s="72" t="s">
        <v>175</v>
      </c>
      <c r="H167" s="72" t="s">
        <v>176</v>
      </c>
      <c r="I167" s="72" t="s">
        <v>177</v>
      </c>
      <c r="J167" s="72" t="s">
        <v>178</v>
      </c>
      <c r="K167" s="72" t="s">
        <v>326</v>
      </c>
      <c r="L167" s="73" t="s">
        <v>327</v>
      </c>
      <c r="M167" s="72" t="s">
        <v>183</v>
      </c>
      <c r="N167" s="72" t="s">
        <v>184</v>
      </c>
    </row>
    <row r="168" ht="31" spans="1:14">
      <c r="A168" s="74" t="s">
        <v>43</v>
      </c>
      <c r="B168" s="74">
        <v>1</v>
      </c>
      <c r="C168" s="74" t="s">
        <v>171</v>
      </c>
      <c r="D168" s="74" t="s">
        <v>358</v>
      </c>
      <c r="E168" s="74" t="s">
        <v>141</v>
      </c>
      <c r="F168" s="74" t="s">
        <v>142</v>
      </c>
      <c r="G168" s="74" t="s">
        <v>322</v>
      </c>
      <c r="H168" s="74" t="s">
        <v>297</v>
      </c>
      <c r="I168" s="74" t="s">
        <v>268</v>
      </c>
      <c r="J168" s="74" t="s">
        <v>188</v>
      </c>
      <c r="K168" s="74" t="s">
        <v>401</v>
      </c>
      <c r="L168" s="75"/>
      <c r="M168" s="74" t="s">
        <v>298</v>
      </c>
      <c r="N168" s="74" t="s">
        <v>299</v>
      </c>
    </row>
    <row r="169" spans="1:14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5"/>
      <c r="M169" s="74"/>
      <c r="N169" s="74"/>
    </row>
    <row r="170" spans="1:14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5"/>
      <c r="M170" s="74"/>
      <c r="N170" s="74"/>
    </row>
    <row r="171" spans="1:14">
      <c r="A171" s="70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</row>
    <row r="172" spans="1:14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3"/>
      <c r="M172" s="72"/>
      <c r="N172" s="72"/>
    </row>
    <row r="173" spans="1:14">
      <c r="A173" s="74"/>
      <c r="B173" s="81"/>
      <c r="C173" s="74"/>
      <c r="D173" s="74"/>
      <c r="E173" s="74"/>
      <c r="F173" s="74"/>
      <c r="G173" s="74"/>
      <c r="H173" s="74"/>
      <c r="I173" s="74"/>
      <c r="J173" s="74"/>
      <c r="K173" s="74"/>
      <c r="L173" s="75"/>
      <c r="M173" s="74"/>
      <c r="N173" s="74"/>
    </row>
    <row r="174" spans="1:14">
      <c r="A174" s="74"/>
      <c r="B174" s="81"/>
      <c r="C174" s="74"/>
      <c r="D174" s="74"/>
      <c r="E174" s="74"/>
      <c r="F174" s="74"/>
      <c r="G174" s="74"/>
      <c r="H174" s="74"/>
      <c r="I174" s="74"/>
      <c r="J174" s="74"/>
      <c r="K174" s="74"/>
      <c r="L174" s="75"/>
      <c r="M174" s="74"/>
      <c r="N174" s="74"/>
    </row>
  </sheetData>
  <mergeCells count="29">
    <mergeCell ref="A1:N1"/>
    <mergeCell ref="P1:R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2:N82"/>
    <mergeCell ref="B86:N86"/>
    <mergeCell ref="A87:N87"/>
    <mergeCell ref="A106:N106"/>
    <mergeCell ref="A112:N112"/>
    <mergeCell ref="A121:N121"/>
    <mergeCell ref="A126:N126"/>
    <mergeCell ref="A131:N131"/>
    <mergeCell ref="A137:N137"/>
    <mergeCell ref="A142:N142"/>
    <mergeCell ref="A147:N147"/>
    <mergeCell ref="A152:N152"/>
    <mergeCell ref="A157:N157"/>
    <mergeCell ref="A166:N166"/>
    <mergeCell ref="A171:N171"/>
  </mergeCells>
  <conditionalFormatting sqref="L9:L85 L87:L166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{ae223646-3200-4e6f-9aa7-bb38c81451e1}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223646-3200-4e6f-9aa7-bb38c81451e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L9:L85 L87:L166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"/>
  <sheetViews>
    <sheetView showGridLines="0" topLeftCell="D20" workbookViewId="0">
      <selection activeCell="F13" sqref="F13"/>
    </sheetView>
  </sheetViews>
  <sheetFormatPr defaultColWidth="9.64285714285714" defaultRowHeight="17.6"/>
  <cols>
    <col min="1" max="1" width="14" customWidth="1"/>
    <col min="2" max="3" width="10" customWidth="1"/>
    <col min="4" max="4" width="34" customWidth="1"/>
    <col min="5" max="7" width="12" customWidth="1"/>
    <col min="8" max="9" width="14" customWidth="1"/>
    <col min="10" max="10" width="12" customWidth="1"/>
    <col min="11" max="14" width="13" customWidth="1"/>
    <col min="15" max="15" width="15" customWidth="1"/>
    <col min="16" max="16" width="13" customWidth="1"/>
    <col min="17" max="17" width="12" customWidth="1"/>
    <col min="18" max="18" width="42" customWidth="1"/>
    <col min="19" max="24" width="12" hidden="1" customWidth="1"/>
  </cols>
  <sheetData>
    <row r="1" ht="20.4" spans="1:24">
      <c r="A1" s="21" t="s">
        <v>147</v>
      </c>
      <c r="E1" s="22"/>
      <c r="F1" s="21" t="s">
        <v>433</v>
      </c>
      <c r="G1" s="21"/>
      <c r="H1" s="21"/>
      <c r="I1" s="21"/>
      <c r="J1" s="21"/>
      <c r="K1" s="23"/>
      <c r="L1" s="24" t="s">
        <v>434</v>
      </c>
      <c r="P1" s="25" t="s">
        <v>435</v>
      </c>
      <c r="S1" s="22" t="s">
        <v>436</v>
      </c>
      <c r="T1" s="22" t="s">
        <v>437</v>
      </c>
      <c r="U1" s="22" t="s">
        <v>438</v>
      </c>
      <c r="V1" s="22"/>
      <c r="W1" s="22"/>
      <c r="X1" s="22"/>
    </row>
    <row r="2" ht="31" spans="1:24">
      <c r="A2" s="26" t="s">
        <v>148</v>
      </c>
      <c r="B2" s="27" t="s">
        <v>149</v>
      </c>
      <c r="C2" s="26" t="s">
        <v>150</v>
      </c>
      <c r="D2" s="27" t="s">
        <v>151</v>
      </c>
      <c r="E2" s="22"/>
      <c r="F2" s="28" t="s">
        <v>439</v>
      </c>
      <c r="G2" s="28" t="s">
        <v>440</v>
      </c>
      <c r="H2" s="28" t="s">
        <v>441</v>
      </c>
      <c r="I2" s="28" t="s">
        <v>442</v>
      </c>
      <c r="J2" s="28" t="s">
        <v>438</v>
      </c>
      <c r="K2" s="22"/>
      <c r="L2" s="22"/>
      <c r="M2" s="22"/>
      <c r="N2" s="22"/>
      <c r="O2" s="22"/>
      <c r="P2" s="29" t="s">
        <v>443</v>
      </c>
      <c r="Q2" s="29" t="s">
        <v>444</v>
      </c>
      <c r="R2" s="30" t="s">
        <v>445</v>
      </c>
      <c r="S2" s="22" t="s">
        <v>168</v>
      </c>
      <c r="T2" s="22" t="s">
        <v>446</v>
      </c>
      <c r="U2" s="22">
        <v>59.0895</v>
      </c>
      <c r="V2" s="22"/>
      <c r="W2" s="22"/>
      <c r="X2" s="22"/>
    </row>
    <row r="3" ht="36" spans="1:24">
      <c r="A3" s="26" t="s">
        <v>154</v>
      </c>
      <c r="B3" s="27" t="s">
        <v>155</v>
      </c>
      <c r="C3" s="26" t="s">
        <v>162</v>
      </c>
      <c r="D3" s="27" t="s">
        <v>163</v>
      </c>
      <c r="E3" s="22"/>
      <c r="F3" s="26" t="s">
        <v>168</v>
      </c>
      <c r="G3" s="31">
        <v>597644</v>
      </c>
      <c r="H3" s="31">
        <v>573334</v>
      </c>
      <c r="I3" s="31">
        <v>566018</v>
      </c>
      <c r="J3" s="31">
        <v>590895</v>
      </c>
      <c r="K3" s="22"/>
      <c r="L3" s="22"/>
      <c r="M3" s="22"/>
      <c r="N3" s="22"/>
      <c r="O3" s="22"/>
      <c r="P3" s="32" t="s">
        <v>447</v>
      </c>
      <c r="Q3" s="33" t="s">
        <v>448</v>
      </c>
      <c r="R3" s="34" t="s">
        <v>449</v>
      </c>
      <c r="S3" s="22" t="s">
        <v>168</v>
      </c>
      <c r="T3" s="22" t="s">
        <v>450</v>
      </c>
      <c r="U3" s="22">
        <v>59.7644</v>
      </c>
      <c r="V3" s="22"/>
      <c r="W3" s="22"/>
      <c r="X3" s="22"/>
    </row>
    <row r="4" ht="36" spans="1:24">
      <c r="A4" s="26" t="s">
        <v>152</v>
      </c>
      <c r="B4" s="27" t="s">
        <v>153</v>
      </c>
      <c r="C4" s="26" t="s">
        <v>156</v>
      </c>
      <c r="D4" s="27" t="s">
        <v>157</v>
      </c>
      <c r="E4" s="22"/>
      <c r="F4" s="26" t="s">
        <v>171</v>
      </c>
      <c r="G4" s="31">
        <v>634444</v>
      </c>
      <c r="H4" s="31">
        <v>610134</v>
      </c>
      <c r="I4" s="31">
        <v>598418</v>
      </c>
      <c r="J4" s="31">
        <v>655695</v>
      </c>
      <c r="K4" s="22"/>
      <c r="L4" s="22"/>
      <c r="M4" s="22"/>
      <c r="N4" s="22"/>
      <c r="O4" s="22"/>
      <c r="P4" s="32" t="s">
        <v>451</v>
      </c>
      <c r="Q4" s="33" t="s">
        <v>452</v>
      </c>
      <c r="R4" s="34" t="s">
        <v>453</v>
      </c>
      <c r="S4" s="22" t="s">
        <v>168</v>
      </c>
      <c r="T4" s="22" t="s">
        <v>454</v>
      </c>
      <c r="U4" s="22">
        <v>57.3334</v>
      </c>
      <c r="V4" s="22"/>
      <c r="W4" s="22"/>
      <c r="X4" s="22"/>
    </row>
    <row r="5" ht="31" spans="1:24">
      <c r="A5" s="26" t="s">
        <v>158</v>
      </c>
      <c r="B5" s="27" t="s">
        <v>159</v>
      </c>
      <c r="C5" s="26" t="s">
        <v>160</v>
      </c>
      <c r="D5" s="27" t="s">
        <v>161</v>
      </c>
      <c r="E5" s="22"/>
      <c r="F5" s="26" t="s">
        <v>455</v>
      </c>
      <c r="G5" s="31">
        <v>1232088</v>
      </c>
      <c r="H5" s="31">
        <v>1183468</v>
      </c>
      <c r="I5" s="31">
        <v>1164436</v>
      </c>
      <c r="J5" s="31">
        <v>1246590</v>
      </c>
      <c r="K5" s="22"/>
      <c r="L5" s="22"/>
      <c r="M5" s="22"/>
      <c r="N5" s="22"/>
      <c r="O5" s="22"/>
      <c r="P5" s="32" t="s">
        <v>456</v>
      </c>
      <c r="Q5" s="33" t="s">
        <v>457</v>
      </c>
      <c r="R5" s="32" t="s">
        <v>458</v>
      </c>
      <c r="S5" s="22" t="s">
        <v>168</v>
      </c>
      <c r="T5" s="22" t="s">
        <v>459</v>
      </c>
      <c r="U5" s="22">
        <v>56.6018</v>
      </c>
      <c r="V5" s="22"/>
      <c r="W5" s="22"/>
      <c r="X5" s="22"/>
    </row>
    <row r="6" spans="1:2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S6" s="22"/>
      <c r="T6" s="22"/>
      <c r="U6" s="22">
        <v>0</v>
      </c>
      <c r="V6" s="22"/>
      <c r="W6" s="22"/>
      <c r="X6" s="22"/>
    </row>
    <row r="7" ht="31" spans="1:24">
      <c r="A7" s="22"/>
      <c r="B7" s="22"/>
      <c r="C7" s="22"/>
      <c r="D7" s="22"/>
      <c r="E7" s="22"/>
      <c r="F7" s="35"/>
      <c r="G7" s="35"/>
      <c r="H7" s="35"/>
      <c r="I7" s="35"/>
      <c r="J7" s="35"/>
      <c r="K7" s="35"/>
      <c r="L7" s="35"/>
      <c r="M7" s="35"/>
      <c r="N7" s="35"/>
      <c r="O7" s="35"/>
      <c r="S7" s="22" t="s">
        <v>171</v>
      </c>
      <c r="T7" s="22" t="s">
        <v>460</v>
      </c>
      <c r="U7" s="22">
        <v>63.4444</v>
      </c>
      <c r="V7" s="22"/>
      <c r="W7" s="22"/>
      <c r="X7" s="22"/>
    </row>
    <row r="8" ht="31" spans="1:24">
      <c r="A8" s="32" t="s">
        <v>164</v>
      </c>
      <c r="B8" s="33" t="s">
        <v>324</v>
      </c>
      <c r="T8" s="22" t="s">
        <v>461</v>
      </c>
      <c r="U8" s="22">
        <v>65.5695</v>
      </c>
      <c r="V8" s="22"/>
      <c r="W8" s="22"/>
      <c r="X8" s="22"/>
    </row>
    <row r="9" ht="31" spans="1:24">
      <c r="A9" s="36" t="s">
        <v>462</v>
      </c>
      <c r="T9" s="22" t="s">
        <v>463</v>
      </c>
      <c r="U9" s="22">
        <v>61.0134</v>
      </c>
      <c r="V9" s="22"/>
      <c r="W9" s="22"/>
      <c r="X9" s="22"/>
    </row>
    <row r="10" ht="31" spans="1:24">
      <c r="A10" s="28" t="s">
        <v>53</v>
      </c>
      <c r="B10" s="28" t="s">
        <v>54</v>
      </c>
      <c r="C10" s="28" t="s">
        <v>174</v>
      </c>
      <c r="D10" s="28" t="s">
        <v>325</v>
      </c>
      <c r="E10" s="28" t="s">
        <v>441</v>
      </c>
      <c r="F10" s="28" t="s">
        <v>442</v>
      </c>
      <c r="G10" s="28" t="s">
        <v>438</v>
      </c>
      <c r="H10" s="28" t="s">
        <v>464</v>
      </c>
      <c r="I10" s="28" t="s">
        <v>465</v>
      </c>
      <c r="J10" s="28" t="s">
        <v>466</v>
      </c>
      <c r="K10" s="28" t="s">
        <v>440</v>
      </c>
      <c r="L10" s="28" t="s">
        <v>467</v>
      </c>
      <c r="M10" s="28" t="s">
        <v>468</v>
      </c>
      <c r="N10" s="28" t="s">
        <v>469</v>
      </c>
      <c r="O10" s="28" t="s">
        <v>470</v>
      </c>
      <c r="S10" s="22" t="s">
        <v>171</v>
      </c>
      <c r="T10" s="22" t="s">
        <v>471</v>
      </c>
      <c r="U10" s="22">
        <v>59.8418</v>
      </c>
      <c r="V10" s="22"/>
      <c r="W10" s="22"/>
      <c r="X10" s="22"/>
    </row>
    <row r="11" spans="1:24">
      <c r="A11" s="27" t="s">
        <v>26</v>
      </c>
      <c r="B11" s="27"/>
      <c r="C11" s="27" t="s">
        <v>168</v>
      </c>
      <c r="D11" s="37" t="s">
        <v>50</v>
      </c>
      <c r="E11" s="31">
        <v>161416</v>
      </c>
      <c r="F11" s="31">
        <v>144630</v>
      </c>
      <c r="G11" s="31">
        <v>139380</v>
      </c>
      <c r="H11" s="38" t="s">
        <v>438</v>
      </c>
      <c r="I11" s="39" t="s">
        <v>441</v>
      </c>
      <c r="J11" s="40">
        <v>22036</v>
      </c>
      <c r="K11" s="41">
        <v>154656</v>
      </c>
      <c r="L11" s="42">
        <v>6760</v>
      </c>
      <c r="M11" s="42">
        <v>-10026</v>
      </c>
      <c r="N11" s="42">
        <v>-15276</v>
      </c>
      <c r="O11" s="42">
        <v>-15276</v>
      </c>
      <c r="S11" s="22"/>
      <c r="T11" s="22"/>
      <c r="U11" s="22">
        <v>0</v>
      </c>
      <c r="V11" s="22"/>
      <c r="W11" s="22"/>
      <c r="X11" s="22"/>
    </row>
    <row r="12" ht="31" spans="1:24">
      <c r="A12" s="43" t="s">
        <v>27</v>
      </c>
      <c r="B12" s="43"/>
      <c r="C12" s="43" t="s">
        <v>168</v>
      </c>
      <c r="D12" s="44" t="s">
        <v>100</v>
      </c>
      <c r="E12" s="45">
        <v>35750</v>
      </c>
      <c r="F12" s="45">
        <v>52000</v>
      </c>
      <c r="G12" s="45">
        <v>22400</v>
      </c>
      <c r="H12" s="46" t="s">
        <v>438</v>
      </c>
      <c r="I12" s="47" t="s">
        <v>442</v>
      </c>
      <c r="J12" s="48">
        <v>29600</v>
      </c>
      <c r="K12" s="41">
        <v>35750</v>
      </c>
      <c r="L12" s="45">
        <v>0</v>
      </c>
      <c r="M12" s="45">
        <v>16250</v>
      </c>
      <c r="N12" s="45">
        <v>-13350</v>
      </c>
      <c r="O12" s="45">
        <v>-13350</v>
      </c>
      <c r="S12" s="22" t="s">
        <v>455</v>
      </c>
      <c r="T12" s="22" t="s">
        <v>472</v>
      </c>
      <c r="U12" s="22">
        <v>124.659</v>
      </c>
      <c r="V12" s="22"/>
      <c r="W12" s="22"/>
      <c r="X12" s="22"/>
    </row>
    <row r="13" ht="31" spans="1:24">
      <c r="A13" s="27" t="s">
        <v>30</v>
      </c>
      <c r="B13" s="27"/>
      <c r="C13" s="27" t="s">
        <v>168</v>
      </c>
      <c r="D13" s="37" t="s">
        <v>107</v>
      </c>
      <c r="E13" s="31">
        <v>57458</v>
      </c>
      <c r="F13" s="31">
        <v>48838</v>
      </c>
      <c r="G13" s="31">
        <v>64960</v>
      </c>
      <c r="H13" s="38" t="s">
        <v>442</v>
      </c>
      <c r="I13" s="39" t="s">
        <v>438</v>
      </c>
      <c r="J13" s="40">
        <v>16122</v>
      </c>
      <c r="K13" s="41">
        <v>57458</v>
      </c>
      <c r="L13" s="42">
        <v>0</v>
      </c>
      <c r="M13" s="42">
        <v>-8620</v>
      </c>
      <c r="N13" s="42">
        <v>7502</v>
      </c>
      <c r="O13" s="42">
        <v>-8620</v>
      </c>
      <c r="S13" s="22" t="s">
        <v>455</v>
      </c>
      <c r="T13" s="22" t="s">
        <v>473</v>
      </c>
      <c r="U13" s="22">
        <v>123.2088</v>
      </c>
      <c r="V13" s="22"/>
      <c r="W13" s="22"/>
      <c r="X13" s="22"/>
    </row>
    <row r="14" ht="31" spans="1:24">
      <c r="A14" s="43" t="s">
        <v>31</v>
      </c>
      <c r="B14" s="43"/>
      <c r="C14" s="43" t="s">
        <v>168</v>
      </c>
      <c r="D14" s="44" t="s">
        <v>111</v>
      </c>
      <c r="E14" s="45">
        <v>104800</v>
      </c>
      <c r="F14" s="45">
        <v>128400</v>
      </c>
      <c r="G14" s="45">
        <v>154800</v>
      </c>
      <c r="H14" s="46" t="s">
        <v>441</v>
      </c>
      <c r="I14" s="47" t="s">
        <v>438</v>
      </c>
      <c r="J14" s="48">
        <v>50000</v>
      </c>
      <c r="K14" s="41">
        <v>124800</v>
      </c>
      <c r="L14" s="45">
        <v>-20000</v>
      </c>
      <c r="M14" s="45">
        <v>3600</v>
      </c>
      <c r="N14" s="45">
        <v>30000</v>
      </c>
      <c r="O14" s="45">
        <v>-20000</v>
      </c>
      <c r="S14" s="22" t="s">
        <v>455</v>
      </c>
      <c r="T14" s="22" t="s">
        <v>474</v>
      </c>
      <c r="U14" s="22">
        <v>118.3468</v>
      </c>
      <c r="V14" s="22"/>
      <c r="W14" s="22"/>
      <c r="X14" s="22"/>
    </row>
    <row r="15" ht="31" spans="1:24">
      <c r="A15" s="27" t="s">
        <v>32</v>
      </c>
      <c r="B15" s="27"/>
      <c r="C15" s="27" t="s">
        <v>168</v>
      </c>
      <c r="D15" s="37" t="s">
        <v>114</v>
      </c>
      <c r="E15" s="31">
        <v>8280</v>
      </c>
      <c r="F15" s="31">
        <v>18000</v>
      </c>
      <c r="G15" s="31">
        <v>6720</v>
      </c>
      <c r="H15" s="38" t="s">
        <v>438</v>
      </c>
      <c r="I15" s="39" t="s">
        <v>442</v>
      </c>
      <c r="J15" s="40">
        <v>11280</v>
      </c>
      <c r="K15" s="41">
        <v>8280</v>
      </c>
      <c r="L15" s="42">
        <v>0</v>
      </c>
      <c r="M15" s="42">
        <v>9720</v>
      </c>
      <c r="N15" s="42">
        <v>-1560</v>
      </c>
      <c r="O15" s="42">
        <v>-1560</v>
      </c>
      <c r="S15" s="22" t="s">
        <v>455</v>
      </c>
      <c r="T15" s="22" t="s">
        <v>475</v>
      </c>
      <c r="U15" s="22">
        <v>116.4436</v>
      </c>
      <c r="V15" s="22"/>
      <c r="W15" s="22"/>
      <c r="X15" s="22"/>
    </row>
    <row r="16" spans="1:24">
      <c r="A16" s="43" t="s">
        <v>33</v>
      </c>
      <c r="B16" s="43"/>
      <c r="C16" s="43" t="s">
        <v>168</v>
      </c>
      <c r="D16" s="44" t="s">
        <v>350</v>
      </c>
      <c r="E16" s="45">
        <v>68530</v>
      </c>
      <c r="F16" s="45">
        <v>78550</v>
      </c>
      <c r="G16" s="45">
        <v>85435</v>
      </c>
      <c r="H16" s="46" t="s">
        <v>441</v>
      </c>
      <c r="I16" s="47" t="s">
        <v>438</v>
      </c>
      <c r="J16" s="48">
        <v>16905</v>
      </c>
      <c r="K16" s="41">
        <v>78700</v>
      </c>
      <c r="L16" s="45">
        <v>-10170</v>
      </c>
      <c r="M16" s="45">
        <v>-150</v>
      </c>
      <c r="N16" s="45">
        <v>6735</v>
      </c>
      <c r="O16" s="45">
        <v>-10170</v>
      </c>
      <c r="P16" s="49"/>
      <c r="Q16" s="49"/>
      <c r="R16" s="50"/>
      <c r="S16" s="22"/>
      <c r="T16" s="22"/>
      <c r="U16" s="22"/>
      <c r="V16" s="22"/>
      <c r="W16" s="22"/>
      <c r="X16" s="22"/>
    </row>
    <row r="17" ht="31" spans="1:24">
      <c r="A17" s="27" t="s">
        <v>35</v>
      </c>
      <c r="B17" s="27"/>
      <c r="C17" s="27" t="s">
        <v>168</v>
      </c>
      <c r="D17" s="37" t="s">
        <v>354</v>
      </c>
      <c r="E17" s="31">
        <v>8900</v>
      </c>
      <c r="F17" s="31">
        <v>13400</v>
      </c>
      <c r="G17" s="31">
        <v>9800</v>
      </c>
      <c r="H17" s="38" t="s">
        <v>441</v>
      </c>
      <c r="I17" s="39" t="s">
        <v>442</v>
      </c>
      <c r="J17" s="40">
        <v>4500</v>
      </c>
      <c r="K17" s="41">
        <v>9800</v>
      </c>
      <c r="L17" s="42">
        <v>-900</v>
      </c>
      <c r="M17" s="42">
        <v>3600</v>
      </c>
      <c r="N17" s="42">
        <v>0</v>
      </c>
      <c r="O17" s="42">
        <v>-900</v>
      </c>
      <c r="P17" s="49"/>
      <c r="Q17" s="49"/>
      <c r="R17" s="50"/>
      <c r="S17" s="22"/>
      <c r="T17" s="22"/>
      <c r="U17" s="22"/>
      <c r="V17" s="22"/>
      <c r="W17" s="22"/>
      <c r="X17" s="22"/>
    </row>
    <row r="18" ht="31" spans="1:24">
      <c r="A18" s="43" t="s">
        <v>37</v>
      </c>
      <c r="B18" s="43"/>
      <c r="C18" s="43" t="s">
        <v>168</v>
      </c>
      <c r="D18" s="44" t="s">
        <v>126</v>
      </c>
      <c r="E18" s="45">
        <v>27800</v>
      </c>
      <c r="F18" s="45">
        <v>23400</v>
      </c>
      <c r="G18" s="45">
        <v>34800</v>
      </c>
      <c r="H18" s="46" t="s">
        <v>442</v>
      </c>
      <c r="I18" s="47" t="s">
        <v>438</v>
      </c>
      <c r="J18" s="48">
        <v>11400</v>
      </c>
      <c r="K18" s="41">
        <v>27800</v>
      </c>
      <c r="L18" s="45">
        <v>0</v>
      </c>
      <c r="M18" s="45">
        <v>-4400</v>
      </c>
      <c r="N18" s="45">
        <v>7000</v>
      </c>
      <c r="O18" s="45">
        <v>-4400</v>
      </c>
      <c r="P18" s="49"/>
      <c r="Q18" s="49"/>
      <c r="R18" s="50"/>
      <c r="S18" s="22"/>
      <c r="T18" s="22"/>
      <c r="U18" s="22"/>
      <c r="V18" s="22"/>
      <c r="W18" s="22"/>
      <c r="X18" s="22"/>
    </row>
    <row r="19" ht="31" spans="1:24">
      <c r="A19" s="27" t="s">
        <v>38</v>
      </c>
      <c r="B19" s="27"/>
      <c r="C19" s="27" t="s">
        <v>168</v>
      </c>
      <c r="D19" s="37" t="s">
        <v>129</v>
      </c>
      <c r="E19" s="31">
        <v>27800</v>
      </c>
      <c r="F19" s="31">
        <v>28400</v>
      </c>
      <c r="G19" s="31">
        <v>34800</v>
      </c>
      <c r="H19" s="38" t="s">
        <v>441</v>
      </c>
      <c r="I19" s="39" t="s">
        <v>438</v>
      </c>
      <c r="J19" s="40">
        <v>7000</v>
      </c>
      <c r="K19" s="41">
        <v>27800</v>
      </c>
      <c r="L19" s="42">
        <v>0</v>
      </c>
      <c r="M19" s="42">
        <v>600</v>
      </c>
      <c r="N19" s="42">
        <v>7000</v>
      </c>
      <c r="O19" s="42">
        <v>0</v>
      </c>
      <c r="P19" s="49"/>
      <c r="Q19" s="49"/>
      <c r="R19" s="50"/>
    </row>
    <row r="20" ht="31" spans="1:24">
      <c r="A20" s="43" t="s">
        <v>39</v>
      </c>
      <c r="B20" s="43"/>
      <c r="C20" s="43" t="s">
        <v>168</v>
      </c>
      <c r="D20" s="44" t="s">
        <v>132</v>
      </c>
      <c r="E20" s="45">
        <v>30100</v>
      </c>
      <c r="F20" s="45">
        <v>30400</v>
      </c>
      <c r="G20" s="45">
        <v>37800</v>
      </c>
      <c r="H20" s="46" t="s">
        <v>441</v>
      </c>
      <c r="I20" s="47" t="s">
        <v>438</v>
      </c>
      <c r="J20" s="48">
        <v>7700</v>
      </c>
      <c r="K20" s="41">
        <v>30100</v>
      </c>
      <c r="L20" s="45">
        <v>0</v>
      </c>
      <c r="M20" s="45">
        <v>300</v>
      </c>
      <c r="N20" s="45">
        <v>7700</v>
      </c>
      <c r="O20" s="45">
        <v>0</v>
      </c>
      <c r="P20" s="49"/>
      <c r="Q20" s="49"/>
      <c r="R20" s="50"/>
    </row>
    <row r="21" spans="1:24">
      <c r="A21" s="27" t="s">
        <v>43</v>
      </c>
      <c r="B21" s="27"/>
      <c r="C21" s="27" t="s">
        <v>168</v>
      </c>
      <c r="D21" s="37" t="s">
        <v>358</v>
      </c>
      <c r="E21" s="31">
        <v>42500</v>
      </c>
      <c r="F21" s="31">
        <v>0</v>
      </c>
      <c r="G21" s="31">
        <v>0</v>
      </c>
      <c r="H21" s="38" t="s">
        <v>442</v>
      </c>
      <c r="I21" s="39" t="s">
        <v>441</v>
      </c>
      <c r="J21" s="40">
        <v>42500</v>
      </c>
      <c r="K21" s="41">
        <v>42500</v>
      </c>
      <c r="L21" s="42">
        <v>0</v>
      </c>
      <c r="M21" s="42">
        <v>-42500</v>
      </c>
      <c r="N21" s="42">
        <v>-42500</v>
      </c>
      <c r="O21" s="42">
        <v>-42500</v>
      </c>
      <c r="P21" s="49"/>
      <c r="Q21" s="49"/>
      <c r="R21" s="50"/>
    </row>
    <row r="22" spans="1:24">
      <c r="A22" s="29"/>
      <c r="B22" s="29"/>
      <c r="C22" s="29"/>
      <c r="D22" s="51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52"/>
      <c r="Q22" s="52"/>
      <c r="R22" s="52"/>
    </row>
    <row r="23" spans="1:24">
      <c r="A23" s="32" t="s">
        <v>301</v>
      </c>
      <c r="B23" s="33" t="s">
        <v>360</v>
      </c>
      <c r="P23" s="52"/>
      <c r="Q23" s="52"/>
      <c r="R23" s="52"/>
    </row>
    <row r="24" spans="1:24">
      <c r="A24" s="53" t="s">
        <v>476</v>
      </c>
      <c r="P24" s="52"/>
      <c r="Q24" s="52"/>
      <c r="R24" s="52"/>
    </row>
    <row r="25" spans="1:24">
      <c r="A25" s="28" t="s">
        <v>53</v>
      </c>
      <c r="B25" s="28" t="s">
        <v>54</v>
      </c>
      <c r="C25" s="28" t="s">
        <v>174</v>
      </c>
      <c r="D25" s="54" t="s">
        <v>325</v>
      </c>
      <c r="E25" s="28" t="s">
        <v>441</v>
      </c>
      <c r="F25" s="28" t="s">
        <v>442</v>
      </c>
      <c r="G25" s="28" t="s">
        <v>438</v>
      </c>
      <c r="H25" s="28" t="s">
        <v>464</v>
      </c>
      <c r="I25" s="28" t="s">
        <v>465</v>
      </c>
      <c r="J25" s="28" t="s">
        <v>466</v>
      </c>
      <c r="K25" s="28" t="s">
        <v>440</v>
      </c>
      <c r="L25" s="28" t="s">
        <v>467</v>
      </c>
      <c r="M25" s="28" t="s">
        <v>468</v>
      </c>
      <c r="N25" s="28" t="s">
        <v>469</v>
      </c>
      <c r="O25" s="28" t="s">
        <v>470</v>
      </c>
      <c r="P25" s="55"/>
      <c r="Q25" s="55"/>
      <c r="R25" s="55"/>
    </row>
    <row r="26" spans="1:24">
      <c r="A26" s="27" t="s">
        <v>26</v>
      </c>
      <c r="B26" s="27"/>
      <c r="C26" s="27" t="s">
        <v>171</v>
      </c>
      <c r="D26" s="37" t="s">
        <v>50</v>
      </c>
      <c r="E26" s="31">
        <v>161416</v>
      </c>
      <c r="F26" s="31">
        <v>144630</v>
      </c>
      <c r="G26" s="31">
        <v>139380</v>
      </c>
      <c r="H26" s="38" t="s">
        <v>438</v>
      </c>
      <c r="I26" s="39" t="s">
        <v>441</v>
      </c>
      <c r="J26" s="40">
        <v>22036</v>
      </c>
      <c r="K26" s="41">
        <v>154656</v>
      </c>
      <c r="L26" s="42">
        <v>6760</v>
      </c>
      <c r="M26" s="42">
        <v>-10026</v>
      </c>
      <c r="N26" s="42">
        <v>-15276</v>
      </c>
      <c r="O26" s="42">
        <v>-15276</v>
      </c>
      <c r="P26" s="49"/>
      <c r="Q26" s="49"/>
      <c r="R26" s="50"/>
    </row>
    <row r="27" spans="1:24">
      <c r="A27" s="43" t="s">
        <v>27</v>
      </c>
      <c r="B27" s="43"/>
      <c r="C27" s="43" t="s">
        <v>171</v>
      </c>
      <c r="D27" s="44" t="s">
        <v>100</v>
      </c>
      <c r="E27" s="45">
        <v>35750</v>
      </c>
      <c r="F27" s="45">
        <v>52000</v>
      </c>
      <c r="G27" s="45">
        <v>22400</v>
      </c>
      <c r="H27" s="46" t="s">
        <v>438</v>
      </c>
      <c r="I27" s="47" t="s">
        <v>442</v>
      </c>
      <c r="J27" s="48">
        <v>29600</v>
      </c>
      <c r="K27" s="41">
        <v>35750</v>
      </c>
      <c r="L27" s="45">
        <v>0</v>
      </c>
      <c r="M27" s="45">
        <v>16250</v>
      </c>
      <c r="N27" s="45">
        <v>-13350</v>
      </c>
      <c r="O27" s="45">
        <v>-13350</v>
      </c>
      <c r="P27" s="49"/>
      <c r="Q27" s="49"/>
      <c r="R27" s="50"/>
    </row>
    <row r="28" spans="1:24">
      <c r="A28" s="27" t="s">
        <v>30</v>
      </c>
      <c r="B28" s="27"/>
      <c r="C28" s="27" t="s">
        <v>171</v>
      </c>
      <c r="D28" s="37" t="s">
        <v>107</v>
      </c>
      <c r="E28" s="31">
        <v>57458</v>
      </c>
      <c r="F28" s="31">
        <v>48838</v>
      </c>
      <c r="G28" s="31">
        <v>64960</v>
      </c>
      <c r="H28" s="38" t="s">
        <v>442</v>
      </c>
      <c r="I28" s="39" t="s">
        <v>438</v>
      </c>
      <c r="J28" s="40">
        <v>16122</v>
      </c>
      <c r="K28" s="41">
        <v>57458</v>
      </c>
      <c r="L28" s="42">
        <v>0</v>
      </c>
      <c r="M28" s="42">
        <v>-8620</v>
      </c>
      <c r="N28" s="42">
        <v>7502</v>
      </c>
      <c r="O28" s="42">
        <v>-8620</v>
      </c>
      <c r="P28" s="49"/>
      <c r="Q28" s="49"/>
      <c r="R28" s="50"/>
    </row>
    <row r="29" ht="31" spans="1:24">
      <c r="A29" s="43" t="s">
        <v>31</v>
      </c>
      <c r="B29" s="43"/>
      <c r="C29" s="43" t="s">
        <v>171</v>
      </c>
      <c r="D29" s="44" t="s">
        <v>111</v>
      </c>
      <c r="E29" s="45">
        <v>104800</v>
      </c>
      <c r="F29" s="45">
        <v>128400</v>
      </c>
      <c r="G29" s="45">
        <v>154800</v>
      </c>
      <c r="H29" s="46" t="s">
        <v>441</v>
      </c>
      <c r="I29" s="47" t="s">
        <v>438</v>
      </c>
      <c r="J29" s="48">
        <v>50000</v>
      </c>
      <c r="K29" s="41">
        <v>124800</v>
      </c>
      <c r="L29" s="45">
        <v>-20000</v>
      </c>
      <c r="M29" s="45">
        <v>3600</v>
      </c>
      <c r="N29" s="45">
        <v>30000</v>
      </c>
      <c r="O29" s="45">
        <v>-20000</v>
      </c>
      <c r="P29" s="49"/>
      <c r="Q29" s="49"/>
      <c r="R29" s="50"/>
    </row>
    <row r="30" ht="31" spans="1:24">
      <c r="A30" s="27" t="s">
        <v>32</v>
      </c>
      <c r="B30" s="27"/>
      <c r="C30" s="27" t="s">
        <v>171</v>
      </c>
      <c r="D30" s="37" t="s">
        <v>114</v>
      </c>
      <c r="E30" s="31">
        <v>8280</v>
      </c>
      <c r="F30" s="31">
        <v>18000</v>
      </c>
      <c r="G30" s="31">
        <v>6720</v>
      </c>
      <c r="H30" s="38" t="s">
        <v>438</v>
      </c>
      <c r="I30" s="39" t="s">
        <v>442</v>
      </c>
      <c r="J30" s="40">
        <v>11280</v>
      </c>
      <c r="K30" s="41">
        <v>8280</v>
      </c>
      <c r="L30" s="42">
        <v>0</v>
      </c>
      <c r="M30" s="42">
        <v>9720</v>
      </c>
      <c r="N30" s="42">
        <v>-1560</v>
      </c>
      <c r="O30" s="42">
        <v>-1560</v>
      </c>
      <c r="P30" s="49"/>
      <c r="Q30" s="49"/>
      <c r="R30" s="50"/>
    </row>
    <row r="31" spans="1:24">
      <c r="A31" s="43" t="s">
        <v>33</v>
      </c>
      <c r="B31" s="43"/>
      <c r="C31" s="43" t="s">
        <v>171</v>
      </c>
      <c r="D31" s="44" t="s">
        <v>350</v>
      </c>
      <c r="E31" s="45">
        <v>68530</v>
      </c>
      <c r="F31" s="45">
        <v>78550</v>
      </c>
      <c r="G31" s="45">
        <v>85435</v>
      </c>
      <c r="H31" s="46" t="s">
        <v>441</v>
      </c>
      <c r="I31" s="47" t="s">
        <v>438</v>
      </c>
      <c r="J31" s="48">
        <v>16905</v>
      </c>
      <c r="K31" s="41">
        <v>78700</v>
      </c>
      <c r="L31" s="45">
        <v>-10170</v>
      </c>
      <c r="M31" s="45">
        <v>-150</v>
      </c>
      <c r="N31" s="45">
        <v>6735</v>
      </c>
      <c r="O31" s="45">
        <v>-10170</v>
      </c>
      <c r="P31" s="49"/>
      <c r="Q31" s="49"/>
      <c r="R31" s="50"/>
    </row>
    <row r="32" ht="31" spans="1:24">
      <c r="A32" s="27" t="s">
        <v>35</v>
      </c>
      <c r="B32" s="27"/>
      <c r="C32" s="27" t="s">
        <v>171</v>
      </c>
      <c r="D32" s="37" t="s">
        <v>354</v>
      </c>
      <c r="E32" s="31">
        <v>8900</v>
      </c>
      <c r="F32" s="31">
        <v>13400</v>
      </c>
      <c r="G32" s="31">
        <v>9800</v>
      </c>
      <c r="H32" s="38" t="s">
        <v>441</v>
      </c>
      <c r="I32" s="39" t="s">
        <v>442</v>
      </c>
      <c r="J32" s="40">
        <v>4500</v>
      </c>
      <c r="K32" s="41">
        <v>9800</v>
      </c>
      <c r="L32" s="42">
        <v>-900</v>
      </c>
      <c r="M32" s="42">
        <v>3600</v>
      </c>
      <c r="N32" s="42">
        <v>0</v>
      </c>
      <c r="O32" s="42">
        <v>-900</v>
      </c>
      <c r="P32" s="49"/>
      <c r="Q32" s="49"/>
      <c r="R32" s="50"/>
    </row>
    <row r="33" ht="31" spans="1:18">
      <c r="A33" s="43" t="s">
        <v>37</v>
      </c>
      <c r="B33" s="43"/>
      <c r="C33" s="43" t="s">
        <v>171</v>
      </c>
      <c r="D33" s="44" t="s">
        <v>126</v>
      </c>
      <c r="E33" s="45">
        <v>27800</v>
      </c>
      <c r="F33" s="45">
        <v>23400</v>
      </c>
      <c r="G33" s="45">
        <v>34800</v>
      </c>
      <c r="H33" s="46" t="s">
        <v>442</v>
      </c>
      <c r="I33" s="47" t="s">
        <v>438</v>
      </c>
      <c r="J33" s="48">
        <v>11400</v>
      </c>
      <c r="K33" s="41">
        <v>27800</v>
      </c>
      <c r="L33" s="45">
        <v>0</v>
      </c>
      <c r="M33" s="45">
        <v>-4400</v>
      </c>
      <c r="N33" s="45">
        <v>7000</v>
      </c>
      <c r="O33" s="45">
        <v>-4400</v>
      </c>
      <c r="P33" s="49"/>
      <c r="Q33" s="49"/>
      <c r="R33" s="50"/>
    </row>
    <row r="34" ht="31" spans="1:18">
      <c r="A34" s="27" t="s">
        <v>38</v>
      </c>
      <c r="B34" s="27"/>
      <c r="C34" s="27" t="s">
        <v>171</v>
      </c>
      <c r="D34" s="37" t="s">
        <v>129</v>
      </c>
      <c r="E34" s="31">
        <v>27800</v>
      </c>
      <c r="F34" s="31">
        <v>28400</v>
      </c>
      <c r="G34" s="31">
        <v>34800</v>
      </c>
      <c r="H34" s="38" t="s">
        <v>441</v>
      </c>
      <c r="I34" s="39" t="s">
        <v>438</v>
      </c>
      <c r="J34" s="40">
        <v>7000</v>
      </c>
      <c r="K34" s="41">
        <v>27800</v>
      </c>
      <c r="L34" s="42">
        <v>0</v>
      </c>
      <c r="M34" s="42">
        <v>600</v>
      </c>
      <c r="N34" s="42">
        <v>7000</v>
      </c>
      <c r="O34" s="42">
        <v>0</v>
      </c>
      <c r="P34" s="49"/>
      <c r="Q34" s="49"/>
      <c r="R34" s="50"/>
    </row>
    <row r="35" ht="31" spans="1:18">
      <c r="A35" s="43" t="s">
        <v>39</v>
      </c>
      <c r="B35" s="43"/>
      <c r="C35" s="43" t="s">
        <v>171</v>
      </c>
      <c r="D35" s="44" t="s">
        <v>132</v>
      </c>
      <c r="E35" s="45">
        <v>30100</v>
      </c>
      <c r="F35" s="45">
        <v>30400</v>
      </c>
      <c r="G35" s="45">
        <v>37800</v>
      </c>
      <c r="H35" s="46" t="s">
        <v>441</v>
      </c>
      <c r="I35" s="47" t="s">
        <v>438</v>
      </c>
      <c r="J35" s="48">
        <v>7700</v>
      </c>
      <c r="K35" s="41">
        <v>30100</v>
      </c>
      <c r="L35" s="45">
        <v>0</v>
      </c>
      <c r="M35" s="45">
        <v>300</v>
      </c>
      <c r="N35" s="45">
        <v>7700</v>
      </c>
      <c r="O35" s="45">
        <v>0</v>
      </c>
      <c r="P35" s="49"/>
      <c r="Q35" s="49"/>
      <c r="R35" s="50"/>
    </row>
    <row r="36" spans="1:18">
      <c r="A36" s="27" t="s">
        <v>42</v>
      </c>
      <c r="B36" s="27"/>
      <c r="C36" s="27" t="s">
        <v>171</v>
      </c>
      <c r="D36" s="37" t="s">
        <v>361</v>
      </c>
      <c r="E36" s="31">
        <v>36800</v>
      </c>
      <c r="F36" s="31">
        <v>32400</v>
      </c>
      <c r="G36" s="31">
        <v>64800</v>
      </c>
      <c r="H36" s="38" t="s">
        <v>442</v>
      </c>
      <c r="I36" s="39" t="s">
        <v>438</v>
      </c>
      <c r="J36" s="40">
        <v>32400</v>
      </c>
      <c r="K36" s="41">
        <v>36800</v>
      </c>
      <c r="L36" s="42">
        <v>0</v>
      </c>
      <c r="M36" s="42">
        <v>-4400</v>
      </c>
      <c r="N36" s="42">
        <v>28000</v>
      </c>
      <c r="O36" s="42">
        <v>-4400</v>
      </c>
      <c r="P36" s="49"/>
      <c r="Q36" s="49"/>
      <c r="R36" s="50"/>
    </row>
    <row r="37" spans="1:18">
      <c r="A37" s="43" t="s">
        <v>43</v>
      </c>
      <c r="B37" s="43"/>
      <c r="C37" s="43" t="s">
        <v>171</v>
      </c>
      <c r="D37" s="44" t="s">
        <v>358</v>
      </c>
      <c r="E37" s="45">
        <v>42500</v>
      </c>
      <c r="F37" s="45">
        <v>0</v>
      </c>
      <c r="G37" s="45">
        <v>0</v>
      </c>
      <c r="H37" s="46" t="s">
        <v>442</v>
      </c>
      <c r="I37" s="47" t="s">
        <v>441</v>
      </c>
      <c r="J37" s="48">
        <v>42500</v>
      </c>
      <c r="K37" s="41">
        <v>42500</v>
      </c>
      <c r="L37" s="45">
        <v>0</v>
      </c>
      <c r="M37" s="45">
        <v>-42500</v>
      </c>
      <c r="N37" s="45">
        <v>-42500</v>
      </c>
      <c r="O37" s="45">
        <v>-42500</v>
      </c>
      <c r="P37" s="49"/>
      <c r="Q37" s="49"/>
      <c r="R37" s="50"/>
    </row>
  </sheetData>
  <mergeCells count="8">
    <mergeCell ref="A1:D1"/>
    <mergeCell ref="F1:J1"/>
    <mergeCell ref="L1:O1"/>
    <mergeCell ref="P1:R1"/>
    <mergeCell ref="B8:O8"/>
    <mergeCell ref="A9:O9"/>
    <mergeCell ref="B23:O23"/>
    <mergeCell ref="A24:O24"/>
  </mergeCells>
  <conditionalFormatting sqref="J11:J21">
    <cfRule type="dataBar" priority="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{c6b23a05-b95d-447d-9a28-03a393ca3b89}</x14:id>
        </ext>
      </extLst>
    </cfRule>
  </conditionalFormatting>
  <conditionalFormatting sqref="J26:J37"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{4af216f4-fb3f-4fb0-b4c8-13dde2405416}</x14:id>
        </ext>
      </extLst>
    </cfRule>
  </conditionalFormatting>
  <conditionalFormatting sqref="L11:O21">
    <cfRule type="expression" dxfId="30" priority="5">
      <formula>L11&lt;0</formula>
    </cfRule>
    <cfRule type="expression" dxfId="31" priority="6">
      <formula>L11&gt;0</formula>
    </cfRule>
  </conditionalFormatting>
  <conditionalFormatting sqref="L26:O37">
    <cfRule type="expression" dxfId="30" priority="7">
      <formula>L26&lt;0</formula>
    </cfRule>
    <cfRule type="expression" dxfId="31" priority="8">
      <formula>L26&gt;0</formula>
    </cfRule>
  </conditionalFormatting>
  <pageMargins left="0.7" right="0.7" top="0.75" bottom="0.75" header="0.3" footer="0.3"/>
  <headerFooter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b23a05-b95d-447d-9a28-03a393ca3b8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J11:J21</xm:sqref>
        </x14:conditionalFormatting>
        <x14:conditionalFormatting xmlns:xm="http://schemas.microsoft.com/office/excel/2006/main">
          <x14:cfRule type="dataBar" id="{4af216f4-fb3f-4fb0-b4c8-13dde240541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J26:J37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showGridLines="0" workbookViewId="0">
      <selection activeCell="G15" sqref="G15"/>
    </sheetView>
  </sheetViews>
  <sheetFormatPr defaultColWidth="9.64285714285714" defaultRowHeight="17.6"/>
  <cols>
    <col min="1" max="1" width="12.6428571428571" customWidth="1"/>
    <col min="2" max="2" width="8.03571428571429" customWidth="1"/>
    <col min="3" max="3" width="10.4107142857143" customWidth="1"/>
    <col min="4" max="4" width="15.3571428571429" customWidth="1"/>
    <col min="5" max="5" width="8.75" customWidth="1"/>
    <col min="6" max="6" width="13.3928571428571" customWidth="1"/>
    <col min="7" max="7" width="12.2053571428571" customWidth="1"/>
    <col min="8" max="8" width="10.2589285714286" customWidth="1"/>
    <col min="9" max="9" width="10.125" customWidth="1"/>
    <col min="10" max="10" width="11.4285714285714" customWidth="1"/>
    <col min="11" max="11" width="13.75" customWidth="1"/>
    <col min="12" max="12" width="13.5714285714286" customWidth="1"/>
    <col min="13" max="13" width="21.9642857142857" customWidth="1"/>
  </cols>
  <sheetData>
    <row r="1" ht="23.2" customHeight="1" spans="1:13">
      <c r="A1" s="4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5" t="s">
        <v>148</v>
      </c>
      <c r="B2" s="6" t="s">
        <v>149</v>
      </c>
      <c r="C2" s="5" t="s">
        <v>150</v>
      </c>
      <c r="D2" s="6" t="s">
        <v>151</v>
      </c>
      <c r="E2" s="6"/>
      <c r="F2" s="6"/>
      <c r="G2" s="6"/>
      <c r="H2" s="6"/>
      <c r="I2" s="6"/>
      <c r="J2" s="6"/>
      <c r="K2" s="6"/>
      <c r="L2" s="6"/>
      <c r="M2" s="6"/>
    </row>
    <row r="3" spans="1:13">
      <c r="A3" s="5" t="s">
        <v>154</v>
      </c>
      <c r="B3" s="6" t="s">
        <v>155</v>
      </c>
      <c r="C3" s="5" t="s">
        <v>162</v>
      </c>
      <c r="D3" s="6" t="s">
        <v>163</v>
      </c>
      <c r="E3" s="6"/>
      <c r="F3" s="6"/>
      <c r="G3" s="6"/>
      <c r="H3" s="6"/>
      <c r="I3" s="6"/>
      <c r="J3" s="6"/>
      <c r="K3" s="6"/>
      <c r="L3" s="6"/>
      <c r="M3" s="6"/>
    </row>
    <row r="4" spans="1:13">
      <c r="A4" s="5" t="s">
        <v>152</v>
      </c>
      <c r="B4" s="6" t="s">
        <v>153</v>
      </c>
      <c r="C4" s="5" t="s">
        <v>156</v>
      </c>
      <c r="D4" s="6" t="s">
        <v>157</v>
      </c>
      <c r="E4" s="6"/>
      <c r="F4" s="6"/>
      <c r="G4" s="6"/>
      <c r="H4" s="6"/>
      <c r="I4" s="6"/>
      <c r="J4" s="6"/>
      <c r="K4" s="6"/>
      <c r="L4" s="6"/>
      <c r="M4" s="6"/>
    </row>
    <row r="5" spans="1:13">
      <c r="A5" s="5" t="s">
        <v>158</v>
      </c>
      <c r="B5" s="6" t="s">
        <v>159</v>
      </c>
      <c r="C5" s="5" t="s">
        <v>160</v>
      </c>
      <c r="D5" s="6" t="s">
        <v>161</v>
      </c>
      <c r="E5" s="6"/>
      <c r="F5" s="6"/>
      <c r="G5" s="6"/>
      <c r="H5" s="6"/>
      <c r="I5" s="6"/>
      <c r="J5" s="6"/>
      <c r="K5" s="6"/>
      <c r="L5" s="6"/>
      <c r="M5" s="6"/>
    </row>
    <row r="6" ht="8" customHeight="1" spans="1:1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ht="8" customHeight="1" spans="1:1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ht="24" customHeight="1" spans="1:13">
      <c r="A8" s="7" t="s">
        <v>164</v>
      </c>
      <c r="B8" s="8" t="s">
        <v>477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ht="26" customHeight="1" spans="1:13">
      <c r="A9" s="9" t="s">
        <v>462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1"/>
    </row>
    <row r="10" ht="26" customHeight="1" spans="1:13">
      <c r="A10" s="9" t="s">
        <v>288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</row>
    <row r="11" ht="28" customHeight="1" spans="1:13">
      <c r="A11" s="12" t="s">
        <v>53</v>
      </c>
      <c r="B11" s="12" t="s">
        <v>54</v>
      </c>
      <c r="C11" s="12" t="s">
        <v>174</v>
      </c>
      <c r="D11" s="12" t="s">
        <v>325</v>
      </c>
      <c r="E11" s="12" t="s">
        <v>55</v>
      </c>
      <c r="F11" s="12" t="s">
        <v>56</v>
      </c>
      <c r="G11" s="12" t="s">
        <v>175</v>
      </c>
      <c r="H11" s="12" t="s">
        <v>176</v>
      </c>
      <c r="I11" s="12" t="s">
        <v>177</v>
      </c>
      <c r="J11" s="13" t="s">
        <v>478</v>
      </c>
      <c r="K11" s="12" t="s">
        <v>479</v>
      </c>
      <c r="L11" s="12" t="s">
        <v>183</v>
      </c>
      <c r="M11" s="12" t="s">
        <v>184</v>
      </c>
    </row>
    <row r="12" ht="60" customHeight="1" spans="1:13">
      <c r="A12" s="14" t="s">
        <v>40</v>
      </c>
      <c r="B12" s="14">
        <v>1</v>
      </c>
      <c r="C12" s="14" t="s">
        <v>168</v>
      </c>
      <c r="D12" s="14" t="s">
        <v>480</v>
      </c>
      <c r="E12" s="14" t="s">
        <v>136</v>
      </c>
      <c r="F12" s="14" t="s">
        <v>137</v>
      </c>
      <c r="G12" s="15">
        <v>83</v>
      </c>
      <c r="H12" s="14" t="s">
        <v>289</v>
      </c>
      <c r="I12" s="14" t="s">
        <v>290</v>
      </c>
      <c r="J12" s="16">
        <v>20000</v>
      </c>
      <c r="K12" s="14" t="s">
        <v>481</v>
      </c>
      <c r="L12" s="17" t="s">
        <v>292</v>
      </c>
      <c r="M12" s="14" t="s">
        <v>293</v>
      </c>
    </row>
    <row r="13" ht="26" customHeight="1" spans="1:13">
      <c r="A13" s="9" t="s">
        <v>295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1"/>
    </row>
    <row r="14" ht="28" customHeight="1" spans="1:13">
      <c r="A14" s="12" t="s">
        <v>53</v>
      </c>
      <c r="B14" s="12" t="s">
        <v>54</v>
      </c>
      <c r="C14" s="12" t="s">
        <v>174</v>
      </c>
      <c r="D14" s="12" t="s">
        <v>325</v>
      </c>
      <c r="E14" s="12" t="s">
        <v>55</v>
      </c>
      <c r="F14" s="12" t="s">
        <v>56</v>
      </c>
      <c r="G14" s="12" t="s">
        <v>175</v>
      </c>
      <c r="H14" s="12" t="s">
        <v>176</v>
      </c>
      <c r="I14" s="12" t="s">
        <v>177</v>
      </c>
      <c r="J14" s="13" t="s">
        <v>478</v>
      </c>
      <c r="K14" s="12" t="s">
        <v>479</v>
      </c>
      <c r="L14" s="12" t="s">
        <v>183</v>
      </c>
      <c r="M14" s="12" t="s">
        <v>184</v>
      </c>
    </row>
    <row r="15" ht="60" customHeight="1" spans="1:13">
      <c r="A15" s="14" t="s">
        <v>43</v>
      </c>
      <c r="B15" s="14">
        <v>1</v>
      </c>
      <c r="C15" s="14" t="s">
        <v>168</v>
      </c>
      <c r="D15" s="14" t="s">
        <v>358</v>
      </c>
      <c r="E15" s="14" t="s">
        <v>141</v>
      </c>
      <c r="F15" s="14" t="s">
        <v>142</v>
      </c>
      <c r="G15" s="14" t="s">
        <v>296</v>
      </c>
      <c r="H15" s="14" t="s">
        <v>297</v>
      </c>
      <c r="I15" s="14" t="s">
        <v>268</v>
      </c>
      <c r="J15" s="16">
        <v>42500</v>
      </c>
      <c r="K15" s="14" t="s">
        <v>482</v>
      </c>
      <c r="L15" s="17" t="s">
        <v>298</v>
      </c>
      <c r="M15" s="14" t="s">
        <v>299</v>
      </c>
    </row>
    <row r="16" ht="26" customHeight="1" spans="1:1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1"/>
    </row>
    <row r="17" ht="28" customHeight="1" spans="1:13">
      <c r="A17" s="12"/>
      <c r="B17" s="12"/>
      <c r="C17" s="12"/>
      <c r="D17" s="12"/>
      <c r="E17" s="12"/>
      <c r="F17" s="12"/>
      <c r="G17" s="12"/>
      <c r="H17" s="12"/>
      <c r="I17" s="12"/>
      <c r="J17" s="13"/>
      <c r="K17" s="12"/>
      <c r="L17" s="12"/>
      <c r="M17" s="12"/>
    </row>
    <row r="18" ht="60" customHeight="1" spans="1:13">
      <c r="A18" s="14"/>
      <c r="B18" s="14"/>
      <c r="C18" s="14"/>
      <c r="D18" s="14"/>
      <c r="E18" s="14"/>
      <c r="F18" s="14"/>
      <c r="G18" s="14"/>
      <c r="H18" s="14"/>
      <c r="I18" s="14"/>
      <c r="J18" s="16"/>
      <c r="K18" s="14"/>
      <c r="L18" s="17"/>
      <c r="M18" s="14"/>
    </row>
    <row r="19" ht="26" customHeight="1" spans="1:13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/>
    </row>
    <row r="20" ht="28" customHeight="1" spans="1:13">
      <c r="A20" s="12"/>
      <c r="B20" s="12"/>
      <c r="C20" s="12"/>
      <c r="D20" s="12"/>
      <c r="E20" s="12"/>
      <c r="F20" s="12"/>
      <c r="G20" s="12"/>
      <c r="H20" s="12"/>
      <c r="I20" s="12"/>
      <c r="J20" s="13"/>
      <c r="K20" s="12"/>
      <c r="L20" s="12"/>
      <c r="M20" s="12"/>
    </row>
    <row r="21" ht="60" customHeight="1" spans="1:13">
      <c r="A21" s="14"/>
      <c r="B21" s="14"/>
      <c r="C21" s="14"/>
      <c r="D21" s="14"/>
      <c r="E21" s="14"/>
      <c r="F21" s="14"/>
      <c r="G21" s="14"/>
      <c r="H21" s="14"/>
      <c r="I21" s="14"/>
      <c r="J21" s="16"/>
      <c r="K21" s="14"/>
      <c r="L21" s="17"/>
      <c r="M21" s="14"/>
    </row>
    <row r="22" ht="8" customHeight="1" spans="1:1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ht="24" customHeight="1" spans="1:13">
      <c r="A23" s="7" t="s">
        <v>301</v>
      </c>
      <c r="B23" s="8" t="s">
        <v>477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ht="26" customHeight="1" spans="1:13">
      <c r="A24" s="9" t="s">
        <v>476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1"/>
    </row>
    <row r="25" ht="26" customHeight="1" spans="1:13">
      <c r="A25" s="9" t="s">
        <v>134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1"/>
    </row>
    <row r="26" ht="28" customHeight="1" spans="1:13">
      <c r="A26" s="12" t="s">
        <v>53</v>
      </c>
      <c r="B26" s="12" t="s">
        <v>54</v>
      </c>
      <c r="C26" s="12" t="s">
        <v>174</v>
      </c>
      <c r="D26" s="12" t="s">
        <v>325</v>
      </c>
      <c r="E26" s="12" t="s">
        <v>55</v>
      </c>
      <c r="F26" s="12" t="s">
        <v>56</v>
      </c>
      <c r="G26" s="12" t="s">
        <v>175</v>
      </c>
      <c r="H26" s="12" t="s">
        <v>176</v>
      </c>
      <c r="I26" s="12" t="s">
        <v>177</v>
      </c>
      <c r="J26" s="13" t="s">
        <v>478</v>
      </c>
      <c r="K26" s="12" t="s">
        <v>479</v>
      </c>
      <c r="L26" s="12" t="s">
        <v>183</v>
      </c>
      <c r="M26" s="12" t="s">
        <v>184</v>
      </c>
    </row>
    <row r="27" ht="60" customHeight="1" spans="1:13">
      <c r="A27" s="14" t="s">
        <v>40</v>
      </c>
      <c r="B27" s="14">
        <v>1</v>
      </c>
      <c r="C27" s="14" t="s">
        <v>171</v>
      </c>
      <c r="D27" s="14" t="s">
        <v>480</v>
      </c>
      <c r="E27" s="14" t="s">
        <v>136</v>
      </c>
      <c r="F27" s="14" t="s">
        <v>137</v>
      </c>
      <c r="G27" s="15">
        <v>98</v>
      </c>
      <c r="H27" s="14" t="s">
        <v>289</v>
      </c>
      <c r="I27" s="14" t="s">
        <v>290</v>
      </c>
      <c r="J27" s="16">
        <v>20000</v>
      </c>
      <c r="K27" s="14" t="s">
        <v>481</v>
      </c>
      <c r="L27" s="17" t="s">
        <v>292</v>
      </c>
      <c r="M27" s="14" t="s">
        <v>293</v>
      </c>
    </row>
    <row r="28" ht="26" customHeight="1" spans="1:13">
      <c r="A28" s="9" t="s">
        <v>138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1"/>
    </row>
    <row r="29" ht="28" customHeight="1" spans="1:13">
      <c r="A29" s="12" t="s">
        <v>53</v>
      </c>
      <c r="B29" s="12" t="s">
        <v>54</v>
      </c>
      <c r="C29" s="12" t="s">
        <v>174</v>
      </c>
      <c r="D29" s="12" t="s">
        <v>325</v>
      </c>
      <c r="E29" s="12" t="s">
        <v>55</v>
      </c>
      <c r="F29" s="12" t="s">
        <v>56</v>
      </c>
      <c r="G29" s="12" t="s">
        <v>175</v>
      </c>
      <c r="H29" s="12" t="s">
        <v>176</v>
      </c>
      <c r="I29" s="12" t="s">
        <v>177</v>
      </c>
      <c r="J29" s="13" t="s">
        <v>478</v>
      </c>
      <c r="K29" s="12" t="s">
        <v>479</v>
      </c>
      <c r="L29" s="12" t="s">
        <v>183</v>
      </c>
      <c r="M29" s="12" t="s">
        <v>184</v>
      </c>
    </row>
    <row r="30" ht="60" customHeight="1" spans="1:13">
      <c r="A30" s="14" t="s">
        <v>43</v>
      </c>
      <c r="B30" s="14">
        <v>1</v>
      </c>
      <c r="C30" s="14" t="s">
        <v>171</v>
      </c>
      <c r="D30" s="14" t="s">
        <v>358</v>
      </c>
      <c r="E30" s="14" t="s">
        <v>141</v>
      </c>
      <c r="F30" s="14" t="s">
        <v>142</v>
      </c>
      <c r="G30" s="14" t="s">
        <v>322</v>
      </c>
      <c r="H30" s="14" t="s">
        <v>297</v>
      </c>
      <c r="I30" s="14" t="s">
        <v>268</v>
      </c>
      <c r="J30" s="16">
        <v>42500</v>
      </c>
      <c r="K30" s="14" t="s">
        <v>482</v>
      </c>
      <c r="L30" s="17" t="s">
        <v>298</v>
      </c>
      <c r="M30" s="14" t="s">
        <v>299</v>
      </c>
    </row>
    <row r="31" ht="26" customHeight="1" spans="1:13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1"/>
    </row>
    <row r="32" ht="28" customHeight="1" spans="1:13">
      <c r="A32" s="12"/>
      <c r="B32" s="12"/>
      <c r="C32" s="12"/>
      <c r="D32" s="12"/>
      <c r="E32" s="12"/>
      <c r="F32" s="12"/>
      <c r="G32" s="12"/>
      <c r="H32" s="12"/>
      <c r="I32" s="12"/>
      <c r="J32" s="13"/>
      <c r="K32" s="12"/>
      <c r="L32" s="12"/>
      <c r="M32" s="12"/>
    </row>
    <row r="33" ht="60" customHeight="1" spans="1:13">
      <c r="A33" s="14"/>
      <c r="B33" s="14"/>
      <c r="C33" s="14"/>
      <c r="D33" s="14"/>
      <c r="E33" s="14"/>
      <c r="F33" s="14"/>
      <c r="G33" s="14"/>
      <c r="H33" s="14"/>
      <c r="I33" s="14"/>
      <c r="J33" s="16"/>
      <c r="K33" s="14"/>
      <c r="L33" s="17"/>
      <c r="M33" s="14"/>
    </row>
    <row r="34" ht="26" customHeight="1" spans="1:13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5" ht="28" customHeight="1" spans="1:13">
      <c r="A35" s="12"/>
      <c r="B35" s="12"/>
      <c r="C35" s="12"/>
      <c r="D35" s="12"/>
      <c r="E35" s="12"/>
      <c r="F35" s="12"/>
      <c r="G35" s="12"/>
      <c r="H35" s="12"/>
      <c r="I35" s="12"/>
      <c r="J35" s="13"/>
      <c r="K35" s="12"/>
      <c r="L35" s="12"/>
      <c r="M35" s="12"/>
    </row>
    <row r="36" ht="60" customHeight="1" spans="1:13">
      <c r="A36" s="14"/>
      <c r="B36" s="14"/>
      <c r="C36" s="14"/>
      <c r="D36" s="14"/>
      <c r="E36" s="14"/>
      <c r="F36" s="14"/>
      <c r="G36" s="14"/>
      <c r="H36" s="14"/>
      <c r="I36" s="14"/>
      <c r="J36" s="16"/>
      <c r="K36" s="14"/>
      <c r="L36" s="17"/>
      <c r="M36" s="14"/>
    </row>
    <row r="37" ht="8" customHeight="1" spans="1:1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ht="23.2" customHeight="1" spans="1:13">
      <c r="A38" s="4" t="s">
        <v>483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26" customHeight="1" spans="1:13">
      <c r="A39" s="6" t="s">
        <v>484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ht="28" customHeight="1" spans="1:13">
      <c r="A40" s="12" t="s">
        <v>479</v>
      </c>
      <c r="B40" s="12"/>
      <c r="C40" s="12" t="s">
        <v>485</v>
      </c>
      <c r="D40" s="12"/>
      <c r="E40" s="12"/>
      <c r="F40" s="12"/>
      <c r="G40" s="13" t="s">
        <v>486</v>
      </c>
      <c r="H40" s="12" t="s">
        <v>487</v>
      </c>
      <c r="I40" s="12"/>
      <c r="J40" s="12"/>
      <c r="K40" s="12"/>
      <c r="L40" s="13" t="s">
        <v>488</v>
      </c>
      <c r="M40" s="13" t="s">
        <v>489</v>
      </c>
    </row>
    <row r="41" ht="78" customHeight="1" spans="1:13">
      <c r="A41" s="14" t="s">
        <v>490</v>
      </c>
      <c r="B41" s="14"/>
      <c r="C41" s="14" t="s">
        <v>137</v>
      </c>
      <c r="D41" s="14"/>
      <c r="E41" s="14"/>
      <c r="F41" s="14"/>
      <c r="G41" s="18">
        <v>20000</v>
      </c>
      <c r="H41" s="17" t="s">
        <v>137</v>
      </c>
      <c r="I41" s="17"/>
      <c r="J41" s="17"/>
      <c r="K41" s="17"/>
      <c r="L41" s="18">
        <v>20000</v>
      </c>
      <c r="M41" s="18">
        <v>40000</v>
      </c>
    </row>
    <row r="42" ht="78" customHeight="1" spans="1:13">
      <c r="A42" s="14" t="s">
        <v>441</v>
      </c>
      <c r="B42" s="14"/>
      <c r="C42" s="14" t="s">
        <v>491</v>
      </c>
      <c r="D42" s="14"/>
      <c r="E42" s="14"/>
      <c r="F42" s="14"/>
      <c r="G42" s="18">
        <v>42500</v>
      </c>
      <c r="H42" s="17" t="s">
        <v>491</v>
      </c>
      <c r="I42" s="17"/>
      <c r="J42" s="17"/>
      <c r="K42" s="17"/>
      <c r="L42" s="18">
        <v>42500</v>
      </c>
      <c r="M42" s="18">
        <v>85000</v>
      </c>
    </row>
    <row r="43" ht="78" customHeight="1" spans="1:13">
      <c r="A43" s="14"/>
      <c r="B43" s="14"/>
      <c r="C43" s="14"/>
      <c r="D43" s="14"/>
      <c r="E43" s="14"/>
      <c r="F43" s="14"/>
      <c r="G43" s="18"/>
      <c r="H43" s="14"/>
      <c r="I43" s="14"/>
      <c r="J43" s="14"/>
      <c r="K43" s="14"/>
      <c r="L43" s="18"/>
      <c r="M43" s="18"/>
    </row>
    <row r="44" ht="32" customHeight="1" spans="1:13">
      <c r="A44" s="19" t="s">
        <v>492</v>
      </c>
      <c r="B44" s="20"/>
      <c r="C44" s="20"/>
      <c r="D44" s="20"/>
      <c r="E44" s="20"/>
      <c r="F44" s="20"/>
      <c r="G44" s="18">
        <f>SUM(G41:G43)</f>
        <v>20000</v>
      </c>
      <c r="H44" s="19" t="s">
        <v>493</v>
      </c>
      <c r="I44" s="19"/>
      <c r="J44" s="19"/>
      <c r="K44" s="19"/>
      <c r="L44" s="18">
        <f>SUM(L41:L43)</f>
        <v>20000</v>
      </c>
      <c r="M44" s="18">
        <f>SUM(M41:M43)</f>
        <v>40000</v>
      </c>
    </row>
  </sheetData>
  <mergeCells count="29">
    <mergeCell ref="A1:M1"/>
    <mergeCell ref="B8:M8"/>
    <mergeCell ref="A9:M9"/>
    <mergeCell ref="A10:M10"/>
    <mergeCell ref="A13:M13"/>
    <mergeCell ref="A16:M16"/>
    <mergeCell ref="A19:M19"/>
    <mergeCell ref="B23:M23"/>
    <mergeCell ref="A24:M24"/>
    <mergeCell ref="A25:M25"/>
    <mergeCell ref="A28:M28"/>
    <mergeCell ref="A31:M31"/>
    <mergeCell ref="A34:M34"/>
    <mergeCell ref="A38:M38"/>
    <mergeCell ref="A39:M39"/>
    <mergeCell ref="A40:B40"/>
    <mergeCell ref="C40:F40"/>
    <mergeCell ref="H40:K40"/>
    <mergeCell ref="A41:B41"/>
    <mergeCell ref="C41:F41"/>
    <mergeCell ref="H41:K41"/>
    <mergeCell ref="A42:B42"/>
    <mergeCell ref="C42:F42"/>
    <mergeCell ref="H42:K42"/>
    <mergeCell ref="A43:B43"/>
    <mergeCell ref="C43:F43"/>
    <mergeCell ref="H43:K43"/>
    <mergeCell ref="A44:F44"/>
    <mergeCell ref="H44:K4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0"/>
  <sheetViews>
    <sheetView tabSelected="1" topLeftCell="A227" workbookViewId="0">
      <selection activeCell="F248" sqref="F248"/>
    </sheetView>
  </sheetViews>
  <sheetFormatPr defaultColWidth="9" defaultRowHeight="17.6"/>
  <cols>
    <col min="1" max="1" width="10" customWidth="1"/>
    <col min="2" max="2" width="9" customWidth="1"/>
    <col min="3" max="3" width="8" customWidth="1"/>
    <col min="4" max="4" width="34" customWidth="1"/>
    <col min="5" max="5" width="12" customWidth="1"/>
    <col min="6" max="6" width="34" customWidth="1"/>
    <col min="7" max="7" width="10" customWidth="1"/>
    <col min="8" max="11" width="12" customWidth="1"/>
    <col min="12" max="12" width="10" customWidth="1"/>
    <col min="13" max="13" width="55" customWidth="1"/>
  </cols>
  <sheetData>
    <row r="1" ht="36" customHeight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6" customHeight="1" spans="1:13">
      <c r="A2" s="2" t="s">
        <v>494</v>
      </c>
      <c r="B2" s="2" t="s">
        <v>495</v>
      </c>
      <c r="C2" s="2" t="s">
        <v>174</v>
      </c>
      <c r="D2" s="2" t="s">
        <v>325</v>
      </c>
      <c r="E2" s="2" t="s">
        <v>55</v>
      </c>
      <c r="F2" s="2" t="s">
        <v>56</v>
      </c>
      <c r="G2" s="2" t="s">
        <v>175</v>
      </c>
      <c r="H2" s="2" t="s">
        <v>176</v>
      </c>
      <c r="I2" s="3" t="s">
        <v>496</v>
      </c>
      <c r="J2" s="3" t="s">
        <v>497</v>
      </c>
      <c r="K2" s="3" t="s">
        <v>498</v>
      </c>
      <c r="L2" s="2" t="s">
        <v>499</v>
      </c>
      <c r="M2" s="2" t="s">
        <v>500</v>
      </c>
    </row>
    <row r="3" ht="18" customHeight="1" spans="1:13">
      <c r="A3" s="2" t="s">
        <v>501</v>
      </c>
      <c r="B3" s="2"/>
      <c r="C3" s="2" t="s">
        <v>168</v>
      </c>
      <c r="D3" s="2" t="s">
        <v>50</v>
      </c>
      <c r="E3" s="2" t="s">
        <v>66</v>
      </c>
      <c r="F3" s="2" t="s">
        <v>67</v>
      </c>
      <c r="G3" s="2" t="s">
        <v>185</v>
      </c>
      <c r="H3" s="2" t="s">
        <v>186</v>
      </c>
      <c r="I3" s="3">
        <v>784</v>
      </c>
      <c r="J3" s="3">
        <v>784</v>
      </c>
      <c r="K3" s="3">
        <v>0</v>
      </c>
      <c r="L3" s="2" t="s">
        <v>448</v>
      </c>
      <c r="M3" s="2" t="s">
        <v>189</v>
      </c>
    </row>
    <row r="4" ht="18" customHeight="1" spans="1:13">
      <c r="A4" s="2" t="s">
        <v>502</v>
      </c>
      <c r="B4" s="2"/>
      <c r="C4" s="2" t="s">
        <v>168</v>
      </c>
      <c r="D4" s="2" t="s">
        <v>50</v>
      </c>
      <c r="E4" s="2" t="s">
        <v>68</v>
      </c>
      <c r="F4" s="2" t="s">
        <v>69</v>
      </c>
      <c r="G4" s="2" t="s">
        <v>185</v>
      </c>
      <c r="H4" s="2" t="s">
        <v>186</v>
      </c>
      <c r="I4" s="3">
        <v>5600</v>
      </c>
      <c r="J4" s="3">
        <v>5600</v>
      </c>
      <c r="K4" s="3">
        <v>0</v>
      </c>
      <c r="L4" s="2" t="s">
        <v>448</v>
      </c>
      <c r="M4" s="2" t="s">
        <v>192</v>
      </c>
    </row>
    <row r="5" ht="18" customHeight="1" spans="1:13">
      <c r="A5" s="2" t="s">
        <v>502</v>
      </c>
      <c r="B5" s="2"/>
      <c r="C5" s="2" t="s">
        <v>168</v>
      </c>
      <c r="D5" s="2" t="s">
        <v>50</v>
      </c>
      <c r="E5" s="2" t="s">
        <v>70</v>
      </c>
      <c r="F5" s="2" t="s">
        <v>71</v>
      </c>
      <c r="G5" s="2" t="s">
        <v>193</v>
      </c>
      <c r="H5" s="2" t="s">
        <v>194</v>
      </c>
      <c r="I5" s="3">
        <v>720</v>
      </c>
      <c r="J5" s="3">
        <v>720</v>
      </c>
      <c r="K5" s="3">
        <v>0</v>
      </c>
      <c r="L5" s="2" t="s">
        <v>448</v>
      </c>
      <c r="M5" s="2" t="s">
        <v>196</v>
      </c>
    </row>
    <row r="6" ht="18" customHeight="1" spans="1:13">
      <c r="A6" s="2" t="s">
        <v>502</v>
      </c>
      <c r="B6" s="2"/>
      <c r="C6" s="2" t="s">
        <v>168</v>
      </c>
      <c r="D6" s="2" t="s">
        <v>50</v>
      </c>
      <c r="E6" s="2" t="s">
        <v>72</v>
      </c>
      <c r="F6" s="2" t="s">
        <v>73</v>
      </c>
      <c r="G6" s="2" t="s">
        <v>193</v>
      </c>
      <c r="H6" s="2" t="s">
        <v>194</v>
      </c>
      <c r="I6" s="3">
        <v>720</v>
      </c>
      <c r="J6" s="3">
        <v>720</v>
      </c>
      <c r="K6" s="3">
        <v>0</v>
      </c>
      <c r="L6" s="2" t="s">
        <v>448</v>
      </c>
      <c r="M6" s="2" t="s">
        <v>196</v>
      </c>
    </row>
    <row r="7" ht="18" customHeight="1" spans="1:13">
      <c r="A7" s="2" t="s">
        <v>502</v>
      </c>
      <c r="B7" s="2"/>
      <c r="C7" s="2" t="s">
        <v>168</v>
      </c>
      <c r="D7" s="2" t="s">
        <v>50</v>
      </c>
      <c r="E7" s="2" t="s">
        <v>74</v>
      </c>
      <c r="F7" s="2" t="s">
        <v>75</v>
      </c>
      <c r="G7" s="2" t="s">
        <v>193</v>
      </c>
      <c r="H7" s="2" t="s">
        <v>194</v>
      </c>
      <c r="I7" s="3">
        <v>720</v>
      </c>
      <c r="J7" s="3">
        <v>720</v>
      </c>
      <c r="K7" s="3">
        <v>0</v>
      </c>
      <c r="L7" s="2" t="s">
        <v>448</v>
      </c>
      <c r="M7" s="2" t="s">
        <v>196</v>
      </c>
    </row>
    <row r="8" ht="18" customHeight="1" spans="1:13">
      <c r="A8" s="2" t="s">
        <v>502</v>
      </c>
      <c r="B8" s="2"/>
      <c r="C8" s="2" t="s">
        <v>168</v>
      </c>
      <c r="D8" s="2" t="s">
        <v>50</v>
      </c>
      <c r="E8" s="2" t="s">
        <v>76</v>
      </c>
      <c r="F8" s="2" t="s">
        <v>77</v>
      </c>
      <c r="G8" s="2" t="s">
        <v>193</v>
      </c>
      <c r="H8" s="2" t="s">
        <v>197</v>
      </c>
      <c r="I8" s="3">
        <v>2880</v>
      </c>
      <c r="J8" s="3">
        <v>2880</v>
      </c>
      <c r="K8" s="3">
        <v>0</v>
      </c>
      <c r="L8" s="2" t="s">
        <v>448</v>
      </c>
      <c r="M8" s="2" t="s">
        <v>198</v>
      </c>
    </row>
    <row r="9" ht="18" customHeight="1" spans="1:13">
      <c r="A9" s="2" t="s">
        <v>502</v>
      </c>
      <c r="B9" s="2"/>
      <c r="C9" s="2" t="s">
        <v>168</v>
      </c>
      <c r="D9" s="2" t="s">
        <v>50</v>
      </c>
      <c r="E9" s="2" t="s">
        <v>78</v>
      </c>
      <c r="F9" s="2" t="s">
        <v>79</v>
      </c>
      <c r="G9" s="2" t="s">
        <v>193</v>
      </c>
      <c r="H9" s="2" t="s">
        <v>199</v>
      </c>
      <c r="I9" s="3">
        <v>5000</v>
      </c>
      <c r="J9" s="3">
        <v>5000</v>
      </c>
      <c r="K9" s="3">
        <v>0</v>
      </c>
      <c r="L9" s="2" t="s">
        <v>448</v>
      </c>
      <c r="M9" s="2" t="s">
        <v>202</v>
      </c>
    </row>
    <row r="10" ht="18" customHeight="1" spans="1:13">
      <c r="A10" s="2" t="s">
        <v>502</v>
      </c>
      <c r="B10" s="2"/>
      <c r="C10" s="2" t="s">
        <v>168</v>
      </c>
      <c r="D10" s="2" t="s">
        <v>50</v>
      </c>
      <c r="E10" s="2" t="s">
        <v>80</v>
      </c>
      <c r="F10" s="2" t="s">
        <v>203</v>
      </c>
      <c r="G10" s="2" t="s">
        <v>193</v>
      </c>
      <c r="H10" s="2" t="s">
        <v>204</v>
      </c>
      <c r="I10" s="3">
        <v>7200</v>
      </c>
      <c r="J10" s="3">
        <v>7200</v>
      </c>
      <c r="K10" s="3">
        <v>0</v>
      </c>
      <c r="L10" s="2" t="s">
        <v>448</v>
      </c>
      <c r="M10" s="2" t="s">
        <v>205</v>
      </c>
    </row>
    <row r="11" ht="18" customHeight="1" spans="1:13">
      <c r="A11" s="2" t="s">
        <v>502</v>
      </c>
      <c r="B11" s="2"/>
      <c r="C11" s="2" t="s">
        <v>168</v>
      </c>
      <c r="D11" s="2" t="s">
        <v>50</v>
      </c>
      <c r="E11" s="2" t="s">
        <v>82</v>
      </c>
      <c r="F11" s="2" t="s">
        <v>83</v>
      </c>
      <c r="G11" s="2" t="s">
        <v>193</v>
      </c>
      <c r="H11" s="2" t="s">
        <v>206</v>
      </c>
      <c r="I11" s="3">
        <v>30500</v>
      </c>
      <c r="J11" s="3">
        <v>30500</v>
      </c>
      <c r="K11" s="3">
        <v>0</v>
      </c>
      <c r="L11" s="2" t="s">
        <v>448</v>
      </c>
      <c r="M11" s="2" t="s">
        <v>207</v>
      </c>
    </row>
    <row r="12" ht="36" customHeight="1" spans="1:13">
      <c r="A12" s="2" t="s">
        <v>502</v>
      </c>
      <c r="B12" s="2"/>
      <c r="C12" s="2" t="s">
        <v>168</v>
      </c>
      <c r="D12" s="2" t="s">
        <v>50</v>
      </c>
      <c r="E12" s="2" t="s">
        <v>68</v>
      </c>
      <c r="F12" s="2" t="s">
        <v>69</v>
      </c>
      <c r="G12" s="2" t="s">
        <v>193</v>
      </c>
      <c r="H12" s="2" t="s">
        <v>208</v>
      </c>
      <c r="I12" s="3">
        <v>4800</v>
      </c>
      <c r="J12" s="3">
        <v>4800</v>
      </c>
      <c r="K12" s="3">
        <v>0</v>
      </c>
      <c r="L12" s="2" t="s">
        <v>448</v>
      </c>
      <c r="M12" s="2" t="s">
        <v>209</v>
      </c>
    </row>
    <row r="13" ht="18" customHeight="1" spans="1:13">
      <c r="A13" s="2" t="s">
        <v>502</v>
      </c>
      <c r="B13" s="2"/>
      <c r="C13" s="2" t="s">
        <v>168</v>
      </c>
      <c r="D13" s="2" t="s">
        <v>50</v>
      </c>
      <c r="E13" s="2" t="s">
        <v>84</v>
      </c>
      <c r="F13" s="2" t="s">
        <v>85</v>
      </c>
      <c r="G13" s="2" t="s">
        <v>193</v>
      </c>
      <c r="H13" s="2" t="s">
        <v>200</v>
      </c>
      <c r="I13" s="3">
        <v>24000</v>
      </c>
      <c r="J13" s="3">
        <v>24000</v>
      </c>
      <c r="K13" s="3">
        <v>0</v>
      </c>
      <c r="L13" s="2" t="s">
        <v>448</v>
      </c>
      <c r="M13" s="2" t="s">
        <v>211</v>
      </c>
    </row>
    <row r="14" ht="18" customHeight="1" spans="1:13">
      <c r="A14" s="2" t="s">
        <v>502</v>
      </c>
      <c r="B14" s="2"/>
      <c r="C14" s="2" t="s">
        <v>168</v>
      </c>
      <c r="D14" s="2" t="s">
        <v>50</v>
      </c>
      <c r="E14" s="2" t="s">
        <v>86</v>
      </c>
      <c r="F14" s="2" t="s">
        <v>212</v>
      </c>
      <c r="G14" s="2" t="s">
        <v>185</v>
      </c>
      <c r="H14" s="2" t="s">
        <v>186</v>
      </c>
      <c r="I14" s="3">
        <v>4200</v>
      </c>
      <c r="J14" s="3">
        <v>4200</v>
      </c>
      <c r="K14" s="3">
        <v>0</v>
      </c>
      <c r="L14" s="2" t="s">
        <v>448</v>
      </c>
      <c r="M14" s="2" t="s">
        <v>213</v>
      </c>
    </row>
    <row r="15" ht="18" customHeight="1" spans="1:13">
      <c r="A15" s="2" t="s">
        <v>502</v>
      </c>
      <c r="B15" s="2"/>
      <c r="C15" s="2" t="s">
        <v>168</v>
      </c>
      <c r="D15" s="2" t="s">
        <v>50</v>
      </c>
      <c r="E15" s="2" t="s">
        <v>88</v>
      </c>
      <c r="F15" s="2" t="s">
        <v>214</v>
      </c>
      <c r="G15" s="2" t="s">
        <v>193</v>
      </c>
      <c r="H15" s="2" t="s">
        <v>208</v>
      </c>
      <c r="I15" s="3">
        <v>3600</v>
      </c>
      <c r="J15" s="3">
        <v>3600</v>
      </c>
      <c r="K15" s="3">
        <v>0</v>
      </c>
      <c r="L15" s="2" t="s">
        <v>448</v>
      </c>
      <c r="M15" s="2" t="s">
        <v>215</v>
      </c>
    </row>
    <row r="16" ht="18" customHeight="1" spans="1:13">
      <c r="A16" s="2" t="s">
        <v>502</v>
      </c>
      <c r="B16" s="2"/>
      <c r="C16" s="2" t="s">
        <v>168</v>
      </c>
      <c r="D16" s="2" t="s">
        <v>50</v>
      </c>
      <c r="E16" s="2" t="s">
        <v>90</v>
      </c>
      <c r="F16" s="2" t="s">
        <v>91</v>
      </c>
      <c r="G16" s="2" t="s">
        <v>193</v>
      </c>
      <c r="H16" s="2" t="s">
        <v>208</v>
      </c>
      <c r="I16" s="3">
        <v>39996</v>
      </c>
      <c r="J16" s="3">
        <v>39996</v>
      </c>
      <c r="K16" s="3">
        <v>0</v>
      </c>
      <c r="L16" s="2" t="s">
        <v>448</v>
      </c>
      <c r="M16" s="2" t="s">
        <v>217</v>
      </c>
    </row>
    <row r="17" ht="18" customHeight="1" spans="1:13">
      <c r="A17" s="2" t="s">
        <v>502</v>
      </c>
      <c r="B17" s="2"/>
      <c r="C17" s="2" t="s">
        <v>168</v>
      </c>
      <c r="D17" s="2" t="s">
        <v>50</v>
      </c>
      <c r="E17" s="2" t="s">
        <v>92</v>
      </c>
      <c r="F17" s="2" t="s">
        <v>220</v>
      </c>
      <c r="G17" s="2" t="s">
        <v>193</v>
      </c>
      <c r="H17" s="2" t="s">
        <v>221</v>
      </c>
      <c r="I17" s="3">
        <v>7920</v>
      </c>
      <c r="J17" s="3">
        <v>7920</v>
      </c>
      <c r="K17" s="3">
        <v>0</v>
      </c>
      <c r="L17" s="2" t="s">
        <v>448</v>
      </c>
      <c r="M17" s="2" t="s">
        <v>222</v>
      </c>
    </row>
    <row r="18" ht="36" customHeight="1" spans="1:13">
      <c r="A18" s="2" t="s">
        <v>502</v>
      </c>
      <c r="B18" s="2"/>
      <c r="C18" s="2" t="s">
        <v>168</v>
      </c>
      <c r="D18" s="2" t="s">
        <v>50</v>
      </c>
      <c r="E18" s="2" t="s">
        <v>94</v>
      </c>
      <c r="F18" s="2" t="s">
        <v>224</v>
      </c>
      <c r="G18" s="2" t="s">
        <v>193</v>
      </c>
      <c r="H18" s="2" t="s">
        <v>208</v>
      </c>
      <c r="I18" s="3">
        <v>6000</v>
      </c>
      <c r="J18" s="3">
        <v>6000</v>
      </c>
      <c r="K18" s="3">
        <v>0</v>
      </c>
      <c r="L18" s="2" t="s">
        <v>448</v>
      </c>
      <c r="M18" s="2" t="s">
        <v>225</v>
      </c>
    </row>
    <row r="19" ht="36" customHeight="1" spans="1:13">
      <c r="A19" s="2" t="s">
        <v>502</v>
      </c>
      <c r="B19" s="2"/>
      <c r="C19" s="2" t="s">
        <v>168</v>
      </c>
      <c r="D19" s="2" t="s">
        <v>50</v>
      </c>
      <c r="E19" s="2" t="s">
        <v>96</v>
      </c>
      <c r="F19" s="2" t="s">
        <v>97</v>
      </c>
      <c r="G19" s="2" t="s">
        <v>193</v>
      </c>
      <c r="H19" s="2" t="s">
        <v>226</v>
      </c>
      <c r="I19" s="3">
        <v>6000</v>
      </c>
      <c r="J19" s="3">
        <v>6000</v>
      </c>
      <c r="K19" s="3">
        <v>0</v>
      </c>
      <c r="L19" s="2" t="s">
        <v>448</v>
      </c>
      <c r="M19" s="2" t="s">
        <v>228</v>
      </c>
    </row>
    <row r="20" ht="18" customHeight="1" spans="1:13">
      <c r="A20" s="2" t="s">
        <v>502</v>
      </c>
      <c r="B20" s="2"/>
      <c r="C20" s="2" t="s">
        <v>168</v>
      </c>
      <c r="D20" s="2" t="s">
        <v>50</v>
      </c>
      <c r="E20" s="2" t="s">
        <v>68</v>
      </c>
      <c r="F20" s="2" t="s">
        <v>69</v>
      </c>
      <c r="G20" s="2" t="s">
        <v>193</v>
      </c>
      <c r="H20" s="2" t="s">
        <v>208</v>
      </c>
      <c r="I20" s="3">
        <v>4800</v>
      </c>
      <c r="J20" s="3">
        <v>4800</v>
      </c>
      <c r="K20" s="3">
        <v>0</v>
      </c>
      <c r="L20" s="2" t="s">
        <v>448</v>
      </c>
      <c r="M20" s="2" t="s">
        <v>209</v>
      </c>
    </row>
    <row r="21" ht="36" customHeight="1" spans="1:13">
      <c r="A21" s="2" t="s">
        <v>501</v>
      </c>
      <c r="B21" s="2"/>
      <c r="C21" s="2" t="s">
        <v>168</v>
      </c>
      <c r="D21" s="2" t="s">
        <v>50</v>
      </c>
      <c r="E21" s="2" t="s">
        <v>66</v>
      </c>
      <c r="F21" s="2" t="s">
        <v>67</v>
      </c>
      <c r="G21" s="2" t="s">
        <v>193</v>
      </c>
      <c r="H21" s="2" t="s">
        <v>208</v>
      </c>
      <c r="I21" s="3">
        <v>684</v>
      </c>
      <c r="J21" s="3">
        <v>684</v>
      </c>
      <c r="K21" s="3">
        <v>0</v>
      </c>
      <c r="L21" s="2" t="s">
        <v>448</v>
      </c>
      <c r="M21" s="2" t="s">
        <v>229</v>
      </c>
    </row>
    <row r="22" ht="36" customHeight="1" spans="1:13">
      <c r="A22" s="2" t="s">
        <v>501</v>
      </c>
      <c r="B22" s="2"/>
      <c r="C22" s="2" t="s">
        <v>168</v>
      </c>
      <c r="D22" s="2" t="s">
        <v>50</v>
      </c>
      <c r="E22" s="2" t="s">
        <v>98</v>
      </c>
      <c r="F22" s="2" t="s">
        <v>98</v>
      </c>
      <c r="G22" s="2" t="s">
        <v>193</v>
      </c>
      <c r="H22" s="2" t="s">
        <v>208</v>
      </c>
      <c r="I22" s="3">
        <v>4800</v>
      </c>
      <c r="J22" s="3">
        <v>4800</v>
      </c>
      <c r="K22" s="3">
        <v>0</v>
      </c>
      <c r="L22" s="2" t="s">
        <v>448</v>
      </c>
      <c r="M22" s="2" t="s">
        <v>209</v>
      </c>
    </row>
    <row r="23" ht="36" customHeight="1" spans="1:13">
      <c r="A23" s="2" t="s">
        <v>501</v>
      </c>
      <c r="B23" s="2"/>
      <c r="C23" s="2" t="s">
        <v>168</v>
      </c>
      <c r="D23" s="2" t="s">
        <v>100</v>
      </c>
      <c r="E23" s="2" t="s">
        <v>66</v>
      </c>
      <c r="F23" s="2" t="s">
        <v>67</v>
      </c>
      <c r="G23" s="2" t="s">
        <v>233</v>
      </c>
      <c r="H23" s="2" t="s">
        <v>208</v>
      </c>
      <c r="I23" s="3">
        <v>684</v>
      </c>
      <c r="J23" s="3">
        <v>684</v>
      </c>
      <c r="K23" s="3">
        <v>0</v>
      </c>
      <c r="L23" s="2" t="s">
        <v>448</v>
      </c>
      <c r="M23" s="2" t="s">
        <v>229</v>
      </c>
    </row>
    <row r="24" ht="18" customHeight="1" spans="1:13">
      <c r="A24" s="2" t="s">
        <v>502</v>
      </c>
      <c r="B24" s="2"/>
      <c r="C24" s="2" t="s">
        <v>168</v>
      </c>
      <c r="D24" s="2" t="s">
        <v>100</v>
      </c>
      <c r="E24" s="2" t="s">
        <v>68</v>
      </c>
      <c r="F24" s="2" t="s">
        <v>69</v>
      </c>
      <c r="G24" s="2" t="s">
        <v>233</v>
      </c>
      <c r="H24" s="2" t="s">
        <v>208</v>
      </c>
      <c r="I24" s="3">
        <v>4800</v>
      </c>
      <c r="J24" s="3">
        <v>4800</v>
      </c>
      <c r="K24" s="3">
        <v>0</v>
      </c>
      <c r="L24" s="2" t="s">
        <v>448</v>
      </c>
      <c r="M24" s="2" t="s">
        <v>209</v>
      </c>
    </row>
    <row r="25" ht="36" customHeight="1" spans="1:13">
      <c r="A25" s="2" t="s">
        <v>502</v>
      </c>
      <c r="B25" s="2"/>
      <c r="C25" s="2" t="s">
        <v>168</v>
      </c>
      <c r="D25" s="2" t="s">
        <v>100</v>
      </c>
      <c r="E25" s="2" t="s">
        <v>101</v>
      </c>
      <c r="F25" s="2" t="s">
        <v>102</v>
      </c>
      <c r="G25" s="2" t="s">
        <v>233</v>
      </c>
      <c r="H25" s="2" t="s">
        <v>234</v>
      </c>
      <c r="I25" s="3">
        <v>7150</v>
      </c>
      <c r="J25" s="3">
        <v>7150</v>
      </c>
      <c r="K25" s="3">
        <v>0</v>
      </c>
      <c r="L25" s="2" t="s">
        <v>448</v>
      </c>
      <c r="M25" s="2" t="s">
        <v>235</v>
      </c>
    </row>
    <row r="26" ht="18" customHeight="1" spans="1:13">
      <c r="A26" s="2" t="s">
        <v>502</v>
      </c>
      <c r="B26" s="2"/>
      <c r="C26" s="2" t="s">
        <v>168</v>
      </c>
      <c r="D26" s="2" t="s">
        <v>100</v>
      </c>
      <c r="E26" s="2" t="s">
        <v>104</v>
      </c>
      <c r="F26" s="2" t="s">
        <v>105</v>
      </c>
      <c r="G26" s="2" t="s">
        <v>233</v>
      </c>
      <c r="H26" s="2" t="s">
        <v>208</v>
      </c>
      <c r="I26" s="3">
        <v>19000</v>
      </c>
      <c r="J26" s="3">
        <v>19000</v>
      </c>
      <c r="K26" s="3">
        <v>0</v>
      </c>
      <c r="L26" s="2" t="s">
        <v>448</v>
      </c>
      <c r="M26" s="2" t="s">
        <v>237</v>
      </c>
    </row>
    <row r="27" ht="18" customHeight="1" spans="1:13">
      <c r="A27" s="2" t="s">
        <v>502</v>
      </c>
      <c r="B27" s="2"/>
      <c r="C27" s="2" t="s">
        <v>168</v>
      </c>
      <c r="D27" s="2" t="s">
        <v>100</v>
      </c>
      <c r="E27" s="2" t="s">
        <v>68</v>
      </c>
      <c r="F27" s="2" t="s">
        <v>69</v>
      </c>
      <c r="G27" s="2" t="s">
        <v>233</v>
      </c>
      <c r="H27" s="2" t="s">
        <v>208</v>
      </c>
      <c r="I27" s="3">
        <v>4800</v>
      </c>
      <c r="J27" s="3">
        <v>4800</v>
      </c>
      <c r="K27" s="3">
        <v>0</v>
      </c>
      <c r="L27" s="2" t="s">
        <v>448</v>
      </c>
      <c r="M27" s="2" t="s">
        <v>209</v>
      </c>
    </row>
    <row r="28" ht="18" customHeight="1" spans="1:13">
      <c r="A28" s="2" t="s">
        <v>501</v>
      </c>
      <c r="B28" s="2"/>
      <c r="C28" s="2" t="s">
        <v>168</v>
      </c>
      <c r="D28" s="2" t="s">
        <v>100</v>
      </c>
      <c r="E28" s="2" t="s">
        <v>66</v>
      </c>
      <c r="F28" s="2" t="s">
        <v>67</v>
      </c>
      <c r="G28" s="2" t="s">
        <v>233</v>
      </c>
      <c r="H28" s="2" t="s">
        <v>208</v>
      </c>
      <c r="I28" s="3">
        <v>684</v>
      </c>
      <c r="J28" s="3">
        <v>684</v>
      </c>
      <c r="K28" s="3">
        <v>0</v>
      </c>
      <c r="L28" s="2" t="s">
        <v>448</v>
      </c>
      <c r="M28" s="2" t="s">
        <v>229</v>
      </c>
    </row>
    <row r="29" ht="36" customHeight="1" spans="1:13">
      <c r="A29" s="2" t="s">
        <v>501</v>
      </c>
      <c r="B29" s="2"/>
      <c r="C29" s="2" t="s">
        <v>168</v>
      </c>
      <c r="D29" s="2" t="s">
        <v>100</v>
      </c>
      <c r="E29" s="2" t="s">
        <v>98</v>
      </c>
      <c r="F29" s="2" t="s">
        <v>98</v>
      </c>
      <c r="G29" s="2" t="s">
        <v>233</v>
      </c>
      <c r="H29" s="2" t="s">
        <v>208</v>
      </c>
      <c r="I29" s="3">
        <v>4800</v>
      </c>
      <c r="J29" s="3">
        <v>4800</v>
      </c>
      <c r="K29" s="3">
        <v>0</v>
      </c>
      <c r="L29" s="2" t="s">
        <v>448</v>
      </c>
      <c r="M29" s="2" t="s">
        <v>209</v>
      </c>
    </row>
    <row r="30" ht="36" customHeight="1" spans="1:13">
      <c r="A30" s="2" t="s">
        <v>501</v>
      </c>
      <c r="B30" s="2"/>
      <c r="C30" s="2" t="s">
        <v>168</v>
      </c>
      <c r="D30" s="2" t="s">
        <v>107</v>
      </c>
      <c r="E30" s="2" t="s">
        <v>66</v>
      </c>
      <c r="F30" s="2" t="s">
        <v>67</v>
      </c>
      <c r="G30" s="2" t="s">
        <v>241</v>
      </c>
      <c r="H30" s="2" t="s">
        <v>242</v>
      </c>
      <c r="I30" s="3">
        <v>384</v>
      </c>
      <c r="J30" s="3">
        <v>384</v>
      </c>
      <c r="K30" s="3">
        <v>0</v>
      </c>
      <c r="L30" s="2" t="s">
        <v>448</v>
      </c>
      <c r="M30" s="2" t="s">
        <v>243</v>
      </c>
    </row>
    <row r="31" ht="36" customHeight="1" spans="1:13">
      <c r="A31" s="2" t="s">
        <v>502</v>
      </c>
      <c r="B31" s="2"/>
      <c r="C31" s="2" t="s">
        <v>168</v>
      </c>
      <c r="D31" s="2" t="s">
        <v>107</v>
      </c>
      <c r="E31" s="2" t="s">
        <v>68</v>
      </c>
      <c r="F31" s="2" t="s">
        <v>69</v>
      </c>
      <c r="G31" s="2" t="s">
        <v>241</v>
      </c>
      <c r="H31" s="2" t="s">
        <v>242</v>
      </c>
      <c r="I31" s="3">
        <v>2400</v>
      </c>
      <c r="J31" s="3">
        <v>2400</v>
      </c>
      <c r="K31" s="3">
        <v>0</v>
      </c>
      <c r="L31" s="2" t="s">
        <v>448</v>
      </c>
      <c r="M31" s="2" t="s">
        <v>244</v>
      </c>
    </row>
    <row r="32" ht="36" customHeight="1" spans="1:13">
      <c r="A32" s="2" t="s">
        <v>502</v>
      </c>
      <c r="B32" s="2"/>
      <c r="C32" s="2" t="s">
        <v>168</v>
      </c>
      <c r="D32" s="2" t="s">
        <v>107</v>
      </c>
      <c r="E32" s="2" t="s">
        <v>82</v>
      </c>
      <c r="F32" s="2" t="s">
        <v>83</v>
      </c>
      <c r="G32" s="2" t="s">
        <v>241</v>
      </c>
      <c r="H32" s="2" t="s">
        <v>206</v>
      </c>
      <c r="I32" s="3">
        <v>30500</v>
      </c>
      <c r="J32" s="3">
        <v>30500</v>
      </c>
      <c r="K32" s="3">
        <v>0</v>
      </c>
      <c r="L32" s="2" t="s">
        <v>448</v>
      </c>
      <c r="M32" s="2" t="s">
        <v>207</v>
      </c>
    </row>
    <row r="33" ht="36" customHeight="1" spans="1:13">
      <c r="A33" s="2" t="s">
        <v>502</v>
      </c>
      <c r="B33" s="2"/>
      <c r="C33" s="2" t="s">
        <v>168</v>
      </c>
      <c r="D33" s="2" t="s">
        <v>107</v>
      </c>
      <c r="E33" s="2" t="s">
        <v>84</v>
      </c>
      <c r="F33" s="2" t="s">
        <v>85</v>
      </c>
      <c r="G33" s="2" t="s">
        <v>241</v>
      </c>
      <c r="H33" s="2" t="s">
        <v>194</v>
      </c>
      <c r="I33" s="3">
        <v>12000</v>
      </c>
      <c r="J33" s="3">
        <v>12000</v>
      </c>
      <c r="K33" s="3">
        <v>0</v>
      </c>
      <c r="L33" s="2" t="s">
        <v>448</v>
      </c>
      <c r="M33" s="2" t="s">
        <v>245</v>
      </c>
    </row>
    <row r="34" ht="36" customHeight="1" spans="1:13">
      <c r="A34" s="2" t="s">
        <v>502</v>
      </c>
      <c r="B34" s="2"/>
      <c r="C34" s="2" t="s">
        <v>168</v>
      </c>
      <c r="D34" s="2" t="s">
        <v>107</v>
      </c>
      <c r="E34" s="2" t="s">
        <v>96</v>
      </c>
      <c r="F34" s="2" t="s">
        <v>97</v>
      </c>
      <c r="G34" s="2" t="s">
        <v>241</v>
      </c>
      <c r="H34" s="2" t="s">
        <v>246</v>
      </c>
      <c r="I34" s="3">
        <v>3000</v>
      </c>
      <c r="J34" s="3">
        <v>3000</v>
      </c>
      <c r="K34" s="3">
        <v>0</v>
      </c>
      <c r="L34" s="2" t="s">
        <v>448</v>
      </c>
      <c r="M34" s="2" t="s">
        <v>247</v>
      </c>
    </row>
    <row r="35" ht="36" customHeight="1" spans="1:13">
      <c r="A35" s="2" t="s">
        <v>502</v>
      </c>
      <c r="B35" s="2"/>
      <c r="C35" s="2" t="s">
        <v>168</v>
      </c>
      <c r="D35" s="2" t="s">
        <v>107</v>
      </c>
      <c r="E35" s="2" t="s">
        <v>109</v>
      </c>
      <c r="F35" s="2" t="s">
        <v>110</v>
      </c>
      <c r="G35" s="2" t="s">
        <v>241</v>
      </c>
      <c r="H35" s="2" t="s">
        <v>248</v>
      </c>
      <c r="I35" s="3">
        <v>7158</v>
      </c>
      <c r="J35" s="3">
        <v>7158</v>
      </c>
      <c r="K35" s="3">
        <v>0</v>
      </c>
      <c r="L35" s="2" t="s">
        <v>448</v>
      </c>
      <c r="M35" s="2" t="s">
        <v>249</v>
      </c>
    </row>
    <row r="36" ht="36" customHeight="1" spans="1:13">
      <c r="A36" s="2" t="s">
        <v>502</v>
      </c>
      <c r="B36" s="2"/>
      <c r="C36" s="2" t="s">
        <v>168</v>
      </c>
      <c r="D36" s="2" t="s">
        <v>107</v>
      </c>
      <c r="E36" s="2" t="s">
        <v>68</v>
      </c>
      <c r="F36" s="2" t="s">
        <v>69</v>
      </c>
      <c r="G36" s="2" t="s">
        <v>241</v>
      </c>
      <c r="H36" s="2" t="s">
        <v>242</v>
      </c>
      <c r="I36" s="3">
        <v>2400</v>
      </c>
      <c r="J36" s="3">
        <v>2400</v>
      </c>
      <c r="K36" s="3">
        <v>0</v>
      </c>
      <c r="L36" s="2" t="s">
        <v>448</v>
      </c>
      <c r="M36" s="2" t="s">
        <v>244</v>
      </c>
    </row>
    <row r="37" ht="18" customHeight="1" spans="1:13">
      <c r="A37" s="2" t="s">
        <v>501</v>
      </c>
      <c r="B37" s="2"/>
      <c r="C37" s="2" t="s">
        <v>168</v>
      </c>
      <c r="D37" s="2" t="s">
        <v>107</v>
      </c>
      <c r="E37" s="2" t="s">
        <v>66</v>
      </c>
      <c r="F37" s="2" t="s">
        <v>67</v>
      </c>
      <c r="G37" s="2" t="s">
        <v>241</v>
      </c>
      <c r="H37" s="2" t="s">
        <v>242</v>
      </c>
      <c r="I37" s="3">
        <v>384</v>
      </c>
      <c r="J37" s="3">
        <v>384</v>
      </c>
      <c r="K37" s="3">
        <v>0</v>
      </c>
      <c r="L37" s="2" t="s">
        <v>448</v>
      </c>
      <c r="M37" s="2" t="s">
        <v>243</v>
      </c>
    </row>
    <row r="38" ht="36" customHeight="1" spans="1:13">
      <c r="A38" s="2" t="s">
        <v>501</v>
      </c>
      <c r="B38" s="2"/>
      <c r="C38" s="2" t="s">
        <v>168</v>
      </c>
      <c r="D38" s="2" t="s">
        <v>107</v>
      </c>
      <c r="E38" s="2" t="s">
        <v>98</v>
      </c>
      <c r="F38" s="2" t="s">
        <v>98</v>
      </c>
      <c r="G38" s="2" t="s">
        <v>241</v>
      </c>
      <c r="H38" s="2" t="s">
        <v>242</v>
      </c>
      <c r="I38" s="3">
        <v>2400</v>
      </c>
      <c r="J38" s="3">
        <v>2400</v>
      </c>
      <c r="K38" s="3">
        <v>0</v>
      </c>
      <c r="L38" s="2" t="s">
        <v>448</v>
      </c>
      <c r="M38" s="2" t="s">
        <v>244</v>
      </c>
    </row>
    <row r="39" ht="53" customHeight="1" spans="1:13">
      <c r="A39" s="2" t="s">
        <v>501</v>
      </c>
      <c r="B39" s="2"/>
      <c r="C39" s="2" t="s">
        <v>168</v>
      </c>
      <c r="D39" s="2" t="s">
        <v>111</v>
      </c>
      <c r="E39" s="2" t="s">
        <v>66</v>
      </c>
      <c r="F39" s="2" t="s">
        <v>67</v>
      </c>
      <c r="G39" s="2" t="s">
        <v>252</v>
      </c>
      <c r="H39" s="2" t="s">
        <v>242</v>
      </c>
      <c r="I39" s="3">
        <v>384</v>
      </c>
      <c r="J39" s="3">
        <v>384</v>
      </c>
      <c r="K39" s="3">
        <v>0</v>
      </c>
      <c r="L39" s="2" t="s">
        <v>448</v>
      </c>
      <c r="M39" s="2" t="s">
        <v>243</v>
      </c>
    </row>
    <row r="40" ht="36" customHeight="1" spans="1:13">
      <c r="A40" s="2" t="s">
        <v>502</v>
      </c>
      <c r="B40" s="2"/>
      <c r="C40" s="2" t="s">
        <v>168</v>
      </c>
      <c r="D40" s="2" t="s">
        <v>111</v>
      </c>
      <c r="E40" s="2" t="s">
        <v>68</v>
      </c>
      <c r="F40" s="2" t="s">
        <v>69</v>
      </c>
      <c r="G40" s="2" t="s">
        <v>252</v>
      </c>
      <c r="H40" s="2" t="s">
        <v>242</v>
      </c>
      <c r="I40" s="3">
        <v>2400</v>
      </c>
      <c r="J40" s="3">
        <v>2400</v>
      </c>
      <c r="K40" s="3">
        <v>0</v>
      </c>
      <c r="L40" s="2" t="s">
        <v>448</v>
      </c>
      <c r="M40" s="2" t="s">
        <v>244</v>
      </c>
    </row>
    <row r="41" ht="36" customHeight="1" spans="1:13">
      <c r="A41" s="2" t="s">
        <v>502</v>
      </c>
      <c r="B41" s="2"/>
      <c r="C41" s="2" t="s">
        <v>168</v>
      </c>
      <c r="D41" s="2" t="s">
        <v>111</v>
      </c>
      <c r="E41" s="2" t="s">
        <v>112</v>
      </c>
      <c r="F41" s="2" t="s">
        <v>113</v>
      </c>
      <c r="G41" s="2" t="s">
        <v>252</v>
      </c>
      <c r="H41" s="2" t="s">
        <v>253</v>
      </c>
      <c r="I41" s="3">
        <v>120000</v>
      </c>
      <c r="J41" s="3">
        <v>120000</v>
      </c>
      <c r="K41" s="3">
        <v>0</v>
      </c>
      <c r="L41" s="2" t="s">
        <v>448</v>
      </c>
      <c r="M41" s="2" t="s">
        <v>254</v>
      </c>
    </row>
    <row r="42" ht="36" customHeight="1" spans="1:13">
      <c r="A42" s="2" t="s">
        <v>502</v>
      </c>
      <c r="B42" s="2"/>
      <c r="C42" s="2" t="s">
        <v>168</v>
      </c>
      <c r="D42" s="2" t="s">
        <v>111</v>
      </c>
      <c r="E42" s="2" t="s">
        <v>68</v>
      </c>
      <c r="F42" s="2" t="s">
        <v>69</v>
      </c>
      <c r="G42" s="2" t="s">
        <v>252</v>
      </c>
      <c r="H42" s="2" t="s">
        <v>242</v>
      </c>
      <c r="I42" s="3">
        <v>2400</v>
      </c>
      <c r="J42" s="3">
        <v>2400</v>
      </c>
      <c r="K42" s="3">
        <v>0</v>
      </c>
      <c r="L42" s="2" t="s">
        <v>448</v>
      </c>
      <c r="M42" s="2" t="s">
        <v>244</v>
      </c>
    </row>
    <row r="43" ht="36" customHeight="1" spans="1:13">
      <c r="A43" s="2" t="s">
        <v>501</v>
      </c>
      <c r="B43" s="2"/>
      <c r="C43" s="2" t="s">
        <v>168</v>
      </c>
      <c r="D43" s="2" t="s">
        <v>111</v>
      </c>
      <c r="E43" s="2" t="s">
        <v>66</v>
      </c>
      <c r="F43" s="2" t="s">
        <v>67</v>
      </c>
      <c r="G43" s="2" t="s">
        <v>252</v>
      </c>
      <c r="H43" s="2" t="s">
        <v>242</v>
      </c>
      <c r="I43" s="3">
        <v>384</v>
      </c>
      <c r="J43" s="3">
        <v>384</v>
      </c>
      <c r="K43" s="3">
        <v>0</v>
      </c>
      <c r="L43" s="2" t="s">
        <v>448</v>
      </c>
      <c r="M43" s="2" t="s">
        <v>243</v>
      </c>
    </row>
    <row r="44" ht="36" customHeight="1" spans="1:13">
      <c r="A44" s="2" t="s">
        <v>501</v>
      </c>
      <c r="B44" s="2"/>
      <c r="C44" s="2" t="s">
        <v>168</v>
      </c>
      <c r="D44" s="2" t="s">
        <v>111</v>
      </c>
      <c r="E44" s="2" t="s">
        <v>98</v>
      </c>
      <c r="F44" s="2" t="s">
        <v>98</v>
      </c>
      <c r="G44" s="2" t="s">
        <v>252</v>
      </c>
      <c r="H44" s="2" t="s">
        <v>242</v>
      </c>
      <c r="I44" s="3">
        <v>2400</v>
      </c>
      <c r="J44" s="3">
        <v>2400</v>
      </c>
      <c r="K44" s="3">
        <v>0</v>
      </c>
      <c r="L44" s="2" t="s">
        <v>448</v>
      </c>
      <c r="M44" s="2" t="s">
        <v>244</v>
      </c>
    </row>
    <row r="45" ht="36" customHeight="1" spans="1:13">
      <c r="A45" s="2" t="s">
        <v>501</v>
      </c>
      <c r="B45" s="2"/>
      <c r="C45" s="2" t="s">
        <v>168</v>
      </c>
      <c r="D45" s="2" t="s">
        <v>114</v>
      </c>
      <c r="E45" s="2" t="s">
        <v>66</v>
      </c>
      <c r="F45" s="2" t="s">
        <v>67</v>
      </c>
      <c r="G45" s="2" t="s">
        <v>258</v>
      </c>
      <c r="H45" s="2" t="s">
        <v>242</v>
      </c>
      <c r="I45" s="3">
        <v>384</v>
      </c>
      <c r="J45" s="3">
        <v>384</v>
      </c>
      <c r="K45" s="3">
        <v>0</v>
      </c>
      <c r="L45" s="2" t="s">
        <v>448</v>
      </c>
      <c r="M45" s="2" t="s">
        <v>243</v>
      </c>
    </row>
    <row r="46" ht="36" customHeight="1" spans="1:13">
      <c r="A46" s="2" t="s">
        <v>502</v>
      </c>
      <c r="B46" s="2"/>
      <c r="C46" s="2" t="s">
        <v>168</v>
      </c>
      <c r="D46" s="2" t="s">
        <v>114</v>
      </c>
      <c r="E46" s="2" t="s">
        <v>68</v>
      </c>
      <c r="F46" s="2" t="s">
        <v>69</v>
      </c>
      <c r="G46" s="2" t="s">
        <v>258</v>
      </c>
      <c r="H46" s="2" t="s">
        <v>242</v>
      </c>
      <c r="I46" s="3">
        <v>2400</v>
      </c>
      <c r="J46" s="3">
        <v>2400</v>
      </c>
      <c r="K46" s="3">
        <v>0</v>
      </c>
      <c r="L46" s="2" t="s">
        <v>448</v>
      </c>
      <c r="M46" s="2" t="s">
        <v>244</v>
      </c>
    </row>
    <row r="47" ht="36" customHeight="1" spans="1:13">
      <c r="A47" s="2" t="s">
        <v>502</v>
      </c>
      <c r="B47" s="2"/>
      <c r="C47" s="2" t="s">
        <v>168</v>
      </c>
      <c r="D47" s="2" t="s">
        <v>114</v>
      </c>
      <c r="E47" s="2" t="s">
        <v>115</v>
      </c>
      <c r="F47" s="2" t="s">
        <v>116</v>
      </c>
      <c r="G47" s="2" t="s">
        <v>258</v>
      </c>
      <c r="H47" s="2" t="s">
        <v>194</v>
      </c>
      <c r="I47" s="3">
        <v>3480</v>
      </c>
      <c r="J47" s="3">
        <v>3480</v>
      </c>
      <c r="K47" s="3">
        <v>0</v>
      </c>
      <c r="L47" s="2" t="s">
        <v>448</v>
      </c>
      <c r="M47" s="2" t="s">
        <v>259</v>
      </c>
    </row>
    <row r="48" ht="36" customHeight="1" spans="1:13">
      <c r="A48" s="2" t="s">
        <v>502</v>
      </c>
      <c r="B48" s="2"/>
      <c r="C48" s="2" t="s">
        <v>168</v>
      </c>
      <c r="D48" s="2" t="s">
        <v>114</v>
      </c>
      <c r="E48" s="2" t="s">
        <v>68</v>
      </c>
      <c r="F48" s="2" t="s">
        <v>69</v>
      </c>
      <c r="G48" s="2" t="s">
        <v>258</v>
      </c>
      <c r="H48" s="2" t="s">
        <v>242</v>
      </c>
      <c r="I48" s="3">
        <v>2400</v>
      </c>
      <c r="J48" s="3">
        <v>2400</v>
      </c>
      <c r="K48" s="3">
        <v>0</v>
      </c>
      <c r="L48" s="2" t="s">
        <v>448</v>
      </c>
      <c r="M48" s="2" t="s">
        <v>244</v>
      </c>
    </row>
    <row r="49" ht="36" customHeight="1" spans="1:13">
      <c r="A49" s="2" t="s">
        <v>501</v>
      </c>
      <c r="B49" s="2"/>
      <c r="C49" s="2" t="s">
        <v>168</v>
      </c>
      <c r="D49" s="2" t="s">
        <v>114</v>
      </c>
      <c r="E49" s="2" t="s">
        <v>66</v>
      </c>
      <c r="F49" s="2" t="s">
        <v>67</v>
      </c>
      <c r="G49" s="2" t="s">
        <v>258</v>
      </c>
      <c r="H49" s="2" t="s">
        <v>242</v>
      </c>
      <c r="I49" s="3">
        <v>384</v>
      </c>
      <c r="J49" s="3">
        <v>384</v>
      </c>
      <c r="K49" s="3">
        <v>0</v>
      </c>
      <c r="L49" s="2" t="s">
        <v>448</v>
      </c>
      <c r="M49" s="2" t="s">
        <v>243</v>
      </c>
    </row>
    <row r="50" ht="36" customHeight="1" spans="1:13">
      <c r="A50" s="2" t="s">
        <v>501</v>
      </c>
      <c r="B50" s="2"/>
      <c r="C50" s="2" t="s">
        <v>168</v>
      </c>
      <c r="D50" s="2" t="s">
        <v>114</v>
      </c>
      <c r="E50" s="2" t="s">
        <v>98</v>
      </c>
      <c r="F50" s="2" t="s">
        <v>98</v>
      </c>
      <c r="G50" s="2" t="s">
        <v>258</v>
      </c>
      <c r="H50" s="2" t="s">
        <v>242</v>
      </c>
      <c r="I50" s="3">
        <v>2400</v>
      </c>
      <c r="J50" s="3">
        <v>2400</v>
      </c>
      <c r="K50" s="3">
        <v>0</v>
      </c>
      <c r="L50" s="2" t="s">
        <v>448</v>
      </c>
      <c r="M50" s="2" t="s">
        <v>244</v>
      </c>
    </row>
    <row r="51" ht="36" customHeight="1" spans="1:13">
      <c r="A51" s="2" t="s">
        <v>502</v>
      </c>
      <c r="B51" s="2"/>
      <c r="C51" s="2" t="s">
        <v>168</v>
      </c>
      <c r="D51" s="2" t="s">
        <v>350</v>
      </c>
      <c r="E51" s="2" t="s">
        <v>68</v>
      </c>
      <c r="F51" s="2" t="s">
        <v>69</v>
      </c>
      <c r="G51" s="2" t="s">
        <v>262</v>
      </c>
      <c r="H51" s="2" t="s">
        <v>263</v>
      </c>
      <c r="I51" s="3">
        <v>3200</v>
      </c>
      <c r="J51" s="3">
        <v>3200</v>
      </c>
      <c r="K51" s="3">
        <v>0</v>
      </c>
      <c r="L51" s="2" t="s">
        <v>448</v>
      </c>
      <c r="M51" s="2" t="s">
        <v>264</v>
      </c>
    </row>
    <row r="52" ht="36" customHeight="1" spans="1:13">
      <c r="A52" s="2" t="s">
        <v>502</v>
      </c>
      <c r="B52" s="2"/>
      <c r="C52" s="2" t="s">
        <v>168</v>
      </c>
      <c r="D52" s="2" t="s">
        <v>350</v>
      </c>
      <c r="E52" s="2" t="s">
        <v>118</v>
      </c>
      <c r="F52" s="2" t="s">
        <v>119</v>
      </c>
      <c r="G52" s="2" t="s">
        <v>262</v>
      </c>
      <c r="H52" s="2" t="s">
        <v>265</v>
      </c>
      <c r="I52" s="3">
        <v>50850</v>
      </c>
      <c r="J52" s="3">
        <v>50850</v>
      </c>
      <c r="K52" s="3">
        <v>0</v>
      </c>
      <c r="L52" s="2" t="s">
        <v>448</v>
      </c>
      <c r="M52" s="2" t="s">
        <v>266</v>
      </c>
    </row>
    <row r="53" ht="18" customHeight="1" spans="1:13">
      <c r="A53" s="2" t="s">
        <v>502</v>
      </c>
      <c r="B53" s="2"/>
      <c r="C53" s="2" t="s">
        <v>168</v>
      </c>
      <c r="D53" s="2" t="s">
        <v>350</v>
      </c>
      <c r="E53" s="2" t="s">
        <v>68</v>
      </c>
      <c r="F53" s="2" t="s">
        <v>69</v>
      </c>
      <c r="G53" s="2" t="s">
        <v>262</v>
      </c>
      <c r="H53" s="2" t="s">
        <v>263</v>
      </c>
      <c r="I53" s="3">
        <v>3200</v>
      </c>
      <c r="J53" s="3">
        <v>3200</v>
      </c>
      <c r="K53" s="3">
        <v>0</v>
      </c>
      <c r="L53" s="2" t="s">
        <v>448</v>
      </c>
      <c r="M53" s="2" t="s">
        <v>264</v>
      </c>
    </row>
    <row r="54" ht="36" customHeight="1" spans="1:13">
      <c r="A54" s="2" t="s">
        <v>501</v>
      </c>
      <c r="B54" s="2"/>
      <c r="C54" s="2" t="s">
        <v>168</v>
      </c>
      <c r="D54" s="2" t="s">
        <v>350</v>
      </c>
      <c r="E54" s="2" t="s">
        <v>98</v>
      </c>
      <c r="F54" s="2" t="s">
        <v>98</v>
      </c>
      <c r="G54" s="2" t="s">
        <v>262</v>
      </c>
      <c r="H54" s="2" t="s">
        <v>263</v>
      </c>
      <c r="I54" s="3">
        <v>3200</v>
      </c>
      <c r="J54" s="3">
        <v>3200</v>
      </c>
      <c r="K54" s="3">
        <v>0</v>
      </c>
      <c r="L54" s="2" t="s">
        <v>448</v>
      </c>
      <c r="M54" s="2" t="s">
        <v>264</v>
      </c>
    </row>
    <row r="55" ht="36" customHeight="1" spans="1:13">
      <c r="A55" s="2" t="s">
        <v>502</v>
      </c>
      <c r="B55" s="2"/>
      <c r="C55" s="2" t="s">
        <v>168</v>
      </c>
      <c r="D55" s="2" t="s">
        <v>350</v>
      </c>
      <c r="E55" s="2" t="s">
        <v>121</v>
      </c>
      <c r="F55" s="2" t="s">
        <v>121</v>
      </c>
      <c r="G55" s="2" t="s">
        <v>262</v>
      </c>
      <c r="H55" s="2" t="s">
        <v>267</v>
      </c>
      <c r="I55" s="3">
        <v>21450</v>
      </c>
      <c r="J55" s="3">
        <v>21450</v>
      </c>
      <c r="K55" s="3">
        <v>0</v>
      </c>
      <c r="L55" s="2" t="s">
        <v>448</v>
      </c>
      <c r="M55" s="2" t="s">
        <v>270</v>
      </c>
    </row>
    <row r="56" ht="18" customHeight="1" spans="1:13">
      <c r="A56" s="2" t="s">
        <v>502</v>
      </c>
      <c r="B56" s="2"/>
      <c r="C56" s="2" t="s">
        <v>168</v>
      </c>
      <c r="D56" s="2" t="s">
        <v>354</v>
      </c>
      <c r="E56" s="2" t="s">
        <v>68</v>
      </c>
      <c r="F56" s="2" t="s">
        <v>69</v>
      </c>
      <c r="G56" s="2" t="s">
        <v>274</v>
      </c>
      <c r="H56" s="2" t="s">
        <v>242</v>
      </c>
      <c r="I56" s="3">
        <v>2400</v>
      </c>
      <c r="J56" s="3">
        <v>2400</v>
      </c>
      <c r="K56" s="3">
        <v>0</v>
      </c>
      <c r="L56" s="2" t="s">
        <v>448</v>
      </c>
      <c r="M56" s="2" t="s">
        <v>244</v>
      </c>
    </row>
    <row r="57" ht="18" customHeight="1" spans="1:13">
      <c r="A57" s="2" t="s">
        <v>502</v>
      </c>
      <c r="B57" s="2"/>
      <c r="C57" s="2" t="s">
        <v>168</v>
      </c>
      <c r="D57" s="2" t="s">
        <v>354</v>
      </c>
      <c r="E57" s="2" t="s">
        <v>123</v>
      </c>
      <c r="F57" s="2" t="s">
        <v>124</v>
      </c>
      <c r="G57" s="2" t="s">
        <v>274</v>
      </c>
      <c r="H57" s="2" t="s">
        <v>199</v>
      </c>
      <c r="I57" s="3">
        <v>5000</v>
      </c>
      <c r="J57" s="3">
        <v>5000</v>
      </c>
      <c r="K57" s="3">
        <v>0</v>
      </c>
      <c r="L57" s="2" t="s">
        <v>448</v>
      </c>
      <c r="M57" s="2" t="s">
        <v>202</v>
      </c>
    </row>
    <row r="58" ht="18" customHeight="1" spans="1:13">
      <c r="A58" s="2" t="s">
        <v>502</v>
      </c>
      <c r="B58" s="2"/>
      <c r="C58" s="2" t="s">
        <v>168</v>
      </c>
      <c r="D58" s="2" t="s">
        <v>354</v>
      </c>
      <c r="E58" s="2" t="s">
        <v>68</v>
      </c>
      <c r="F58" s="2" t="s">
        <v>69</v>
      </c>
      <c r="G58" s="2" t="s">
        <v>274</v>
      </c>
      <c r="H58" s="2" t="s">
        <v>242</v>
      </c>
      <c r="I58" s="3">
        <v>2400</v>
      </c>
      <c r="J58" s="3">
        <v>2400</v>
      </c>
      <c r="K58" s="3">
        <v>0</v>
      </c>
      <c r="L58" s="2" t="s">
        <v>448</v>
      </c>
      <c r="M58" s="2" t="s">
        <v>244</v>
      </c>
    </row>
    <row r="59" ht="18" customHeight="1" spans="1:13">
      <c r="A59" s="2" t="s">
        <v>501</v>
      </c>
      <c r="B59" s="2"/>
      <c r="C59" s="2" t="s">
        <v>168</v>
      </c>
      <c r="D59" s="2" t="s">
        <v>354</v>
      </c>
      <c r="E59" s="2" t="s">
        <v>98</v>
      </c>
      <c r="F59" s="2" t="s">
        <v>98</v>
      </c>
      <c r="G59" s="2" t="s">
        <v>274</v>
      </c>
      <c r="H59" s="2" t="s">
        <v>242</v>
      </c>
      <c r="I59" s="3">
        <v>2400</v>
      </c>
      <c r="J59" s="3">
        <v>2400</v>
      </c>
      <c r="K59" s="3">
        <v>0</v>
      </c>
      <c r="L59" s="2" t="s">
        <v>448</v>
      </c>
      <c r="M59" s="2" t="s">
        <v>244</v>
      </c>
    </row>
    <row r="60" ht="18" customHeight="1" spans="1:13">
      <c r="A60" s="2" t="s">
        <v>501</v>
      </c>
      <c r="B60" s="2"/>
      <c r="C60" s="2" t="s">
        <v>168</v>
      </c>
      <c r="D60" s="2" t="s">
        <v>126</v>
      </c>
      <c r="E60" s="2" t="s">
        <v>66</v>
      </c>
      <c r="F60" s="2" t="s">
        <v>67</v>
      </c>
      <c r="G60" s="2" t="s">
        <v>277</v>
      </c>
      <c r="H60" s="2" t="s">
        <v>242</v>
      </c>
      <c r="I60" s="3">
        <v>384</v>
      </c>
      <c r="J60" s="3">
        <v>384</v>
      </c>
      <c r="K60" s="3">
        <v>0</v>
      </c>
      <c r="L60" s="2" t="s">
        <v>448</v>
      </c>
      <c r="M60" s="2" t="s">
        <v>243</v>
      </c>
    </row>
    <row r="61" ht="18" customHeight="1" spans="1:13">
      <c r="A61" s="2" t="s">
        <v>502</v>
      </c>
      <c r="B61" s="2"/>
      <c r="C61" s="2" t="s">
        <v>168</v>
      </c>
      <c r="D61" s="2" t="s">
        <v>126</v>
      </c>
      <c r="E61" s="2" t="s">
        <v>68</v>
      </c>
      <c r="F61" s="2" t="s">
        <v>69</v>
      </c>
      <c r="G61" s="2" t="s">
        <v>277</v>
      </c>
      <c r="H61" s="2" t="s">
        <v>242</v>
      </c>
      <c r="I61" s="3">
        <v>2400</v>
      </c>
      <c r="J61" s="3">
        <v>2400</v>
      </c>
      <c r="K61" s="3">
        <v>0</v>
      </c>
      <c r="L61" s="2" t="s">
        <v>448</v>
      </c>
      <c r="M61" s="2" t="s">
        <v>244</v>
      </c>
    </row>
    <row r="62" ht="18" customHeight="1" spans="1:13">
      <c r="A62" s="2" t="s">
        <v>502</v>
      </c>
      <c r="B62" s="2"/>
      <c r="C62" s="2" t="s">
        <v>168</v>
      </c>
      <c r="D62" s="2" t="s">
        <v>126</v>
      </c>
      <c r="E62" s="2" t="s">
        <v>127</v>
      </c>
      <c r="F62" s="2" t="s">
        <v>128</v>
      </c>
      <c r="G62" s="2" t="s">
        <v>277</v>
      </c>
      <c r="H62" s="2" t="s">
        <v>253</v>
      </c>
      <c r="I62" s="3">
        <v>23000</v>
      </c>
      <c r="J62" s="3">
        <v>23000</v>
      </c>
      <c r="K62" s="3">
        <v>0</v>
      </c>
      <c r="L62" s="2" t="s">
        <v>448</v>
      </c>
      <c r="M62" s="2" t="s">
        <v>278</v>
      </c>
    </row>
    <row r="63" ht="18" customHeight="1" spans="1:13">
      <c r="A63" s="2" t="s">
        <v>502</v>
      </c>
      <c r="B63" s="2"/>
      <c r="C63" s="2" t="s">
        <v>168</v>
      </c>
      <c r="D63" s="2" t="s">
        <v>126</v>
      </c>
      <c r="E63" s="2" t="s">
        <v>68</v>
      </c>
      <c r="F63" s="2" t="s">
        <v>69</v>
      </c>
      <c r="G63" s="2" t="s">
        <v>277</v>
      </c>
      <c r="H63" s="2" t="s">
        <v>242</v>
      </c>
      <c r="I63" s="3">
        <v>2400</v>
      </c>
      <c r="J63" s="3">
        <v>2400</v>
      </c>
      <c r="K63" s="3">
        <v>0</v>
      </c>
      <c r="L63" s="2" t="s">
        <v>448</v>
      </c>
      <c r="M63" s="2" t="s">
        <v>244</v>
      </c>
    </row>
    <row r="64" ht="18" customHeight="1" spans="1:13">
      <c r="A64" s="2" t="s">
        <v>501</v>
      </c>
      <c r="B64" s="2"/>
      <c r="C64" s="2" t="s">
        <v>168</v>
      </c>
      <c r="D64" s="2" t="s">
        <v>126</v>
      </c>
      <c r="E64" s="2" t="s">
        <v>66</v>
      </c>
      <c r="F64" s="2" t="s">
        <v>67</v>
      </c>
      <c r="G64" s="2" t="s">
        <v>277</v>
      </c>
      <c r="H64" s="2" t="s">
        <v>242</v>
      </c>
      <c r="I64" s="3">
        <v>384</v>
      </c>
      <c r="J64" s="3">
        <v>384</v>
      </c>
      <c r="K64" s="3">
        <v>0</v>
      </c>
      <c r="L64" s="2" t="s">
        <v>448</v>
      </c>
      <c r="M64" s="2" t="s">
        <v>243</v>
      </c>
    </row>
    <row r="65" ht="36" customHeight="1" spans="1:13">
      <c r="A65" s="2" t="s">
        <v>501</v>
      </c>
      <c r="B65" s="2"/>
      <c r="C65" s="2" t="s">
        <v>168</v>
      </c>
      <c r="D65" s="2" t="s">
        <v>126</v>
      </c>
      <c r="E65" s="2" t="s">
        <v>98</v>
      </c>
      <c r="F65" s="2" t="s">
        <v>98</v>
      </c>
      <c r="G65" s="2" t="s">
        <v>277</v>
      </c>
      <c r="H65" s="2" t="s">
        <v>242</v>
      </c>
      <c r="I65" s="3">
        <v>2400</v>
      </c>
      <c r="J65" s="3">
        <v>2400</v>
      </c>
      <c r="K65" s="3">
        <v>0</v>
      </c>
      <c r="L65" s="2" t="s">
        <v>448</v>
      </c>
      <c r="M65" s="2" t="s">
        <v>244</v>
      </c>
    </row>
    <row r="66" ht="18" customHeight="1" spans="1:13">
      <c r="A66" s="2" t="s">
        <v>501</v>
      </c>
      <c r="B66" s="2"/>
      <c r="C66" s="2" t="s">
        <v>168</v>
      </c>
      <c r="D66" s="2" t="s">
        <v>129</v>
      </c>
      <c r="E66" s="2" t="s">
        <v>66</v>
      </c>
      <c r="F66" s="2" t="s">
        <v>67</v>
      </c>
      <c r="G66" s="2" t="s">
        <v>281</v>
      </c>
      <c r="H66" s="2" t="s">
        <v>242</v>
      </c>
      <c r="I66" s="3">
        <v>384</v>
      </c>
      <c r="J66" s="3">
        <v>384</v>
      </c>
      <c r="K66" s="3">
        <v>0</v>
      </c>
      <c r="L66" s="2" t="s">
        <v>448</v>
      </c>
      <c r="M66" s="2" t="s">
        <v>243</v>
      </c>
    </row>
    <row r="67" ht="18" customHeight="1" spans="1:13">
      <c r="A67" s="2" t="s">
        <v>502</v>
      </c>
      <c r="B67" s="2"/>
      <c r="C67" s="2" t="s">
        <v>168</v>
      </c>
      <c r="D67" s="2" t="s">
        <v>129</v>
      </c>
      <c r="E67" s="2" t="s">
        <v>68</v>
      </c>
      <c r="F67" s="2" t="s">
        <v>69</v>
      </c>
      <c r="G67" s="2" t="s">
        <v>281</v>
      </c>
      <c r="H67" s="2" t="s">
        <v>242</v>
      </c>
      <c r="I67" s="3">
        <v>2400</v>
      </c>
      <c r="J67" s="3">
        <v>2400</v>
      </c>
      <c r="K67" s="3">
        <v>0</v>
      </c>
      <c r="L67" s="2" t="s">
        <v>448</v>
      </c>
      <c r="M67" s="2" t="s">
        <v>244</v>
      </c>
    </row>
    <row r="68" ht="18" customHeight="1" spans="1:13">
      <c r="A68" s="2" t="s">
        <v>502</v>
      </c>
      <c r="B68" s="2"/>
      <c r="C68" s="2" t="s">
        <v>168</v>
      </c>
      <c r="D68" s="2" t="s">
        <v>129</v>
      </c>
      <c r="E68" s="2" t="s">
        <v>130</v>
      </c>
      <c r="F68" s="2" t="s">
        <v>131</v>
      </c>
      <c r="G68" s="2" t="s">
        <v>281</v>
      </c>
      <c r="H68" s="2" t="s">
        <v>253</v>
      </c>
      <c r="I68" s="3">
        <v>23000</v>
      </c>
      <c r="J68" s="3">
        <v>23000</v>
      </c>
      <c r="K68" s="3">
        <v>0</v>
      </c>
      <c r="L68" s="2" t="s">
        <v>448</v>
      </c>
      <c r="M68" s="2" t="s">
        <v>278</v>
      </c>
    </row>
    <row r="69" ht="18" customHeight="1" spans="1:13">
      <c r="A69" s="2" t="s">
        <v>502</v>
      </c>
      <c r="B69" s="2"/>
      <c r="C69" s="2" t="s">
        <v>168</v>
      </c>
      <c r="D69" s="2" t="s">
        <v>129</v>
      </c>
      <c r="E69" s="2" t="s">
        <v>68</v>
      </c>
      <c r="F69" s="2" t="s">
        <v>69</v>
      </c>
      <c r="G69" s="2" t="s">
        <v>281</v>
      </c>
      <c r="H69" s="2" t="s">
        <v>242</v>
      </c>
      <c r="I69" s="3">
        <v>2400</v>
      </c>
      <c r="J69" s="3">
        <v>2400</v>
      </c>
      <c r="K69" s="3">
        <v>0</v>
      </c>
      <c r="L69" s="2" t="s">
        <v>448</v>
      </c>
      <c r="M69" s="2" t="s">
        <v>244</v>
      </c>
    </row>
    <row r="70" ht="18" customHeight="1" spans="1:13">
      <c r="A70" s="2" t="s">
        <v>501</v>
      </c>
      <c r="B70" s="2"/>
      <c r="C70" s="2" t="s">
        <v>168</v>
      </c>
      <c r="D70" s="2" t="s">
        <v>129</v>
      </c>
      <c r="E70" s="2" t="s">
        <v>98</v>
      </c>
      <c r="F70" s="2" t="s">
        <v>98</v>
      </c>
      <c r="G70" s="2" t="s">
        <v>281</v>
      </c>
      <c r="H70" s="2" t="s">
        <v>242</v>
      </c>
      <c r="I70" s="3">
        <v>2400</v>
      </c>
      <c r="J70" s="3">
        <v>2400</v>
      </c>
      <c r="K70" s="3">
        <v>0</v>
      </c>
      <c r="L70" s="2" t="s">
        <v>448</v>
      </c>
      <c r="M70" s="2" t="s">
        <v>244</v>
      </c>
    </row>
    <row r="71" ht="36" customHeight="1" spans="1:13">
      <c r="A71" s="2" t="s">
        <v>501</v>
      </c>
      <c r="B71" s="2"/>
      <c r="C71" s="2" t="s">
        <v>168</v>
      </c>
      <c r="D71" s="2" t="s">
        <v>132</v>
      </c>
      <c r="E71" s="2" t="s">
        <v>66</v>
      </c>
      <c r="F71" s="2" t="s">
        <v>67</v>
      </c>
      <c r="G71" s="2" t="s">
        <v>284</v>
      </c>
      <c r="H71" s="2" t="s">
        <v>242</v>
      </c>
      <c r="I71" s="3">
        <v>384</v>
      </c>
      <c r="J71" s="3">
        <v>384</v>
      </c>
      <c r="K71" s="3">
        <v>0</v>
      </c>
      <c r="L71" s="2" t="s">
        <v>448</v>
      </c>
      <c r="M71" s="2" t="s">
        <v>243</v>
      </c>
    </row>
    <row r="72" ht="36" customHeight="1" spans="1:13">
      <c r="A72" s="2" t="s">
        <v>502</v>
      </c>
      <c r="B72" s="2"/>
      <c r="C72" s="2" t="s">
        <v>168</v>
      </c>
      <c r="D72" s="2" t="s">
        <v>132</v>
      </c>
      <c r="E72" s="2" t="s">
        <v>68</v>
      </c>
      <c r="F72" s="2" t="s">
        <v>69</v>
      </c>
      <c r="G72" s="2" t="s">
        <v>284</v>
      </c>
      <c r="H72" s="2" t="s">
        <v>242</v>
      </c>
      <c r="I72" s="3">
        <v>2400</v>
      </c>
      <c r="J72" s="3">
        <v>2400</v>
      </c>
      <c r="K72" s="3">
        <v>0</v>
      </c>
      <c r="L72" s="2" t="s">
        <v>448</v>
      </c>
      <c r="M72" s="2" t="s">
        <v>244</v>
      </c>
    </row>
    <row r="73" ht="18" customHeight="1" spans="1:13">
      <c r="A73" s="2" t="s">
        <v>502</v>
      </c>
      <c r="B73" s="2"/>
      <c r="C73" s="2" t="s">
        <v>168</v>
      </c>
      <c r="D73" s="2" t="s">
        <v>132</v>
      </c>
      <c r="E73" s="2" t="s">
        <v>130</v>
      </c>
      <c r="F73" s="2" t="s">
        <v>133</v>
      </c>
      <c r="G73" s="2" t="s">
        <v>284</v>
      </c>
      <c r="H73" s="2" t="s">
        <v>285</v>
      </c>
      <c r="I73" s="3">
        <v>25300</v>
      </c>
      <c r="J73" s="3">
        <v>25300</v>
      </c>
      <c r="K73" s="3">
        <v>0</v>
      </c>
      <c r="L73" s="2" t="s">
        <v>448</v>
      </c>
      <c r="M73" s="2" t="s">
        <v>286</v>
      </c>
    </row>
    <row r="74" ht="36" customHeight="1" spans="1:13">
      <c r="A74" s="2" t="s">
        <v>502</v>
      </c>
      <c r="B74" s="2"/>
      <c r="C74" s="2" t="s">
        <v>168</v>
      </c>
      <c r="D74" s="2" t="s">
        <v>132</v>
      </c>
      <c r="E74" s="2" t="s">
        <v>68</v>
      </c>
      <c r="F74" s="2" t="s">
        <v>69</v>
      </c>
      <c r="G74" s="2" t="s">
        <v>284</v>
      </c>
      <c r="H74" s="2" t="s">
        <v>242</v>
      </c>
      <c r="I74" s="3">
        <v>2400</v>
      </c>
      <c r="J74" s="3">
        <v>2400</v>
      </c>
      <c r="K74" s="3">
        <v>0</v>
      </c>
      <c r="L74" s="2" t="s">
        <v>448</v>
      </c>
      <c r="M74" s="2" t="s">
        <v>244</v>
      </c>
    </row>
    <row r="75" ht="36" customHeight="1" spans="1:13">
      <c r="A75" s="2" t="s">
        <v>501</v>
      </c>
      <c r="B75" s="2"/>
      <c r="C75" s="2" t="s">
        <v>168</v>
      </c>
      <c r="D75" s="2" t="s">
        <v>132</v>
      </c>
      <c r="E75" s="2" t="s">
        <v>66</v>
      </c>
      <c r="F75" s="2" t="s">
        <v>67</v>
      </c>
      <c r="G75" s="2" t="s">
        <v>284</v>
      </c>
      <c r="H75" s="2" t="s">
        <v>242</v>
      </c>
      <c r="I75" s="3">
        <v>384</v>
      </c>
      <c r="J75" s="3">
        <v>384</v>
      </c>
      <c r="K75" s="3">
        <v>0</v>
      </c>
      <c r="L75" s="2" t="s">
        <v>448</v>
      </c>
      <c r="M75" s="2" t="s">
        <v>243</v>
      </c>
    </row>
    <row r="76" ht="36" customHeight="1" spans="1:13">
      <c r="A76" s="2" t="s">
        <v>501</v>
      </c>
      <c r="B76" s="2"/>
      <c r="C76" s="2" t="s">
        <v>168</v>
      </c>
      <c r="D76" s="2" t="s">
        <v>132</v>
      </c>
      <c r="E76" s="2" t="s">
        <v>98</v>
      </c>
      <c r="F76" s="2" t="s">
        <v>98</v>
      </c>
      <c r="G76" s="2" t="s">
        <v>284</v>
      </c>
      <c r="H76" s="2" t="s">
        <v>242</v>
      </c>
      <c r="I76" s="3">
        <v>2400</v>
      </c>
      <c r="J76" s="3">
        <v>2400</v>
      </c>
      <c r="K76" s="3">
        <v>0</v>
      </c>
      <c r="L76" s="2" t="s">
        <v>448</v>
      </c>
      <c r="M76" s="2" t="s">
        <v>244</v>
      </c>
    </row>
    <row r="77" ht="18" customHeight="1" spans="1:13">
      <c r="A77" s="2" t="s">
        <v>502</v>
      </c>
      <c r="B77" s="2"/>
      <c r="C77" s="2" t="s">
        <v>168</v>
      </c>
      <c r="D77" s="2" t="s">
        <v>480</v>
      </c>
      <c r="E77" s="2" t="s">
        <v>136</v>
      </c>
      <c r="F77" s="2" t="s">
        <v>137</v>
      </c>
      <c r="G77" s="2" t="s">
        <v>503</v>
      </c>
      <c r="H77" s="2" t="s">
        <v>289</v>
      </c>
      <c r="I77" s="3">
        <v>20000</v>
      </c>
      <c r="J77" s="3">
        <v>20000</v>
      </c>
      <c r="K77" s="3">
        <v>0</v>
      </c>
      <c r="L77" s="2" t="s">
        <v>448</v>
      </c>
      <c r="M77" s="2" t="s">
        <v>292</v>
      </c>
    </row>
    <row r="78" ht="36" customHeight="1" spans="1:13">
      <c r="A78" s="2" t="s">
        <v>502</v>
      </c>
      <c r="B78" s="2"/>
      <c r="C78" s="2" t="s">
        <v>168</v>
      </c>
      <c r="D78" s="2" t="s">
        <v>358</v>
      </c>
      <c r="E78" s="2" t="s">
        <v>141</v>
      </c>
      <c r="F78" s="2" t="s">
        <v>142</v>
      </c>
      <c r="G78" s="2" t="s">
        <v>296</v>
      </c>
      <c r="H78" s="2" t="s">
        <v>297</v>
      </c>
      <c r="I78" s="3">
        <v>42500</v>
      </c>
      <c r="J78" s="3">
        <v>42500</v>
      </c>
      <c r="K78" s="3">
        <v>0</v>
      </c>
      <c r="L78" s="2" t="s">
        <v>448</v>
      </c>
      <c r="M78" s="2" t="s">
        <v>298</v>
      </c>
    </row>
    <row r="79" ht="18" customHeight="1" spans="1:13">
      <c r="A79" s="2" t="s">
        <v>501</v>
      </c>
      <c r="B79" s="2"/>
      <c r="C79" s="2" t="s">
        <v>171</v>
      </c>
      <c r="D79" s="2" t="s">
        <v>50</v>
      </c>
      <c r="E79" s="2" t="s">
        <v>66</v>
      </c>
      <c r="F79" s="2" t="s">
        <v>67</v>
      </c>
      <c r="G79" s="2" t="s">
        <v>185</v>
      </c>
      <c r="H79" s="2" t="s">
        <v>186</v>
      </c>
      <c r="I79" s="3">
        <v>784</v>
      </c>
      <c r="J79" s="3">
        <v>784</v>
      </c>
      <c r="K79" s="3">
        <v>0</v>
      </c>
      <c r="L79" s="2" t="s">
        <v>448</v>
      </c>
      <c r="M79" s="2" t="s">
        <v>189</v>
      </c>
    </row>
    <row r="80" ht="18" customHeight="1" spans="1:13">
      <c r="A80" s="2" t="s">
        <v>502</v>
      </c>
      <c r="B80" s="2"/>
      <c r="C80" s="2" t="s">
        <v>171</v>
      </c>
      <c r="D80" s="2" t="s">
        <v>50</v>
      </c>
      <c r="E80" s="2" t="s">
        <v>68</v>
      </c>
      <c r="F80" s="2" t="s">
        <v>69</v>
      </c>
      <c r="G80" s="2" t="s">
        <v>185</v>
      </c>
      <c r="H80" s="2" t="s">
        <v>186</v>
      </c>
      <c r="I80" s="3">
        <v>5600</v>
      </c>
      <c r="J80" s="3">
        <v>5600</v>
      </c>
      <c r="K80" s="3">
        <v>0</v>
      </c>
      <c r="L80" s="2" t="s">
        <v>448</v>
      </c>
      <c r="M80" s="2" t="s">
        <v>192</v>
      </c>
    </row>
    <row r="81" ht="18" customHeight="1" spans="1:13">
      <c r="A81" s="2" t="s">
        <v>502</v>
      </c>
      <c r="B81" s="2"/>
      <c r="C81" s="2" t="s">
        <v>171</v>
      </c>
      <c r="D81" s="2" t="s">
        <v>50</v>
      </c>
      <c r="E81" s="2" t="s">
        <v>70</v>
      </c>
      <c r="F81" s="2" t="s">
        <v>71</v>
      </c>
      <c r="G81" s="2" t="s">
        <v>193</v>
      </c>
      <c r="H81" s="2" t="s">
        <v>194</v>
      </c>
      <c r="I81" s="3">
        <v>720</v>
      </c>
      <c r="J81" s="3">
        <v>720</v>
      </c>
      <c r="K81" s="3">
        <v>0</v>
      </c>
      <c r="L81" s="2" t="s">
        <v>448</v>
      </c>
      <c r="M81" s="2" t="s">
        <v>196</v>
      </c>
    </row>
    <row r="82" ht="36" customHeight="1" spans="1:13">
      <c r="A82" s="2" t="s">
        <v>502</v>
      </c>
      <c r="B82" s="2"/>
      <c r="C82" s="2" t="s">
        <v>171</v>
      </c>
      <c r="D82" s="2" t="s">
        <v>50</v>
      </c>
      <c r="E82" s="2" t="s">
        <v>72</v>
      </c>
      <c r="F82" s="2" t="s">
        <v>73</v>
      </c>
      <c r="G82" s="2" t="s">
        <v>193</v>
      </c>
      <c r="H82" s="2" t="s">
        <v>194</v>
      </c>
      <c r="I82" s="3">
        <v>720</v>
      </c>
      <c r="J82" s="3">
        <v>720</v>
      </c>
      <c r="K82" s="3">
        <v>0</v>
      </c>
      <c r="L82" s="2" t="s">
        <v>448</v>
      </c>
      <c r="M82" s="2" t="s">
        <v>196</v>
      </c>
    </row>
    <row r="83" ht="36" customHeight="1" spans="1:13">
      <c r="A83" s="2" t="s">
        <v>502</v>
      </c>
      <c r="B83" s="2"/>
      <c r="C83" s="2" t="s">
        <v>171</v>
      </c>
      <c r="D83" s="2" t="s">
        <v>50</v>
      </c>
      <c r="E83" s="2" t="s">
        <v>74</v>
      </c>
      <c r="F83" s="2" t="s">
        <v>75</v>
      </c>
      <c r="G83" s="2" t="s">
        <v>193</v>
      </c>
      <c r="H83" s="2" t="s">
        <v>194</v>
      </c>
      <c r="I83" s="3">
        <v>720</v>
      </c>
      <c r="J83" s="3">
        <v>720</v>
      </c>
      <c r="K83" s="3">
        <v>0</v>
      </c>
      <c r="L83" s="2" t="s">
        <v>448</v>
      </c>
      <c r="M83" s="2" t="s">
        <v>196</v>
      </c>
    </row>
    <row r="84" ht="36" customHeight="1" spans="1:13">
      <c r="A84" s="2" t="s">
        <v>502</v>
      </c>
      <c r="B84" s="2"/>
      <c r="C84" s="2" t="s">
        <v>171</v>
      </c>
      <c r="D84" s="2" t="s">
        <v>50</v>
      </c>
      <c r="E84" s="2" t="s">
        <v>76</v>
      </c>
      <c r="F84" s="2" t="s">
        <v>77</v>
      </c>
      <c r="G84" s="2" t="s">
        <v>193</v>
      </c>
      <c r="H84" s="2" t="s">
        <v>197</v>
      </c>
      <c r="I84" s="3">
        <v>2880</v>
      </c>
      <c r="J84" s="3">
        <v>2880</v>
      </c>
      <c r="K84" s="3">
        <v>0</v>
      </c>
      <c r="L84" s="2" t="s">
        <v>448</v>
      </c>
      <c r="M84" s="2" t="s">
        <v>198</v>
      </c>
    </row>
    <row r="85" ht="36" customHeight="1" spans="1:13">
      <c r="A85" s="2" t="s">
        <v>502</v>
      </c>
      <c r="B85" s="2"/>
      <c r="C85" s="2" t="s">
        <v>171</v>
      </c>
      <c r="D85" s="2" t="s">
        <v>50</v>
      </c>
      <c r="E85" s="2" t="s">
        <v>78</v>
      </c>
      <c r="F85" s="2" t="s">
        <v>79</v>
      </c>
      <c r="G85" s="2" t="s">
        <v>193</v>
      </c>
      <c r="H85" s="2" t="s">
        <v>199</v>
      </c>
      <c r="I85" s="3">
        <v>5000</v>
      </c>
      <c r="J85" s="3">
        <v>5000</v>
      </c>
      <c r="K85" s="3">
        <v>0</v>
      </c>
      <c r="L85" s="2" t="s">
        <v>448</v>
      </c>
      <c r="M85" s="2" t="s">
        <v>202</v>
      </c>
    </row>
    <row r="86" ht="36" customHeight="1" spans="1:13">
      <c r="A86" s="2" t="s">
        <v>502</v>
      </c>
      <c r="B86" s="2"/>
      <c r="C86" s="2" t="s">
        <v>171</v>
      </c>
      <c r="D86" s="2" t="s">
        <v>50</v>
      </c>
      <c r="E86" s="2" t="s">
        <v>80</v>
      </c>
      <c r="F86" s="2" t="s">
        <v>203</v>
      </c>
      <c r="G86" s="2" t="s">
        <v>193</v>
      </c>
      <c r="H86" s="2" t="s">
        <v>204</v>
      </c>
      <c r="I86" s="3">
        <v>7200</v>
      </c>
      <c r="J86" s="3">
        <v>7200</v>
      </c>
      <c r="K86" s="3">
        <v>0</v>
      </c>
      <c r="L86" s="2" t="s">
        <v>448</v>
      </c>
      <c r="M86" s="2" t="s">
        <v>205</v>
      </c>
    </row>
    <row r="87" ht="36" customHeight="1" spans="1:13">
      <c r="A87" s="2" t="s">
        <v>502</v>
      </c>
      <c r="B87" s="2"/>
      <c r="C87" s="2" t="s">
        <v>171</v>
      </c>
      <c r="D87" s="2" t="s">
        <v>50</v>
      </c>
      <c r="E87" s="2" t="s">
        <v>82</v>
      </c>
      <c r="F87" s="2" t="s">
        <v>83</v>
      </c>
      <c r="G87" s="2" t="s">
        <v>193</v>
      </c>
      <c r="H87" s="2" t="s">
        <v>206</v>
      </c>
      <c r="I87" s="3">
        <v>30500</v>
      </c>
      <c r="J87" s="3">
        <v>30500</v>
      </c>
      <c r="K87" s="3">
        <v>0</v>
      </c>
      <c r="L87" s="2" t="s">
        <v>448</v>
      </c>
      <c r="M87" s="2" t="s">
        <v>207</v>
      </c>
    </row>
    <row r="88" ht="36" customHeight="1" spans="1:13">
      <c r="A88" s="2" t="s">
        <v>502</v>
      </c>
      <c r="B88" s="2"/>
      <c r="C88" s="2" t="s">
        <v>171</v>
      </c>
      <c r="D88" s="2" t="s">
        <v>50</v>
      </c>
      <c r="E88" s="2" t="s">
        <v>68</v>
      </c>
      <c r="F88" s="2" t="s">
        <v>69</v>
      </c>
      <c r="G88" s="2" t="s">
        <v>193</v>
      </c>
      <c r="H88" s="2" t="s">
        <v>208</v>
      </c>
      <c r="I88" s="3">
        <v>4800</v>
      </c>
      <c r="J88" s="3">
        <v>4800</v>
      </c>
      <c r="K88" s="3">
        <v>0</v>
      </c>
      <c r="L88" s="2" t="s">
        <v>448</v>
      </c>
      <c r="M88" s="2" t="s">
        <v>209</v>
      </c>
    </row>
    <row r="89" ht="36" customHeight="1" spans="1:13">
      <c r="A89" s="2" t="s">
        <v>502</v>
      </c>
      <c r="B89" s="2"/>
      <c r="C89" s="2" t="s">
        <v>171</v>
      </c>
      <c r="D89" s="2" t="s">
        <v>50</v>
      </c>
      <c r="E89" s="2" t="s">
        <v>84</v>
      </c>
      <c r="F89" s="2" t="s">
        <v>85</v>
      </c>
      <c r="G89" s="2" t="s">
        <v>193</v>
      </c>
      <c r="H89" s="2" t="s">
        <v>200</v>
      </c>
      <c r="I89" s="3">
        <v>24000</v>
      </c>
      <c r="J89" s="3">
        <v>24000</v>
      </c>
      <c r="K89" s="3">
        <v>0</v>
      </c>
      <c r="L89" s="2" t="s">
        <v>448</v>
      </c>
      <c r="M89" s="2" t="s">
        <v>211</v>
      </c>
    </row>
    <row r="90" ht="18" customHeight="1" spans="1:13">
      <c r="A90" s="2" t="s">
        <v>502</v>
      </c>
      <c r="B90" s="2"/>
      <c r="C90" s="2" t="s">
        <v>171</v>
      </c>
      <c r="D90" s="2" t="s">
        <v>50</v>
      </c>
      <c r="E90" s="2" t="s">
        <v>86</v>
      </c>
      <c r="F90" s="2" t="s">
        <v>212</v>
      </c>
      <c r="G90" s="2" t="s">
        <v>185</v>
      </c>
      <c r="H90" s="2" t="s">
        <v>186</v>
      </c>
      <c r="I90" s="3">
        <v>4200</v>
      </c>
      <c r="J90" s="3">
        <v>4200</v>
      </c>
      <c r="K90" s="3">
        <v>0</v>
      </c>
      <c r="L90" s="2" t="s">
        <v>448</v>
      </c>
      <c r="M90" s="2" t="s">
        <v>213</v>
      </c>
    </row>
    <row r="91" ht="36" customHeight="1" spans="1:13">
      <c r="A91" s="2" t="s">
        <v>502</v>
      </c>
      <c r="B91" s="2"/>
      <c r="C91" s="2" t="s">
        <v>171</v>
      </c>
      <c r="D91" s="2" t="s">
        <v>50</v>
      </c>
      <c r="E91" s="2" t="s">
        <v>88</v>
      </c>
      <c r="F91" s="2" t="s">
        <v>214</v>
      </c>
      <c r="G91" s="2" t="s">
        <v>193</v>
      </c>
      <c r="H91" s="2" t="s">
        <v>208</v>
      </c>
      <c r="I91" s="3">
        <v>3600</v>
      </c>
      <c r="J91" s="3">
        <v>3600</v>
      </c>
      <c r="K91" s="3">
        <v>0</v>
      </c>
      <c r="L91" s="2" t="s">
        <v>448</v>
      </c>
      <c r="M91" s="2" t="s">
        <v>215</v>
      </c>
    </row>
    <row r="92" ht="53" customHeight="1" spans="1:13">
      <c r="A92" s="2" t="s">
        <v>502</v>
      </c>
      <c r="B92" s="2"/>
      <c r="C92" s="2" t="s">
        <v>171</v>
      </c>
      <c r="D92" s="2" t="s">
        <v>50</v>
      </c>
      <c r="E92" s="2" t="s">
        <v>90</v>
      </c>
      <c r="F92" s="2" t="s">
        <v>91</v>
      </c>
      <c r="G92" s="2" t="s">
        <v>193</v>
      </c>
      <c r="H92" s="2" t="s">
        <v>208</v>
      </c>
      <c r="I92" s="3">
        <v>39996</v>
      </c>
      <c r="J92" s="3">
        <v>39996</v>
      </c>
      <c r="K92" s="3">
        <v>0</v>
      </c>
      <c r="L92" s="2" t="s">
        <v>448</v>
      </c>
      <c r="M92" s="2" t="s">
        <v>217</v>
      </c>
    </row>
    <row r="93" ht="36" customHeight="1" spans="1:13">
      <c r="A93" s="2" t="s">
        <v>502</v>
      </c>
      <c r="B93" s="2"/>
      <c r="C93" s="2" t="s">
        <v>171</v>
      </c>
      <c r="D93" s="2" t="s">
        <v>50</v>
      </c>
      <c r="E93" s="2" t="s">
        <v>92</v>
      </c>
      <c r="F93" s="2" t="s">
        <v>220</v>
      </c>
      <c r="G93" s="2" t="s">
        <v>193</v>
      </c>
      <c r="H93" s="2" t="s">
        <v>221</v>
      </c>
      <c r="I93" s="3">
        <v>7920</v>
      </c>
      <c r="J93" s="3">
        <v>7920</v>
      </c>
      <c r="K93" s="3">
        <v>0</v>
      </c>
      <c r="L93" s="2" t="s">
        <v>448</v>
      </c>
      <c r="M93" s="2" t="s">
        <v>222</v>
      </c>
    </row>
    <row r="94" ht="36" customHeight="1" spans="1:13">
      <c r="A94" s="2" t="s">
        <v>502</v>
      </c>
      <c r="B94" s="2"/>
      <c r="C94" s="2" t="s">
        <v>171</v>
      </c>
      <c r="D94" s="2" t="s">
        <v>50</v>
      </c>
      <c r="E94" s="2" t="s">
        <v>94</v>
      </c>
      <c r="F94" s="2" t="s">
        <v>224</v>
      </c>
      <c r="G94" s="2" t="s">
        <v>193</v>
      </c>
      <c r="H94" s="2" t="s">
        <v>208</v>
      </c>
      <c r="I94" s="3">
        <v>6000</v>
      </c>
      <c r="J94" s="3">
        <v>6000</v>
      </c>
      <c r="K94" s="3">
        <v>0</v>
      </c>
      <c r="L94" s="2" t="s">
        <v>448</v>
      </c>
      <c r="M94" s="2" t="s">
        <v>225</v>
      </c>
    </row>
    <row r="95" ht="36" customHeight="1" spans="1:13">
      <c r="A95" s="2" t="s">
        <v>502</v>
      </c>
      <c r="B95" s="2"/>
      <c r="C95" s="2" t="s">
        <v>171</v>
      </c>
      <c r="D95" s="2" t="s">
        <v>50</v>
      </c>
      <c r="E95" s="2" t="s">
        <v>96</v>
      </c>
      <c r="F95" s="2" t="s">
        <v>97</v>
      </c>
      <c r="G95" s="2" t="s">
        <v>193</v>
      </c>
      <c r="H95" s="2" t="s">
        <v>226</v>
      </c>
      <c r="I95" s="3">
        <v>6000</v>
      </c>
      <c r="J95" s="3">
        <v>6000</v>
      </c>
      <c r="K95" s="3">
        <v>0</v>
      </c>
      <c r="L95" s="2" t="s">
        <v>448</v>
      </c>
      <c r="M95" s="2" t="s">
        <v>228</v>
      </c>
    </row>
    <row r="96" ht="36" customHeight="1" spans="1:13">
      <c r="A96" s="2" t="s">
        <v>502</v>
      </c>
      <c r="B96" s="2"/>
      <c r="C96" s="2" t="s">
        <v>171</v>
      </c>
      <c r="D96" s="2" t="s">
        <v>50</v>
      </c>
      <c r="E96" s="2" t="s">
        <v>68</v>
      </c>
      <c r="F96" s="2" t="s">
        <v>69</v>
      </c>
      <c r="G96" s="2" t="s">
        <v>193</v>
      </c>
      <c r="H96" s="2" t="s">
        <v>208</v>
      </c>
      <c r="I96" s="3">
        <v>4800</v>
      </c>
      <c r="J96" s="3">
        <v>4800</v>
      </c>
      <c r="K96" s="3">
        <v>0</v>
      </c>
      <c r="L96" s="2" t="s">
        <v>448</v>
      </c>
      <c r="M96" s="2" t="s">
        <v>209</v>
      </c>
    </row>
    <row r="97" ht="36" customHeight="1" spans="1:13">
      <c r="A97" s="2" t="s">
        <v>501</v>
      </c>
      <c r="B97" s="2"/>
      <c r="C97" s="2" t="s">
        <v>171</v>
      </c>
      <c r="D97" s="2" t="s">
        <v>50</v>
      </c>
      <c r="E97" s="2" t="s">
        <v>66</v>
      </c>
      <c r="F97" s="2" t="s">
        <v>67</v>
      </c>
      <c r="G97" s="2" t="s">
        <v>193</v>
      </c>
      <c r="H97" s="2" t="s">
        <v>208</v>
      </c>
      <c r="I97" s="3">
        <v>684</v>
      </c>
      <c r="J97" s="3">
        <v>684</v>
      </c>
      <c r="K97" s="3">
        <v>0</v>
      </c>
      <c r="L97" s="2" t="s">
        <v>448</v>
      </c>
      <c r="M97" s="2" t="s">
        <v>229</v>
      </c>
    </row>
    <row r="98" ht="36" customHeight="1" spans="1:13">
      <c r="A98" s="2" t="s">
        <v>501</v>
      </c>
      <c r="B98" s="2"/>
      <c r="C98" s="2" t="s">
        <v>171</v>
      </c>
      <c r="D98" s="2" t="s">
        <v>50</v>
      </c>
      <c r="E98" s="2" t="s">
        <v>98</v>
      </c>
      <c r="F98" s="2" t="s">
        <v>98</v>
      </c>
      <c r="G98" s="2" t="s">
        <v>193</v>
      </c>
      <c r="H98" s="2" t="s">
        <v>208</v>
      </c>
      <c r="I98" s="3">
        <v>4800</v>
      </c>
      <c r="J98" s="3">
        <v>4800</v>
      </c>
      <c r="K98" s="3">
        <v>0</v>
      </c>
      <c r="L98" s="2" t="s">
        <v>448</v>
      </c>
      <c r="M98" s="2" t="s">
        <v>209</v>
      </c>
    </row>
    <row r="99" ht="36" customHeight="1" spans="1:13">
      <c r="A99" s="2" t="s">
        <v>501</v>
      </c>
      <c r="B99" s="2"/>
      <c r="C99" s="2" t="s">
        <v>171</v>
      </c>
      <c r="D99" s="2" t="s">
        <v>100</v>
      </c>
      <c r="E99" s="2" t="s">
        <v>66</v>
      </c>
      <c r="F99" s="2" t="s">
        <v>67</v>
      </c>
      <c r="G99" s="2" t="s">
        <v>233</v>
      </c>
      <c r="H99" s="2" t="s">
        <v>208</v>
      </c>
      <c r="I99" s="3">
        <v>684</v>
      </c>
      <c r="J99" s="3">
        <v>684</v>
      </c>
      <c r="K99" s="3">
        <v>0</v>
      </c>
      <c r="L99" s="2" t="s">
        <v>448</v>
      </c>
      <c r="M99" s="2" t="s">
        <v>229</v>
      </c>
    </row>
    <row r="100" ht="36" customHeight="1" spans="1:13">
      <c r="A100" s="2" t="s">
        <v>502</v>
      </c>
      <c r="B100" s="2"/>
      <c r="C100" s="2" t="s">
        <v>171</v>
      </c>
      <c r="D100" s="2" t="s">
        <v>100</v>
      </c>
      <c r="E100" s="2" t="s">
        <v>68</v>
      </c>
      <c r="F100" s="2" t="s">
        <v>69</v>
      </c>
      <c r="G100" s="2" t="s">
        <v>233</v>
      </c>
      <c r="H100" s="2" t="s">
        <v>208</v>
      </c>
      <c r="I100" s="3">
        <v>4800</v>
      </c>
      <c r="J100" s="3">
        <v>4800</v>
      </c>
      <c r="K100" s="3">
        <v>0</v>
      </c>
      <c r="L100" s="2" t="s">
        <v>448</v>
      </c>
      <c r="M100" s="2" t="s">
        <v>209</v>
      </c>
    </row>
    <row r="101" ht="36" customHeight="1" spans="1:13">
      <c r="A101" s="2" t="s">
        <v>502</v>
      </c>
      <c r="B101" s="2"/>
      <c r="C101" s="2" t="s">
        <v>171</v>
      </c>
      <c r="D101" s="2" t="s">
        <v>100</v>
      </c>
      <c r="E101" s="2" t="s">
        <v>101</v>
      </c>
      <c r="F101" s="2" t="s">
        <v>102</v>
      </c>
      <c r="G101" s="2" t="s">
        <v>233</v>
      </c>
      <c r="H101" s="2" t="s">
        <v>234</v>
      </c>
      <c r="I101" s="3">
        <v>7150</v>
      </c>
      <c r="J101" s="3">
        <v>7150</v>
      </c>
      <c r="K101" s="3">
        <v>0</v>
      </c>
      <c r="L101" s="2" t="s">
        <v>448</v>
      </c>
      <c r="M101" s="2" t="s">
        <v>235</v>
      </c>
    </row>
    <row r="102" ht="36" customHeight="1" spans="1:13">
      <c r="A102" s="2" t="s">
        <v>502</v>
      </c>
      <c r="B102" s="2"/>
      <c r="C102" s="2" t="s">
        <v>171</v>
      </c>
      <c r="D102" s="2" t="s">
        <v>100</v>
      </c>
      <c r="E102" s="2" t="s">
        <v>104</v>
      </c>
      <c r="F102" s="2" t="s">
        <v>105</v>
      </c>
      <c r="G102" s="2" t="s">
        <v>233</v>
      </c>
      <c r="H102" s="2" t="s">
        <v>208</v>
      </c>
      <c r="I102" s="3">
        <v>19000</v>
      </c>
      <c r="J102" s="3">
        <v>19000</v>
      </c>
      <c r="K102" s="3">
        <v>0</v>
      </c>
      <c r="L102" s="2" t="s">
        <v>448</v>
      </c>
      <c r="M102" s="2" t="s">
        <v>237</v>
      </c>
    </row>
    <row r="103" ht="36" customHeight="1" spans="1:13">
      <c r="A103" s="2" t="s">
        <v>502</v>
      </c>
      <c r="B103" s="2"/>
      <c r="C103" s="2" t="s">
        <v>171</v>
      </c>
      <c r="D103" s="2" t="s">
        <v>100</v>
      </c>
      <c r="E103" s="2" t="s">
        <v>68</v>
      </c>
      <c r="F103" s="2" t="s">
        <v>69</v>
      </c>
      <c r="G103" s="2" t="s">
        <v>233</v>
      </c>
      <c r="H103" s="2" t="s">
        <v>208</v>
      </c>
      <c r="I103" s="3">
        <v>4800</v>
      </c>
      <c r="J103" s="3">
        <v>4800</v>
      </c>
      <c r="K103" s="3">
        <v>0</v>
      </c>
      <c r="L103" s="2" t="s">
        <v>448</v>
      </c>
      <c r="M103" s="2" t="s">
        <v>209</v>
      </c>
    </row>
    <row r="104" ht="36" customHeight="1" spans="1:13">
      <c r="A104" s="2" t="s">
        <v>501</v>
      </c>
      <c r="B104" s="2"/>
      <c r="C104" s="2" t="s">
        <v>171</v>
      </c>
      <c r="D104" s="2" t="s">
        <v>100</v>
      </c>
      <c r="E104" s="2" t="s">
        <v>66</v>
      </c>
      <c r="F104" s="2" t="s">
        <v>67</v>
      </c>
      <c r="G104" s="2" t="s">
        <v>233</v>
      </c>
      <c r="H104" s="2" t="s">
        <v>208</v>
      </c>
      <c r="I104" s="3">
        <v>684</v>
      </c>
      <c r="J104" s="3">
        <v>684</v>
      </c>
      <c r="K104" s="3">
        <v>0</v>
      </c>
      <c r="L104" s="2" t="s">
        <v>448</v>
      </c>
      <c r="M104" s="2" t="s">
        <v>229</v>
      </c>
    </row>
    <row r="105" ht="36" customHeight="1" spans="1:13">
      <c r="A105" s="2" t="s">
        <v>501</v>
      </c>
      <c r="B105" s="2"/>
      <c r="C105" s="2" t="s">
        <v>171</v>
      </c>
      <c r="D105" s="2" t="s">
        <v>100</v>
      </c>
      <c r="E105" s="2" t="s">
        <v>98</v>
      </c>
      <c r="F105" s="2" t="s">
        <v>98</v>
      </c>
      <c r="G105" s="2" t="s">
        <v>233</v>
      </c>
      <c r="H105" s="2" t="s">
        <v>208</v>
      </c>
      <c r="I105" s="3">
        <v>4800</v>
      </c>
      <c r="J105" s="3">
        <v>4800</v>
      </c>
      <c r="K105" s="3">
        <v>0</v>
      </c>
      <c r="L105" s="2" t="s">
        <v>448</v>
      </c>
      <c r="M105" s="2" t="s">
        <v>209</v>
      </c>
    </row>
    <row r="106" ht="18" customHeight="1" spans="1:13">
      <c r="A106" s="2" t="s">
        <v>501</v>
      </c>
      <c r="B106" s="2"/>
      <c r="C106" s="2" t="s">
        <v>171</v>
      </c>
      <c r="D106" s="2" t="s">
        <v>107</v>
      </c>
      <c r="E106" s="2" t="s">
        <v>66</v>
      </c>
      <c r="F106" s="2" t="s">
        <v>67</v>
      </c>
      <c r="G106" s="2" t="s">
        <v>241</v>
      </c>
      <c r="H106" s="2" t="s">
        <v>242</v>
      </c>
      <c r="I106" s="3">
        <v>384</v>
      </c>
      <c r="J106" s="3">
        <v>384</v>
      </c>
      <c r="K106" s="3">
        <v>0</v>
      </c>
      <c r="L106" s="2" t="s">
        <v>448</v>
      </c>
      <c r="M106" s="2" t="s">
        <v>243</v>
      </c>
    </row>
    <row r="107" ht="18" customHeight="1" spans="1:13">
      <c r="A107" s="2" t="s">
        <v>502</v>
      </c>
      <c r="B107" s="2"/>
      <c r="C107" s="2" t="s">
        <v>171</v>
      </c>
      <c r="D107" s="2" t="s">
        <v>107</v>
      </c>
      <c r="E107" s="2" t="s">
        <v>68</v>
      </c>
      <c r="F107" s="2" t="s">
        <v>69</v>
      </c>
      <c r="G107" s="2" t="s">
        <v>241</v>
      </c>
      <c r="H107" s="2" t="s">
        <v>242</v>
      </c>
      <c r="I107" s="3">
        <v>2400</v>
      </c>
      <c r="J107" s="3">
        <v>2400</v>
      </c>
      <c r="K107" s="3">
        <v>0</v>
      </c>
      <c r="L107" s="2" t="s">
        <v>448</v>
      </c>
      <c r="M107" s="2" t="s">
        <v>244</v>
      </c>
    </row>
    <row r="108" ht="18" customHeight="1" spans="1:13">
      <c r="A108" s="2" t="s">
        <v>502</v>
      </c>
      <c r="B108" s="2"/>
      <c r="C108" s="2" t="s">
        <v>171</v>
      </c>
      <c r="D108" s="2" t="s">
        <v>107</v>
      </c>
      <c r="E108" s="2" t="s">
        <v>82</v>
      </c>
      <c r="F108" s="2" t="s">
        <v>83</v>
      </c>
      <c r="G108" s="2" t="s">
        <v>241</v>
      </c>
      <c r="H108" s="2" t="s">
        <v>206</v>
      </c>
      <c r="I108" s="3">
        <v>30500</v>
      </c>
      <c r="J108" s="3">
        <v>30500</v>
      </c>
      <c r="K108" s="3">
        <v>0</v>
      </c>
      <c r="L108" s="2" t="s">
        <v>448</v>
      </c>
      <c r="M108" s="2" t="s">
        <v>207</v>
      </c>
    </row>
    <row r="109" ht="18" customHeight="1" spans="1:13">
      <c r="A109" s="2" t="s">
        <v>502</v>
      </c>
      <c r="B109" s="2"/>
      <c r="C109" s="2" t="s">
        <v>171</v>
      </c>
      <c r="D109" s="2" t="s">
        <v>107</v>
      </c>
      <c r="E109" s="2" t="s">
        <v>84</v>
      </c>
      <c r="F109" s="2" t="s">
        <v>85</v>
      </c>
      <c r="G109" s="2" t="s">
        <v>241</v>
      </c>
      <c r="H109" s="2" t="s">
        <v>194</v>
      </c>
      <c r="I109" s="3">
        <v>12000</v>
      </c>
      <c r="J109" s="3">
        <v>12000</v>
      </c>
      <c r="K109" s="3">
        <v>0</v>
      </c>
      <c r="L109" s="2" t="s">
        <v>448</v>
      </c>
      <c r="M109" s="2" t="s">
        <v>245</v>
      </c>
    </row>
    <row r="110" ht="18" customHeight="1" spans="1:13">
      <c r="A110" s="2" t="s">
        <v>502</v>
      </c>
      <c r="B110" s="2"/>
      <c r="C110" s="2" t="s">
        <v>171</v>
      </c>
      <c r="D110" s="2" t="s">
        <v>107</v>
      </c>
      <c r="E110" s="2" t="s">
        <v>96</v>
      </c>
      <c r="F110" s="2" t="s">
        <v>97</v>
      </c>
      <c r="G110" s="2" t="s">
        <v>241</v>
      </c>
      <c r="H110" s="2" t="s">
        <v>246</v>
      </c>
      <c r="I110" s="3">
        <v>3000</v>
      </c>
      <c r="J110" s="3">
        <v>3000</v>
      </c>
      <c r="K110" s="3">
        <v>0</v>
      </c>
      <c r="L110" s="2" t="s">
        <v>448</v>
      </c>
      <c r="M110" s="2" t="s">
        <v>247</v>
      </c>
    </row>
    <row r="111" ht="36" customHeight="1" spans="1:13">
      <c r="A111" s="2" t="s">
        <v>502</v>
      </c>
      <c r="B111" s="2"/>
      <c r="C111" s="2" t="s">
        <v>171</v>
      </c>
      <c r="D111" s="2" t="s">
        <v>107</v>
      </c>
      <c r="E111" s="2" t="s">
        <v>109</v>
      </c>
      <c r="F111" s="2" t="s">
        <v>110</v>
      </c>
      <c r="G111" s="2" t="s">
        <v>241</v>
      </c>
      <c r="H111" s="2" t="s">
        <v>248</v>
      </c>
      <c r="I111" s="3">
        <v>7158</v>
      </c>
      <c r="J111" s="3">
        <v>7158</v>
      </c>
      <c r="K111" s="3">
        <v>0</v>
      </c>
      <c r="L111" s="2" t="s">
        <v>448</v>
      </c>
      <c r="M111" s="2" t="s">
        <v>249</v>
      </c>
    </row>
    <row r="112" ht="36" customHeight="1" spans="1:13">
      <c r="A112" s="2" t="s">
        <v>502</v>
      </c>
      <c r="B112" s="2"/>
      <c r="C112" s="2" t="s">
        <v>171</v>
      </c>
      <c r="D112" s="2" t="s">
        <v>107</v>
      </c>
      <c r="E112" s="2" t="s">
        <v>68</v>
      </c>
      <c r="F112" s="2" t="s">
        <v>69</v>
      </c>
      <c r="G112" s="2" t="s">
        <v>241</v>
      </c>
      <c r="H112" s="2" t="s">
        <v>242</v>
      </c>
      <c r="I112" s="3">
        <v>2400</v>
      </c>
      <c r="J112" s="3">
        <v>2400</v>
      </c>
      <c r="K112" s="3">
        <v>0</v>
      </c>
      <c r="L112" s="2" t="s">
        <v>448</v>
      </c>
      <c r="M112" s="2" t="s">
        <v>244</v>
      </c>
    </row>
    <row r="113" ht="18" customHeight="1" spans="1:13">
      <c r="A113" s="2" t="s">
        <v>501</v>
      </c>
      <c r="B113" s="2"/>
      <c r="C113" s="2" t="s">
        <v>171</v>
      </c>
      <c r="D113" s="2" t="s">
        <v>107</v>
      </c>
      <c r="E113" s="2" t="s">
        <v>66</v>
      </c>
      <c r="F113" s="2" t="s">
        <v>67</v>
      </c>
      <c r="G113" s="2" t="s">
        <v>241</v>
      </c>
      <c r="H113" s="2" t="s">
        <v>242</v>
      </c>
      <c r="I113" s="3">
        <v>384</v>
      </c>
      <c r="J113" s="3">
        <v>384</v>
      </c>
      <c r="K113" s="3">
        <v>0</v>
      </c>
      <c r="L113" s="2" t="s">
        <v>448</v>
      </c>
      <c r="M113" s="2" t="s">
        <v>243</v>
      </c>
    </row>
    <row r="114" ht="36" customHeight="1" spans="1:13">
      <c r="A114" s="2" t="s">
        <v>501</v>
      </c>
      <c r="B114" s="2"/>
      <c r="C114" s="2" t="s">
        <v>171</v>
      </c>
      <c r="D114" s="2" t="s">
        <v>107</v>
      </c>
      <c r="E114" s="2" t="s">
        <v>98</v>
      </c>
      <c r="F114" s="2" t="s">
        <v>98</v>
      </c>
      <c r="G114" s="2" t="s">
        <v>241</v>
      </c>
      <c r="H114" s="2" t="s">
        <v>242</v>
      </c>
      <c r="I114" s="3">
        <v>2400</v>
      </c>
      <c r="J114" s="3">
        <v>2400</v>
      </c>
      <c r="K114" s="3">
        <v>0</v>
      </c>
      <c r="L114" s="2" t="s">
        <v>448</v>
      </c>
      <c r="M114" s="2" t="s">
        <v>244</v>
      </c>
    </row>
    <row r="115" ht="36" customHeight="1" spans="1:13">
      <c r="A115" s="2" t="s">
        <v>501</v>
      </c>
      <c r="B115" s="2"/>
      <c r="C115" s="2" t="s">
        <v>171</v>
      </c>
      <c r="D115" s="2" t="s">
        <v>111</v>
      </c>
      <c r="E115" s="2" t="s">
        <v>66</v>
      </c>
      <c r="F115" s="2" t="s">
        <v>67</v>
      </c>
      <c r="G115" s="2" t="s">
        <v>252</v>
      </c>
      <c r="H115" s="2" t="s">
        <v>242</v>
      </c>
      <c r="I115" s="3">
        <v>384</v>
      </c>
      <c r="J115" s="3">
        <v>384</v>
      </c>
      <c r="K115" s="3">
        <v>0</v>
      </c>
      <c r="L115" s="2" t="s">
        <v>448</v>
      </c>
      <c r="M115" s="2" t="s">
        <v>243</v>
      </c>
    </row>
    <row r="116" ht="18" customHeight="1" spans="1:13">
      <c r="A116" s="2" t="s">
        <v>502</v>
      </c>
      <c r="B116" s="2"/>
      <c r="C116" s="2" t="s">
        <v>171</v>
      </c>
      <c r="D116" s="2" t="s">
        <v>111</v>
      </c>
      <c r="E116" s="2" t="s">
        <v>68</v>
      </c>
      <c r="F116" s="2" t="s">
        <v>69</v>
      </c>
      <c r="G116" s="2" t="s">
        <v>252</v>
      </c>
      <c r="H116" s="2" t="s">
        <v>242</v>
      </c>
      <c r="I116" s="3">
        <v>2400</v>
      </c>
      <c r="J116" s="3">
        <v>2400</v>
      </c>
      <c r="K116" s="3">
        <v>0</v>
      </c>
      <c r="L116" s="2" t="s">
        <v>448</v>
      </c>
      <c r="M116" s="2" t="s">
        <v>244</v>
      </c>
    </row>
    <row r="117" ht="18" customHeight="1" spans="1:13">
      <c r="A117" s="2" t="s">
        <v>502</v>
      </c>
      <c r="B117" s="2"/>
      <c r="C117" s="2" t="s">
        <v>171</v>
      </c>
      <c r="D117" s="2" t="s">
        <v>111</v>
      </c>
      <c r="E117" s="2" t="s">
        <v>112</v>
      </c>
      <c r="F117" s="2" t="s">
        <v>113</v>
      </c>
      <c r="G117" s="2" t="s">
        <v>252</v>
      </c>
      <c r="H117" s="2" t="s">
        <v>253</v>
      </c>
      <c r="I117" s="3">
        <v>120000</v>
      </c>
      <c r="J117" s="3">
        <v>120000</v>
      </c>
      <c r="K117" s="3">
        <v>0</v>
      </c>
      <c r="L117" s="2" t="s">
        <v>448</v>
      </c>
      <c r="M117" s="2" t="s">
        <v>254</v>
      </c>
    </row>
    <row r="118" ht="18" customHeight="1" spans="1:13">
      <c r="A118" s="2" t="s">
        <v>502</v>
      </c>
      <c r="B118" s="2"/>
      <c r="C118" s="2" t="s">
        <v>171</v>
      </c>
      <c r="D118" s="2" t="s">
        <v>111</v>
      </c>
      <c r="E118" s="2" t="s">
        <v>68</v>
      </c>
      <c r="F118" s="2" t="s">
        <v>69</v>
      </c>
      <c r="G118" s="2" t="s">
        <v>252</v>
      </c>
      <c r="H118" s="2" t="s">
        <v>242</v>
      </c>
      <c r="I118" s="3">
        <v>2400</v>
      </c>
      <c r="J118" s="3">
        <v>2400</v>
      </c>
      <c r="K118" s="3">
        <v>0</v>
      </c>
      <c r="L118" s="2" t="s">
        <v>448</v>
      </c>
      <c r="M118" s="2" t="s">
        <v>244</v>
      </c>
    </row>
    <row r="119" ht="18" customHeight="1" spans="1:13">
      <c r="A119" s="2" t="s">
        <v>501</v>
      </c>
      <c r="B119" s="2"/>
      <c r="C119" s="2" t="s">
        <v>171</v>
      </c>
      <c r="D119" s="2" t="s">
        <v>111</v>
      </c>
      <c r="E119" s="2" t="s">
        <v>66</v>
      </c>
      <c r="F119" s="2" t="s">
        <v>67</v>
      </c>
      <c r="G119" s="2" t="s">
        <v>252</v>
      </c>
      <c r="H119" s="2" t="s">
        <v>242</v>
      </c>
      <c r="I119" s="3">
        <v>384</v>
      </c>
      <c r="J119" s="3">
        <v>384</v>
      </c>
      <c r="K119" s="3">
        <v>0</v>
      </c>
      <c r="L119" s="2" t="s">
        <v>448</v>
      </c>
      <c r="M119" s="2" t="s">
        <v>243</v>
      </c>
    </row>
    <row r="120" ht="18" customHeight="1" spans="1:13">
      <c r="A120" s="2" t="s">
        <v>501</v>
      </c>
      <c r="B120" s="2"/>
      <c r="C120" s="2" t="s">
        <v>171</v>
      </c>
      <c r="D120" s="2" t="s">
        <v>111</v>
      </c>
      <c r="E120" s="2" t="s">
        <v>98</v>
      </c>
      <c r="F120" s="2" t="s">
        <v>98</v>
      </c>
      <c r="G120" s="2" t="s">
        <v>252</v>
      </c>
      <c r="H120" s="2" t="s">
        <v>242</v>
      </c>
      <c r="I120" s="3">
        <v>2400</v>
      </c>
      <c r="J120" s="3">
        <v>2400</v>
      </c>
      <c r="K120" s="3">
        <v>0</v>
      </c>
      <c r="L120" s="2" t="s">
        <v>448</v>
      </c>
      <c r="M120" s="2" t="s">
        <v>244</v>
      </c>
    </row>
    <row r="121" ht="18" customHeight="1" spans="1:13">
      <c r="A121" s="2" t="s">
        <v>501</v>
      </c>
      <c r="B121" s="2"/>
      <c r="C121" s="2" t="s">
        <v>171</v>
      </c>
      <c r="D121" s="2" t="s">
        <v>114</v>
      </c>
      <c r="E121" s="2" t="s">
        <v>66</v>
      </c>
      <c r="F121" s="2" t="s">
        <v>67</v>
      </c>
      <c r="G121" s="2" t="s">
        <v>258</v>
      </c>
      <c r="H121" s="2" t="s">
        <v>242</v>
      </c>
      <c r="I121" s="3">
        <v>384</v>
      </c>
      <c r="J121" s="3">
        <v>384</v>
      </c>
      <c r="K121" s="3">
        <v>0</v>
      </c>
      <c r="L121" s="2" t="s">
        <v>448</v>
      </c>
      <c r="M121" s="2" t="s">
        <v>243</v>
      </c>
    </row>
    <row r="122" ht="18" customHeight="1" spans="1:13">
      <c r="A122" s="2" t="s">
        <v>502</v>
      </c>
      <c r="B122" s="2"/>
      <c r="C122" s="2" t="s">
        <v>171</v>
      </c>
      <c r="D122" s="2" t="s">
        <v>114</v>
      </c>
      <c r="E122" s="2" t="s">
        <v>68</v>
      </c>
      <c r="F122" s="2" t="s">
        <v>69</v>
      </c>
      <c r="G122" s="2" t="s">
        <v>258</v>
      </c>
      <c r="H122" s="2" t="s">
        <v>242</v>
      </c>
      <c r="I122" s="3">
        <v>2400</v>
      </c>
      <c r="J122" s="3">
        <v>2400</v>
      </c>
      <c r="K122" s="3">
        <v>0</v>
      </c>
      <c r="L122" s="2" t="s">
        <v>448</v>
      </c>
      <c r="M122" s="2" t="s">
        <v>244</v>
      </c>
    </row>
    <row r="123" ht="18" customHeight="1" spans="1:13">
      <c r="A123" s="2" t="s">
        <v>502</v>
      </c>
      <c r="B123" s="2"/>
      <c r="C123" s="2" t="s">
        <v>171</v>
      </c>
      <c r="D123" s="2" t="s">
        <v>114</v>
      </c>
      <c r="E123" s="2" t="s">
        <v>115</v>
      </c>
      <c r="F123" s="2" t="s">
        <v>116</v>
      </c>
      <c r="G123" s="2" t="s">
        <v>258</v>
      </c>
      <c r="H123" s="2" t="s">
        <v>194</v>
      </c>
      <c r="I123" s="3">
        <v>3480</v>
      </c>
      <c r="J123" s="3">
        <v>3480</v>
      </c>
      <c r="K123" s="3">
        <v>0</v>
      </c>
      <c r="L123" s="2" t="s">
        <v>448</v>
      </c>
      <c r="M123" s="2" t="s">
        <v>259</v>
      </c>
    </row>
    <row r="124" ht="18" customHeight="1" spans="1:13">
      <c r="A124" s="2" t="s">
        <v>502</v>
      </c>
      <c r="B124" s="2"/>
      <c r="C124" s="2" t="s">
        <v>171</v>
      </c>
      <c r="D124" s="2" t="s">
        <v>114</v>
      </c>
      <c r="E124" s="2" t="s">
        <v>68</v>
      </c>
      <c r="F124" s="2" t="s">
        <v>69</v>
      </c>
      <c r="G124" s="2" t="s">
        <v>258</v>
      </c>
      <c r="H124" s="2" t="s">
        <v>242</v>
      </c>
      <c r="I124" s="3">
        <v>2400</v>
      </c>
      <c r="J124" s="3">
        <v>2400</v>
      </c>
      <c r="K124" s="3">
        <v>0</v>
      </c>
      <c r="L124" s="2" t="s">
        <v>448</v>
      </c>
      <c r="M124" s="2" t="s">
        <v>244</v>
      </c>
    </row>
    <row r="125" ht="36" customHeight="1" spans="1:13">
      <c r="A125" s="2" t="s">
        <v>501</v>
      </c>
      <c r="B125" s="2"/>
      <c r="C125" s="2" t="s">
        <v>171</v>
      </c>
      <c r="D125" s="2" t="s">
        <v>114</v>
      </c>
      <c r="E125" s="2" t="s">
        <v>66</v>
      </c>
      <c r="F125" s="2" t="s">
        <v>67</v>
      </c>
      <c r="G125" s="2" t="s">
        <v>258</v>
      </c>
      <c r="H125" s="2" t="s">
        <v>242</v>
      </c>
      <c r="I125" s="3">
        <v>384</v>
      </c>
      <c r="J125" s="3">
        <v>384</v>
      </c>
      <c r="K125" s="3">
        <v>0</v>
      </c>
      <c r="L125" s="2" t="s">
        <v>448</v>
      </c>
      <c r="M125" s="2" t="s">
        <v>243</v>
      </c>
    </row>
    <row r="126" ht="18" customHeight="1" spans="1:13">
      <c r="A126" s="2" t="s">
        <v>501</v>
      </c>
      <c r="B126" s="2"/>
      <c r="C126" s="2" t="s">
        <v>171</v>
      </c>
      <c r="D126" s="2" t="s">
        <v>114</v>
      </c>
      <c r="E126" s="2" t="s">
        <v>98</v>
      </c>
      <c r="F126" s="2" t="s">
        <v>98</v>
      </c>
      <c r="G126" s="2" t="s">
        <v>258</v>
      </c>
      <c r="H126" s="2" t="s">
        <v>242</v>
      </c>
      <c r="I126" s="3">
        <v>2400</v>
      </c>
      <c r="J126" s="3">
        <v>2400</v>
      </c>
      <c r="K126" s="3">
        <v>0</v>
      </c>
      <c r="L126" s="2" t="s">
        <v>448</v>
      </c>
      <c r="M126" s="2" t="s">
        <v>244</v>
      </c>
    </row>
    <row r="127" ht="18" customHeight="1" spans="1:13">
      <c r="A127" s="2" t="s">
        <v>502</v>
      </c>
      <c r="B127" s="2"/>
      <c r="C127" s="2" t="s">
        <v>171</v>
      </c>
      <c r="D127" s="2" t="s">
        <v>350</v>
      </c>
      <c r="E127" s="2" t="s">
        <v>68</v>
      </c>
      <c r="F127" s="2" t="s">
        <v>69</v>
      </c>
      <c r="G127" s="2" t="s">
        <v>262</v>
      </c>
      <c r="H127" s="2" t="s">
        <v>263</v>
      </c>
      <c r="I127" s="3">
        <v>3200</v>
      </c>
      <c r="J127" s="3">
        <v>3200</v>
      </c>
      <c r="K127" s="3">
        <v>0</v>
      </c>
      <c r="L127" s="2" t="s">
        <v>448</v>
      </c>
      <c r="M127" s="2" t="s">
        <v>264</v>
      </c>
    </row>
    <row r="128" ht="18" customHeight="1" spans="1:13">
      <c r="A128" s="2" t="s">
        <v>502</v>
      </c>
      <c r="B128" s="2"/>
      <c r="C128" s="2" t="s">
        <v>171</v>
      </c>
      <c r="D128" s="2" t="s">
        <v>350</v>
      </c>
      <c r="E128" s="2" t="s">
        <v>118</v>
      </c>
      <c r="F128" s="2" t="s">
        <v>119</v>
      </c>
      <c r="G128" s="2" t="s">
        <v>262</v>
      </c>
      <c r="H128" s="2" t="s">
        <v>265</v>
      </c>
      <c r="I128" s="3">
        <v>50850</v>
      </c>
      <c r="J128" s="3">
        <v>50850</v>
      </c>
      <c r="K128" s="3">
        <v>0</v>
      </c>
      <c r="L128" s="2" t="s">
        <v>448</v>
      </c>
      <c r="M128" s="2" t="s">
        <v>266</v>
      </c>
    </row>
    <row r="129" ht="18" customHeight="1" spans="1:13">
      <c r="A129" s="2" t="s">
        <v>502</v>
      </c>
      <c r="B129" s="2"/>
      <c r="C129" s="2" t="s">
        <v>171</v>
      </c>
      <c r="D129" s="2" t="s">
        <v>350</v>
      </c>
      <c r="E129" s="2" t="s">
        <v>68</v>
      </c>
      <c r="F129" s="2" t="s">
        <v>69</v>
      </c>
      <c r="G129" s="2" t="s">
        <v>262</v>
      </c>
      <c r="H129" s="2" t="s">
        <v>263</v>
      </c>
      <c r="I129" s="3">
        <v>3200</v>
      </c>
      <c r="J129" s="3">
        <v>3200</v>
      </c>
      <c r="K129" s="3">
        <v>0</v>
      </c>
      <c r="L129" s="2" t="s">
        <v>448</v>
      </c>
      <c r="M129" s="2" t="s">
        <v>264</v>
      </c>
    </row>
    <row r="130" ht="18" customHeight="1" spans="1:13">
      <c r="A130" s="2" t="s">
        <v>501</v>
      </c>
      <c r="B130" s="2"/>
      <c r="C130" s="2" t="s">
        <v>171</v>
      </c>
      <c r="D130" s="2" t="s">
        <v>350</v>
      </c>
      <c r="E130" s="2" t="s">
        <v>98</v>
      </c>
      <c r="F130" s="2" t="s">
        <v>98</v>
      </c>
      <c r="G130" s="2" t="s">
        <v>262</v>
      </c>
      <c r="H130" s="2" t="s">
        <v>263</v>
      </c>
      <c r="I130" s="3">
        <v>3200</v>
      </c>
      <c r="J130" s="3">
        <v>3200</v>
      </c>
      <c r="K130" s="3">
        <v>0</v>
      </c>
      <c r="L130" s="2" t="s">
        <v>448</v>
      </c>
      <c r="M130" s="2" t="s">
        <v>264</v>
      </c>
    </row>
    <row r="131" ht="36" customHeight="1" spans="1:13">
      <c r="A131" s="2" t="s">
        <v>502</v>
      </c>
      <c r="B131" s="2"/>
      <c r="C131" s="2" t="s">
        <v>171</v>
      </c>
      <c r="D131" s="2" t="s">
        <v>350</v>
      </c>
      <c r="E131" s="2" t="s">
        <v>121</v>
      </c>
      <c r="F131" s="2" t="s">
        <v>121</v>
      </c>
      <c r="G131" s="2" t="s">
        <v>262</v>
      </c>
      <c r="H131" s="2" t="s">
        <v>267</v>
      </c>
      <c r="I131" s="3">
        <v>21450</v>
      </c>
      <c r="J131" s="3">
        <v>21450</v>
      </c>
      <c r="K131" s="3">
        <v>0</v>
      </c>
      <c r="L131" s="2" t="s">
        <v>448</v>
      </c>
      <c r="M131" s="2" t="s">
        <v>270</v>
      </c>
    </row>
    <row r="132" ht="36" customHeight="1" spans="1:13">
      <c r="A132" s="2" t="s">
        <v>502</v>
      </c>
      <c r="B132" s="2"/>
      <c r="C132" s="2" t="s">
        <v>171</v>
      </c>
      <c r="D132" s="2" t="s">
        <v>354</v>
      </c>
      <c r="E132" s="2" t="s">
        <v>68</v>
      </c>
      <c r="F132" s="2" t="s">
        <v>69</v>
      </c>
      <c r="G132" s="2" t="s">
        <v>274</v>
      </c>
      <c r="H132" s="2" t="s">
        <v>242</v>
      </c>
      <c r="I132" s="3">
        <v>2400</v>
      </c>
      <c r="J132" s="3">
        <v>2400</v>
      </c>
      <c r="K132" s="3">
        <v>0</v>
      </c>
      <c r="L132" s="2" t="s">
        <v>448</v>
      </c>
      <c r="M132" s="2" t="s">
        <v>244</v>
      </c>
    </row>
    <row r="133" ht="18" customHeight="1" spans="1:13">
      <c r="A133" s="2" t="s">
        <v>502</v>
      </c>
      <c r="B133" s="2"/>
      <c r="C133" s="2" t="s">
        <v>171</v>
      </c>
      <c r="D133" s="2" t="s">
        <v>354</v>
      </c>
      <c r="E133" s="2" t="s">
        <v>123</v>
      </c>
      <c r="F133" s="2" t="s">
        <v>124</v>
      </c>
      <c r="G133" s="2" t="s">
        <v>274</v>
      </c>
      <c r="H133" s="2" t="s">
        <v>199</v>
      </c>
      <c r="I133" s="3">
        <v>5000</v>
      </c>
      <c r="J133" s="3">
        <v>5000</v>
      </c>
      <c r="K133" s="3">
        <v>0</v>
      </c>
      <c r="L133" s="2" t="s">
        <v>448</v>
      </c>
      <c r="M133" s="2" t="s">
        <v>202</v>
      </c>
    </row>
    <row r="134" ht="36" customHeight="1" spans="1:13">
      <c r="A134" s="2" t="s">
        <v>502</v>
      </c>
      <c r="B134" s="2"/>
      <c r="C134" s="2" t="s">
        <v>171</v>
      </c>
      <c r="D134" s="2" t="s">
        <v>354</v>
      </c>
      <c r="E134" s="2" t="s">
        <v>68</v>
      </c>
      <c r="F134" s="2" t="s">
        <v>69</v>
      </c>
      <c r="G134" s="2" t="s">
        <v>274</v>
      </c>
      <c r="H134" s="2" t="s">
        <v>242</v>
      </c>
      <c r="I134" s="3">
        <v>2400</v>
      </c>
      <c r="J134" s="3">
        <v>2400</v>
      </c>
      <c r="K134" s="3">
        <v>0</v>
      </c>
      <c r="L134" s="2" t="s">
        <v>448</v>
      </c>
      <c r="M134" s="2" t="s">
        <v>244</v>
      </c>
    </row>
    <row r="135" ht="36" customHeight="1" spans="1:13">
      <c r="A135" s="2" t="s">
        <v>501</v>
      </c>
      <c r="B135" s="2"/>
      <c r="C135" s="2" t="s">
        <v>171</v>
      </c>
      <c r="D135" s="2" t="s">
        <v>354</v>
      </c>
      <c r="E135" s="2" t="s">
        <v>98</v>
      </c>
      <c r="F135" s="2" t="s">
        <v>98</v>
      </c>
      <c r="G135" s="2" t="s">
        <v>274</v>
      </c>
      <c r="H135" s="2" t="s">
        <v>242</v>
      </c>
      <c r="I135" s="3">
        <v>2400</v>
      </c>
      <c r="J135" s="3">
        <v>2400</v>
      </c>
      <c r="K135" s="3">
        <v>0</v>
      </c>
      <c r="L135" s="2" t="s">
        <v>448</v>
      </c>
      <c r="M135" s="2" t="s">
        <v>244</v>
      </c>
    </row>
    <row r="136" ht="36" customHeight="1" spans="1:13">
      <c r="A136" s="2" t="s">
        <v>501</v>
      </c>
      <c r="B136" s="2"/>
      <c r="C136" s="2" t="s">
        <v>171</v>
      </c>
      <c r="D136" s="2" t="s">
        <v>126</v>
      </c>
      <c r="E136" s="2" t="s">
        <v>66</v>
      </c>
      <c r="F136" s="2" t="s">
        <v>67</v>
      </c>
      <c r="G136" s="2" t="s">
        <v>277</v>
      </c>
      <c r="H136" s="2" t="s">
        <v>242</v>
      </c>
      <c r="I136" s="3">
        <v>384</v>
      </c>
      <c r="J136" s="3">
        <v>384</v>
      </c>
      <c r="K136" s="3">
        <v>0</v>
      </c>
      <c r="L136" s="2" t="s">
        <v>448</v>
      </c>
      <c r="M136" s="2" t="s">
        <v>243</v>
      </c>
    </row>
    <row r="137" ht="18" customHeight="1" spans="1:13">
      <c r="A137" s="2" t="s">
        <v>502</v>
      </c>
      <c r="B137" s="2"/>
      <c r="C137" s="2" t="s">
        <v>171</v>
      </c>
      <c r="D137" s="2" t="s">
        <v>126</v>
      </c>
      <c r="E137" s="2" t="s">
        <v>68</v>
      </c>
      <c r="F137" s="2" t="s">
        <v>69</v>
      </c>
      <c r="G137" s="2" t="s">
        <v>277</v>
      </c>
      <c r="H137" s="2" t="s">
        <v>242</v>
      </c>
      <c r="I137" s="3">
        <v>2400</v>
      </c>
      <c r="J137" s="3">
        <v>2400</v>
      </c>
      <c r="K137" s="3">
        <v>0</v>
      </c>
      <c r="L137" s="2" t="s">
        <v>448</v>
      </c>
      <c r="M137" s="2" t="s">
        <v>244</v>
      </c>
    </row>
    <row r="138" ht="36" customHeight="1" spans="1:13">
      <c r="A138" s="2" t="s">
        <v>502</v>
      </c>
      <c r="B138" s="2"/>
      <c r="C138" s="2" t="s">
        <v>171</v>
      </c>
      <c r="D138" s="2" t="s">
        <v>126</v>
      </c>
      <c r="E138" s="2" t="s">
        <v>127</v>
      </c>
      <c r="F138" s="2" t="s">
        <v>128</v>
      </c>
      <c r="G138" s="2" t="s">
        <v>277</v>
      </c>
      <c r="H138" s="2" t="s">
        <v>253</v>
      </c>
      <c r="I138" s="3">
        <v>23000</v>
      </c>
      <c r="J138" s="3">
        <v>23000</v>
      </c>
      <c r="K138" s="3">
        <v>0</v>
      </c>
      <c r="L138" s="2" t="s">
        <v>448</v>
      </c>
      <c r="M138" s="2" t="s">
        <v>278</v>
      </c>
    </row>
    <row r="139" ht="18" customHeight="1" spans="1:13">
      <c r="A139" s="2" t="s">
        <v>502</v>
      </c>
      <c r="B139" s="2"/>
      <c r="C139" s="2" t="s">
        <v>171</v>
      </c>
      <c r="D139" s="2" t="s">
        <v>126</v>
      </c>
      <c r="E139" s="2" t="s">
        <v>68</v>
      </c>
      <c r="F139" s="2" t="s">
        <v>69</v>
      </c>
      <c r="G139" s="2" t="s">
        <v>277</v>
      </c>
      <c r="H139" s="2" t="s">
        <v>242</v>
      </c>
      <c r="I139" s="3">
        <v>2400</v>
      </c>
      <c r="J139" s="3">
        <v>2400</v>
      </c>
      <c r="K139" s="3">
        <v>0</v>
      </c>
      <c r="L139" s="2" t="s">
        <v>448</v>
      </c>
      <c r="M139" s="2" t="s">
        <v>244</v>
      </c>
    </row>
    <row r="140" ht="18" customHeight="1" spans="1:13">
      <c r="A140" s="2" t="s">
        <v>501</v>
      </c>
      <c r="B140" s="2"/>
      <c r="C140" s="2" t="s">
        <v>171</v>
      </c>
      <c r="D140" s="2" t="s">
        <v>126</v>
      </c>
      <c r="E140" s="2" t="s">
        <v>66</v>
      </c>
      <c r="F140" s="2" t="s">
        <v>67</v>
      </c>
      <c r="G140" s="2" t="s">
        <v>277</v>
      </c>
      <c r="H140" s="2" t="s">
        <v>242</v>
      </c>
      <c r="I140" s="3">
        <v>384</v>
      </c>
      <c r="J140" s="3">
        <v>384</v>
      </c>
      <c r="K140" s="3">
        <v>0</v>
      </c>
      <c r="L140" s="2" t="s">
        <v>448</v>
      </c>
      <c r="M140" s="2" t="s">
        <v>243</v>
      </c>
    </row>
    <row r="141" ht="18" customHeight="1" spans="1:13">
      <c r="A141" s="2" t="s">
        <v>501</v>
      </c>
      <c r="B141" s="2"/>
      <c r="C141" s="2" t="s">
        <v>171</v>
      </c>
      <c r="D141" s="2" t="s">
        <v>126</v>
      </c>
      <c r="E141" s="2" t="s">
        <v>98</v>
      </c>
      <c r="F141" s="2" t="s">
        <v>98</v>
      </c>
      <c r="G141" s="2" t="s">
        <v>277</v>
      </c>
      <c r="H141" s="2" t="s">
        <v>242</v>
      </c>
      <c r="I141" s="3">
        <v>2400</v>
      </c>
      <c r="J141" s="3">
        <v>2400</v>
      </c>
      <c r="K141" s="3">
        <v>0</v>
      </c>
      <c r="L141" s="2" t="s">
        <v>448</v>
      </c>
      <c r="M141" s="2" t="s">
        <v>244</v>
      </c>
    </row>
    <row r="142" ht="36" customHeight="1" spans="1:13">
      <c r="A142" s="2" t="s">
        <v>501</v>
      </c>
      <c r="B142" s="2"/>
      <c r="C142" s="2" t="s">
        <v>171</v>
      </c>
      <c r="D142" s="2" t="s">
        <v>129</v>
      </c>
      <c r="E142" s="2" t="s">
        <v>66</v>
      </c>
      <c r="F142" s="2" t="s">
        <v>67</v>
      </c>
      <c r="G142" s="2" t="s">
        <v>281</v>
      </c>
      <c r="H142" s="2" t="s">
        <v>242</v>
      </c>
      <c r="I142" s="3">
        <v>384</v>
      </c>
      <c r="J142" s="3">
        <v>384</v>
      </c>
      <c r="K142" s="3">
        <v>0</v>
      </c>
      <c r="L142" s="2" t="s">
        <v>448</v>
      </c>
      <c r="M142" s="2" t="s">
        <v>243</v>
      </c>
    </row>
    <row r="143" ht="36" customHeight="1" spans="1:13">
      <c r="A143" s="2" t="s">
        <v>502</v>
      </c>
      <c r="B143" s="2"/>
      <c r="C143" s="2" t="s">
        <v>171</v>
      </c>
      <c r="D143" s="2" t="s">
        <v>129</v>
      </c>
      <c r="E143" s="2" t="s">
        <v>68</v>
      </c>
      <c r="F143" s="2" t="s">
        <v>69</v>
      </c>
      <c r="G143" s="2" t="s">
        <v>281</v>
      </c>
      <c r="H143" s="2" t="s">
        <v>242</v>
      </c>
      <c r="I143" s="3">
        <v>2400</v>
      </c>
      <c r="J143" s="3">
        <v>2400</v>
      </c>
      <c r="K143" s="3">
        <v>0</v>
      </c>
      <c r="L143" s="2" t="s">
        <v>448</v>
      </c>
      <c r="M143" s="2" t="s">
        <v>244</v>
      </c>
    </row>
    <row r="144" ht="36" customHeight="1" spans="1:13">
      <c r="A144" s="2" t="s">
        <v>502</v>
      </c>
      <c r="B144" s="2"/>
      <c r="C144" s="2" t="s">
        <v>171</v>
      </c>
      <c r="D144" s="2" t="s">
        <v>129</v>
      </c>
      <c r="E144" s="2" t="s">
        <v>130</v>
      </c>
      <c r="F144" s="2" t="s">
        <v>131</v>
      </c>
      <c r="G144" s="2" t="s">
        <v>281</v>
      </c>
      <c r="H144" s="2" t="s">
        <v>253</v>
      </c>
      <c r="I144" s="3">
        <v>23000</v>
      </c>
      <c r="J144" s="3">
        <v>23000</v>
      </c>
      <c r="K144" s="3">
        <v>0</v>
      </c>
      <c r="L144" s="2" t="s">
        <v>448</v>
      </c>
      <c r="M144" s="2" t="s">
        <v>278</v>
      </c>
    </row>
    <row r="145" ht="36" customHeight="1" spans="1:13">
      <c r="A145" s="2" t="s">
        <v>502</v>
      </c>
      <c r="B145" s="2"/>
      <c r="C145" s="2" t="s">
        <v>171</v>
      </c>
      <c r="D145" s="2" t="s">
        <v>129</v>
      </c>
      <c r="E145" s="2" t="s">
        <v>68</v>
      </c>
      <c r="F145" s="2" t="s">
        <v>69</v>
      </c>
      <c r="G145" s="2" t="s">
        <v>281</v>
      </c>
      <c r="H145" s="2" t="s">
        <v>242</v>
      </c>
      <c r="I145" s="3">
        <v>2400</v>
      </c>
      <c r="J145" s="3">
        <v>2400</v>
      </c>
      <c r="K145" s="3">
        <v>0</v>
      </c>
      <c r="L145" s="2" t="s">
        <v>448</v>
      </c>
      <c r="M145" s="2" t="s">
        <v>244</v>
      </c>
    </row>
    <row r="146" ht="36" customHeight="1" spans="1:13">
      <c r="A146" s="2" t="s">
        <v>501</v>
      </c>
      <c r="B146" s="2"/>
      <c r="C146" s="2" t="s">
        <v>171</v>
      </c>
      <c r="D146" s="2" t="s">
        <v>129</v>
      </c>
      <c r="E146" s="2" t="s">
        <v>98</v>
      </c>
      <c r="F146" s="2" t="s">
        <v>98</v>
      </c>
      <c r="G146" s="2" t="s">
        <v>281</v>
      </c>
      <c r="H146" s="2" t="s">
        <v>242</v>
      </c>
      <c r="I146" s="3">
        <v>2400</v>
      </c>
      <c r="J146" s="3">
        <v>2400</v>
      </c>
      <c r="K146" s="3">
        <v>0</v>
      </c>
      <c r="L146" s="2" t="s">
        <v>448</v>
      </c>
      <c r="M146" s="2" t="s">
        <v>244</v>
      </c>
    </row>
    <row r="147" ht="36" customHeight="1" spans="1:13">
      <c r="A147" s="2" t="s">
        <v>501</v>
      </c>
      <c r="B147" s="2"/>
      <c r="C147" s="2" t="s">
        <v>171</v>
      </c>
      <c r="D147" s="2" t="s">
        <v>132</v>
      </c>
      <c r="E147" s="2" t="s">
        <v>66</v>
      </c>
      <c r="F147" s="2" t="s">
        <v>67</v>
      </c>
      <c r="G147" s="2" t="s">
        <v>284</v>
      </c>
      <c r="H147" s="2" t="s">
        <v>242</v>
      </c>
      <c r="I147" s="3">
        <v>384</v>
      </c>
      <c r="J147" s="3">
        <v>384</v>
      </c>
      <c r="K147" s="3">
        <v>0</v>
      </c>
      <c r="L147" s="2" t="s">
        <v>448</v>
      </c>
      <c r="M147" s="2" t="s">
        <v>243</v>
      </c>
    </row>
    <row r="148" ht="36" customHeight="1" spans="1:13">
      <c r="A148" s="2" t="s">
        <v>502</v>
      </c>
      <c r="B148" s="2"/>
      <c r="C148" s="2" t="s">
        <v>171</v>
      </c>
      <c r="D148" s="2" t="s">
        <v>132</v>
      </c>
      <c r="E148" s="2" t="s">
        <v>68</v>
      </c>
      <c r="F148" s="2" t="s">
        <v>69</v>
      </c>
      <c r="G148" s="2" t="s">
        <v>284</v>
      </c>
      <c r="H148" s="2" t="s">
        <v>242</v>
      </c>
      <c r="I148" s="3">
        <v>2400</v>
      </c>
      <c r="J148" s="3">
        <v>2400</v>
      </c>
      <c r="K148" s="3">
        <v>0</v>
      </c>
      <c r="L148" s="2" t="s">
        <v>448</v>
      </c>
      <c r="M148" s="2" t="s">
        <v>244</v>
      </c>
    </row>
    <row r="149" ht="36" customHeight="1" spans="1:13">
      <c r="A149" s="2" t="s">
        <v>502</v>
      </c>
      <c r="B149" s="2"/>
      <c r="C149" s="2" t="s">
        <v>171</v>
      </c>
      <c r="D149" s="2" t="s">
        <v>132</v>
      </c>
      <c r="E149" s="2" t="s">
        <v>130</v>
      </c>
      <c r="F149" s="2" t="s">
        <v>133</v>
      </c>
      <c r="G149" s="2" t="s">
        <v>284</v>
      </c>
      <c r="H149" s="2" t="s">
        <v>285</v>
      </c>
      <c r="I149" s="3">
        <v>25300</v>
      </c>
      <c r="J149" s="3">
        <v>25300</v>
      </c>
      <c r="K149" s="3">
        <v>0</v>
      </c>
      <c r="L149" s="2" t="s">
        <v>448</v>
      </c>
      <c r="M149" s="2" t="s">
        <v>286</v>
      </c>
    </row>
    <row r="150" ht="18" customHeight="1" spans="1:13">
      <c r="A150" s="2" t="s">
        <v>502</v>
      </c>
      <c r="B150" s="2"/>
      <c r="C150" s="2" t="s">
        <v>171</v>
      </c>
      <c r="D150" s="2" t="s">
        <v>132</v>
      </c>
      <c r="E150" s="2" t="s">
        <v>68</v>
      </c>
      <c r="F150" s="2" t="s">
        <v>69</v>
      </c>
      <c r="G150" s="2" t="s">
        <v>284</v>
      </c>
      <c r="H150" s="2" t="s">
        <v>242</v>
      </c>
      <c r="I150" s="3">
        <v>2400</v>
      </c>
      <c r="J150" s="3">
        <v>2400</v>
      </c>
      <c r="K150" s="3">
        <v>0</v>
      </c>
      <c r="L150" s="2" t="s">
        <v>448</v>
      </c>
      <c r="M150" s="2" t="s">
        <v>244</v>
      </c>
    </row>
    <row r="151" ht="36" customHeight="1" spans="1:13">
      <c r="A151" s="2" t="s">
        <v>501</v>
      </c>
      <c r="B151" s="2"/>
      <c r="C151" s="2" t="s">
        <v>171</v>
      </c>
      <c r="D151" s="2" t="s">
        <v>132</v>
      </c>
      <c r="E151" s="2" t="s">
        <v>66</v>
      </c>
      <c r="F151" s="2" t="s">
        <v>67</v>
      </c>
      <c r="G151" s="2" t="s">
        <v>284</v>
      </c>
      <c r="H151" s="2" t="s">
        <v>242</v>
      </c>
      <c r="I151" s="3">
        <v>384</v>
      </c>
      <c r="J151" s="3">
        <v>384</v>
      </c>
      <c r="K151" s="3">
        <v>0</v>
      </c>
      <c r="L151" s="2" t="s">
        <v>448</v>
      </c>
      <c r="M151" s="2" t="s">
        <v>243</v>
      </c>
    </row>
    <row r="152" ht="53" customHeight="1" spans="1:13">
      <c r="A152" s="2" t="s">
        <v>501</v>
      </c>
      <c r="B152" s="2"/>
      <c r="C152" s="2" t="s">
        <v>171</v>
      </c>
      <c r="D152" s="2" t="s">
        <v>132</v>
      </c>
      <c r="E152" s="2" t="s">
        <v>98</v>
      </c>
      <c r="F152" s="2" t="s">
        <v>98</v>
      </c>
      <c r="G152" s="2" t="s">
        <v>284</v>
      </c>
      <c r="H152" s="2" t="s">
        <v>242</v>
      </c>
      <c r="I152" s="3">
        <v>2400</v>
      </c>
      <c r="J152" s="3">
        <v>2400</v>
      </c>
      <c r="K152" s="3">
        <v>0</v>
      </c>
      <c r="L152" s="2" t="s">
        <v>448</v>
      </c>
      <c r="M152" s="2" t="s">
        <v>244</v>
      </c>
    </row>
    <row r="153" ht="36" customHeight="1" spans="1:13">
      <c r="A153" s="2" t="s">
        <v>501</v>
      </c>
      <c r="B153" s="2"/>
      <c r="C153" s="2" t="s">
        <v>171</v>
      </c>
      <c r="D153" s="2" t="s">
        <v>361</v>
      </c>
      <c r="E153" s="2" t="s">
        <v>66</v>
      </c>
      <c r="F153" s="2" t="s">
        <v>67</v>
      </c>
      <c r="G153" s="2" t="s">
        <v>314</v>
      </c>
      <c r="H153" s="2" t="s">
        <v>315</v>
      </c>
      <c r="I153" s="3">
        <v>750</v>
      </c>
      <c r="J153" s="3">
        <v>750</v>
      </c>
      <c r="K153" s="3">
        <v>0</v>
      </c>
      <c r="L153" s="2" t="s">
        <v>448</v>
      </c>
      <c r="M153" s="2" t="s">
        <v>316</v>
      </c>
    </row>
    <row r="154" ht="36" customHeight="1" spans="1:13">
      <c r="A154" s="2" t="s">
        <v>502</v>
      </c>
      <c r="B154" s="2"/>
      <c r="C154" s="2" t="s">
        <v>171</v>
      </c>
      <c r="D154" s="2" t="s">
        <v>361</v>
      </c>
      <c r="E154" s="2" t="s">
        <v>68</v>
      </c>
      <c r="F154" s="2" t="s">
        <v>69</v>
      </c>
      <c r="G154" s="2" t="s">
        <v>314</v>
      </c>
      <c r="H154" s="2" t="s">
        <v>242</v>
      </c>
      <c r="I154" s="3">
        <v>2400</v>
      </c>
      <c r="J154" s="3">
        <v>2400</v>
      </c>
      <c r="K154" s="3">
        <v>0</v>
      </c>
      <c r="L154" s="2" t="s">
        <v>448</v>
      </c>
      <c r="M154" s="2" t="s">
        <v>244</v>
      </c>
    </row>
    <row r="155" ht="36" customHeight="1" spans="1:13">
      <c r="A155" s="2" t="s">
        <v>502</v>
      </c>
      <c r="B155" s="2"/>
      <c r="C155" s="2" t="s">
        <v>171</v>
      </c>
      <c r="D155" s="2" t="s">
        <v>361</v>
      </c>
      <c r="E155" s="2" t="s">
        <v>139</v>
      </c>
      <c r="F155" s="2" t="s">
        <v>140</v>
      </c>
      <c r="G155" s="2" t="s">
        <v>314</v>
      </c>
      <c r="H155" s="2" t="s">
        <v>318</v>
      </c>
      <c r="I155" s="3">
        <v>6400</v>
      </c>
      <c r="J155" s="3">
        <v>6400</v>
      </c>
      <c r="K155" s="3">
        <v>0</v>
      </c>
      <c r="L155" s="2" t="s">
        <v>448</v>
      </c>
      <c r="M155" s="2" t="s">
        <v>319</v>
      </c>
    </row>
    <row r="156" ht="36" customHeight="1" spans="1:13">
      <c r="A156" s="2" t="s">
        <v>502</v>
      </c>
      <c r="B156" s="2"/>
      <c r="C156" s="2" t="s">
        <v>171</v>
      </c>
      <c r="D156" s="2" t="s">
        <v>361</v>
      </c>
      <c r="E156" s="2" t="s">
        <v>139</v>
      </c>
      <c r="F156" s="2" t="s">
        <v>143</v>
      </c>
      <c r="G156" s="2" t="s">
        <v>314</v>
      </c>
      <c r="H156" s="2" t="s">
        <v>318</v>
      </c>
      <c r="I156" s="3">
        <v>6400</v>
      </c>
      <c r="J156" s="3">
        <v>6400</v>
      </c>
      <c r="K156" s="3">
        <v>0</v>
      </c>
      <c r="L156" s="2" t="s">
        <v>448</v>
      </c>
      <c r="M156" s="2" t="s">
        <v>319</v>
      </c>
    </row>
    <row r="157" ht="36" customHeight="1" spans="1:13">
      <c r="A157" s="2" t="s">
        <v>502</v>
      </c>
      <c r="B157" s="2"/>
      <c r="C157" s="2" t="s">
        <v>171</v>
      </c>
      <c r="D157" s="2" t="s">
        <v>361</v>
      </c>
      <c r="E157" s="2" t="s">
        <v>139</v>
      </c>
      <c r="F157" s="2" t="s">
        <v>144</v>
      </c>
      <c r="G157" s="2" t="s">
        <v>314</v>
      </c>
      <c r="H157" s="2" t="s">
        <v>318</v>
      </c>
      <c r="I157" s="3">
        <v>6400</v>
      </c>
      <c r="J157" s="3">
        <v>6400</v>
      </c>
      <c r="K157" s="3">
        <v>0</v>
      </c>
      <c r="L157" s="2" t="s">
        <v>448</v>
      </c>
      <c r="M157" s="2" t="s">
        <v>319</v>
      </c>
    </row>
    <row r="158" ht="36" customHeight="1" spans="1:13">
      <c r="A158" s="2" t="s">
        <v>502</v>
      </c>
      <c r="B158" s="2"/>
      <c r="C158" s="2" t="s">
        <v>171</v>
      </c>
      <c r="D158" s="2" t="s">
        <v>361</v>
      </c>
      <c r="E158" s="2" t="s">
        <v>139</v>
      </c>
      <c r="F158" s="2" t="s">
        <v>145</v>
      </c>
      <c r="G158" s="2" t="s">
        <v>314</v>
      </c>
      <c r="H158" s="2" t="s">
        <v>318</v>
      </c>
      <c r="I158" s="3">
        <v>6400</v>
      </c>
      <c r="J158" s="3">
        <v>6400</v>
      </c>
      <c r="K158" s="3">
        <v>0</v>
      </c>
      <c r="L158" s="2" t="s">
        <v>448</v>
      </c>
      <c r="M158" s="2" t="s">
        <v>319</v>
      </c>
    </row>
    <row r="159" ht="36" customHeight="1" spans="1:13">
      <c r="A159" s="2" t="s">
        <v>502</v>
      </c>
      <c r="B159" s="2"/>
      <c r="C159" s="2" t="s">
        <v>171</v>
      </c>
      <c r="D159" s="2" t="s">
        <v>361</v>
      </c>
      <c r="E159" s="2" t="s">
        <v>139</v>
      </c>
      <c r="F159" s="2" t="s">
        <v>146</v>
      </c>
      <c r="G159" s="2" t="s">
        <v>314</v>
      </c>
      <c r="H159" s="2" t="s">
        <v>318</v>
      </c>
      <c r="I159" s="3">
        <v>6400</v>
      </c>
      <c r="J159" s="3">
        <v>6400</v>
      </c>
      <c r="K159" s="3">
        <v>0</v>
      </c>
      <c r="L159" s="2" t="s">
        <v>448</v>
      </c>
      <c r="M159" s="2" t="s">
        <v>319</v>
      </c>
    </row>
    <row r="160" ht="36" customHeight="1" spans="1:13">
      <c r="A160" s="2" t="s">
        <v>502</v>
      </c>
      <c r="B160" s="2"/>
      <c r="C160" s="2" t="s">
        <v>171</v>
      </c>
      <c r="D160" s="2" t="s">
        <v>361</v>
      </c>
      <c r="E160" s="2" t="s">
        <v>68</v>
      </c>
      <c r="F160" s="2" t="s">
        <v>69</v>
      </c>
      <c r="G160" s="2" t="s">
        <v>314</v>
      </c>
      <c r="H160" s="2" t="s">
        <v>242</v>
      </c>
      <c r="I160" s="3">
        <v>2400</v>
      </c>
      <c r="J160" s="3">
        <v>2400</v>
      </c>
      <c r="K160" s="3">
        <v>0</v>
      </c>
      <c r="L160" s="2" t="s">
        <v>448</v>
      </c>
      <c r="M160" s="2" t="s">
        <v>244</v>
      </c>
    </row>
    <row r="161" ht="36" customHeight="1" spans="1:13">
      <c r="A161" s="2" t="s">
        <v>501</v>
      </c>
      <c r="B161" s="2"/>
      <c r="C161" s="2" t="s">
        <v>171</v>
      </c>
      <c r="D161" s="2" t="s">
        <v>361</v>
      </c>
      <c r="E161" s="2" t="s">
        <v>66</v>
      </c>
      <c r="F161" s="2" t="s">
        <v>67</v>
      </c>
      <c r="G161" s="2" t="s">
        <v>314</v>
      </c>
      <c r="H161" s="2" t="s">
        <v>315</v>
      </c>
      <c r="I161" s="3">
        <v>750</v>
      </c>
      <c r="J161" s="3">
        <v>750</v>
      </c>
      <c r="K161" s="3">
        <v>0</v>
      </c>
      <c r="L161" s="2" t="s">
        <v>448</v>
      </c>
      <c r="M161" s="2" t="s">
        <v>316</v>
      </c>
    </row>
    <row r="162" ht="36" customHeight="1" spans="1:13">
      <c r="A162" s="2" t="s">
        <v>501</v>
      </c>
      <c r="B162" s="2"/>
      <c r="C162" s="2" t="s">
        <v>171</v>
      </c>
      <c r="D162" s="2" t="s">
        <v>361</v>
      </c>
      <c r="E162" s="2" t="s">
        <v>98</v>
      </c>
      <c r="F162" s="2" t="s">
        <v>98</v>
      </c>
      <c r="G162" s="2" t="s">
        <v>314</v>
      </c>
      <c r="H162" s="2" t="s">
        <v>315</v>
      </c>
      <c r="I162" s="3">
        <v>6000</v>
      </c>
      <c r="J162" s="3">
        <v>6000</v>
      </c>
      <c r="K162" s="3">
        <v>0</v>
      </c>
      <c r="L162" s="2" t="s">
        <v>448</v>
      </c>
      <c r="M162" s="2" t="s">
        <v>320</v>
      </c>
    </row>
    <row r="163" ht="36" customHeight="1" spans="1:13">
      <c r="A163" s="2" t="s">
        <v>502</v>
      </c>
      <c r="B163" s="2"/>
      <c r="C163" s="2" t="s">
        <v>171</v>
      </c>
      <c r="D163" s="2" t="s">
        <v>480</v>
      </c>
      <c r="E163" s="2" t="s">
        <v>136</v>
      </c>
      <c r="F163" s="2" t="s">
        <v>137</v>
      </c>
      <c r="G163" s="2" t="s">
        <v>504</v>
      </c>
      <c r="H163" s="2" t="s">
        <v>289</v>
      </c>
      <c r="I163" s="3">
        <v>20000</v>
      </c>
      <c r="J163" s="3">
        <v>20000</v>
      </c>
      <c r="K163" s="3">
        <v>0</v>
      </c>
      <c r="L163" s="2" t="s">
        <v>448</v>
      </c>
      <c r="M163" s="2" t="s">
        <v>292</v>
      </c>
    </row>
    <row r="164" ht="36" customHeight="1" spans="1:13">
      <c r="A164" s="2" t="s">
        <v>502</v>
      </c>
      <c r="B164" s="2"/>
      <c r="C164" s="2" t="s">
        <v>171</v>
      </c>
      <c r="D164" s="2" t="s">
        <v>358</v>
      </c>
      <c r="E164" s="2" t="s">
        <v>141</v>
      </c>
      <c r="F164" s="2" t="s">
        <v>142</v>
      </c>
      <c r="G164" s="2" t="s">
        <v>322</v>
      </c>
      <c r="H164" s="2" t="s">
        <v>297</v>
      </c>
      <c r="I164" s="3">
        <v>42500</v>
      </c>
      <c r="J164" s="3">
        <v>42500</v>
      </c>
      <c r="K164" s="3">
        <v>0</v>
      </c>
      <c r="L164" s="2" t="s">
        <v>448</v>
      </c>
      <c r="M164" s="2" t="s">
        <v>298</v>
      </c>
    </row>
    <row r="165" ht="36" customHeight="1" spans="1:13">
      <c r="A165" s="2" t="s">
        <v>505</v>
      </c>
      <c r="B165" s="2"/>
      <c r="C165" s="2" t="s">
        <v>168</v>
      </c>
      <c r="D165" s="2" t="s">
        <v>506</v>
      </c>
      <c r="E165" s="2" t="s">
        <v>507</v>
      </c>
      <c r="F165" s="2" t="s">
        <v>507</v>
      </c>
      <c r="G165" s="2"/>
      <c r="H165" s="2" t="s">
        <v>508</v>
      </c>
      <c r="I165" s="3">
        <v>12000</v>
      </c>
      <c r="J165" s="3">
        <v>12000</v>
      </c>
      <c r="K165" s="3">
        <v>0</v>
      </c>
      <c r="L165" s="2" t="s">
        <v>448</v>
      </c>
      <c r="M165" s="2" t="s">
        <v>509</v>
      </c>
    </row>
    <row r="166" ht="18" customHeight="1" spans="1:13">
      <c r="A166" s="2" t="s">
        <v>505</v>
      </c>
      <c r="B166" s="2"/>
      <c r="C166" s="2" t="s">
        <v>168</v>
      </c>
      <c r="D166" s="2" t="s">
        <v>506</v>
      </c>
      <c r="E166" s="2" t="s">
        <v>510</v>
      </c>
      <c r="F166" s="2" t="s">
        <v>510</v>
      </c>
      <c r="G166" s="2"/>
      <c r="H166" s="2" t="s">
        <v>511</v>
      </c>
      <c r="I166" s="3">
        <v>1800</v>
      </c>
      <c r="J166" s="3">
        <v>1800</v>
      </c>
      <c r="K166" s="3">
        <v>0</v>
      </c>
      <c r="L166" s="2" t="s">
        <v>448</v>
      </c>
      <c r="M166" s="2" t="s">
        <v>512</v>
      </c>
    </row>
    <row r="167" ht="36" customHeight="1" spans="1:13">
      <c r="A167" s="2" t="s">
        <v>505</v>
      </c>
      <c r="B167" s="2"/>
      <c r="C167" s="2" t="s">
        <v>171</v>
      </c>
      <c r="D167" s="2" t="s">
        <v>506</v>
      </c>
      <c r="E167" s="2" t="s">
        <v>507</v>
      </c>
      <c r="F167" s="2" t="s">
        <v>507</v>
      </c>
      <c r="G167" s="2"/>
      <c r="H167" s="2" t="s">
        <v>508</v>
      </c>
      <c r="I167" s="3">
        <v>12000</v>
      </c>
      <c r="J167" s="3">
        <v>12000</v>
      </c>
      <c r="K167" s="3">
        <v>0</v>
      </c>
      <c r="L167" s="2" t="s">
        <v>448</v>
      </c>
      <c r="M167" s="2" t="s">
        <v>509</v>
      </c>
    </row>
    <row r="168" ht="36" customHeight="1" spans="1:13">
      <c r="A168" s="2" t="s">
        <v>505</v>
      </c>
      <c r="B168" s="2"/>
      <c r="C168" s="2" t="s">
        <v>171</v>
      </c>
      <c r="D168" s="2" t="s">
        <v>506</v>
      </c>
      <c r="E168" s="2" t="s">
        <v>510</v>
      </c>
      <c r="F168" s="2" t="s">
        <v>510</v>
      </c>
      <c r="G168" s="2"/>
      <c r="H168" s="2" t="s">
        <v>513</v>
      </c>
      <c r="I168" s="3">
        <v>1950</v>
      </c>
      <c r="J168" s="3">
        <v>1950</v>
      </c>
      <c r="K168" s="3">
        <v>0</v>
      </c>
      <c r="L168" s="2" t="s">
        <v>448</v>
      </c>
      <c r="M168" s="2" t="s">
        <v>514</v>
      </c>
    </row>
    <row r="169" ht="18" customHeight="1" spans="1:13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3"/>
      <c r="L169" s="2"/>
      <c r="M169" s="2"/>
    </row>
    <row r="170" ht="18" customHeight="1" spans="1:13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3"/>
      <c r="L170" s="2"/>
      <c r="M170" s="2"/>
    </row>
    <row r="171" ht="18" customHeight="1" spans="1:13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3"/>
      <c r="L171" s="2"/>
      <c r="M171" s="2"/>
    </row>
    <row r="172" ht="18" customHeight="1" spans="1:13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3"/>
      <c r="L172" s="2"/>
      <c r="M172" s="2"/>
    </row>
    <row r="173" ht="18" customHeight="1" spans="1:13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3"/>
      <c r="L173" s="2"/>
      <c r="M173" s="2"/>
    </row>
    <row r="174" ht="18" customHeight="1" spans="1:13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3"/>
      <c r="L174" s="2"/>
      <c r="M174" s="2"/>
    </row>
    <row r="175" ht="18" customHeight="1" spans="1:13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3"/>
      <c r="L175" s="2"/>
      <c r="M175" s="2"/>
    </row>
    <row r="176" ht="18" customHeight="1" spans="1:13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3"/>
      <c r="L176" s="2"/>
      <c r="M176" s="2"/>
    </row>
    <row r="177" ht="18" customHeight="1" spans="1:13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3"/>
      <c r="L177" s="2"/>
      <c r="M177" s="2"/>
    </row>
    <row r="178" ht="36" customHeight="1" spans="1:13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3"/>
      <c r="L178" s="2"/>
      <c r="M178" s="2"/>
    </row>
    <row r="179" ht="18" customHeight="1" spans="1:13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3"/>
      <c r="L179" s="2"/>
      <c r="M179" s="2"/>
    </row>
    <row r="180" ht="18" customHeight="1" spans="1:13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3"/>
      <c r="L180" s="2"/>
      <c r="M180" s="2"/>
    </row>
    <row r="181" ht="18" customHeight="1" spans="1:13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3"/>
      <c r="L181" s="2"/>
      <c r="M181" s="2"/>
    </row>
    <row r="182" ht="18" customHeight="1" spans="1:13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3"/>
      <c r="L182" s="2"/>
      <c r="M182" s="2"/>
    </row>
    <row r="183" ht="18" customHeight="1" spans="1:13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3"/>
      <c r="L183" s="2"/>
      <c r="M183" s="2"/>
    </row>
    <row r="184" ht="36" customHeight="1" spans="1:13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3"/>
      <c r="L184" s="2"/>
      <c r="M184" s="2"/>
    </row>
    <row r="185" ht="36" customHeight="1" spans="1:13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3"/>
      <c r="L185" s="2"/>
      <c r="M185" s="2"/>
    </row>
    <row r="186" ht="18" customHeight="1" spans="1:13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3"/>
      <c r="L186" s="2"/>
      <c r="M186" s="2"/>
    </row>
    <row r="187" ht="36" customHeight="1" spans="1:13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3"/>
      <c r="L187" s="2"/>
      <c r="M187" s="2"/>
    </row>
    <row r="188" ht="36" customHeight="1" spans="1:13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3"/>
      <c r="L188" s="2"/>
      <c r="M188" s="2"/>
    </row>
    <row r="189" ht="36" customHeight="1" spans="1:13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3"/>
      <c r="L189" s="2"/>
      <c r="M189" s="2"/>
    </row>
    <row r="190" ht="18" customHeight="1" spans="1:13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3"/>
      <c r="L190" s="2"/>
      <c r="M190" s="2"/>
    </row>
    <row r="191" ht="36" customHeight="1" spans="1:13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3"/>
      <c r="L191" s="2"/>
      <c r="M191" s="2"/>
    </row>
    <row r="192" ht="18" customHeight="1" spans="1:13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3"/>
      <c r="L192" s="2"/>
      <c r="M192" s="2"/>
    </row>
    <row r="193" ht="18" customHeight="1" spans="1:13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3"/>
      <c r="L193" s="2"/>
      <c r="M193" s="2"/>
    </row>
    <row r="194" ht="18" customHeight="1" spans="1:13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3"/>
      <c r="L194" s="2"/>
      <c r="M194" s="2"/>
    </row>
    <row r="195" ht="36" customHeight="1" spans="1:13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3"/>
      <c r="L195" s="2"/>
      <c r="M195" s="2"/>
    </row>
    <row r="196" ht="36" customHeight="1" spans="1:13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3"/>
      <c r="L196" s="2"/>
      <c r="M196" s="2"/>
    </row>
    <row r="197" ht="36" customHeight="1" spans="1:13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3"/>
      <c r="L197" s="2"/>
      <c r="M197" s="2"/>
    </row>
    <row r="198" ht="36" customHeight="1" spans="1:13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3"/>
      <c r="L198" s="2"/>
      <c r="M198" s="2"/>
    </row>
    <row r="199" ht="36" customHeight="1" spans="1:13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3"/>
      <c r="L199" s="2"/>
      <c r="M199" s="2"/>
    </row>
    <row r="200" ht="36" customHeight="1" spans="1:13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3"/>
      <c r="L200" s="2"/>
      <c r="M200" s="2"/>
    </row>
    <row r="201" ht="36" customHeight="1" spans="1:13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3"/>
      <c r="L201" s="2"/>
      <c r="M201" s="2"/>
    </row>
    <row r="202" ht="36" customHeight="1" spans="1:13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3"/>
      <c r="L202" s="2"/>
      <c r="M202" s="2"/>
    </row>
    <row r="203" ht="18" customHeight="1" spans="1:13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3"/>
      <c r="L203" s="2"/>
      <c r="M203" s="2"/>
    </row>
    <row r="204" ht="36" customHeight="1" spans="1:13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3"/>
      <c r="L204" s="2"/>
      <c r="M204" s="2"/>
    </row>
    <row r="205" ht="53" customHeight="1" spans="1:13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3"/>
      <c r="L205" s="2"/>
      <c r="M205" s="2"/>
    </row>
    <row r="206" ht="36" customHeight="1" spans="1:13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3"/>
      <c r="L206" s="2"/>
      <c r="M206" s="2"/>
    </row>
    <row r="207" ht="36" customHeight="1" spans="1:13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3"/>
      <c r="L207" s="2"/>
      <c r="M207" s="2"/>
    </row>
    <row r="208" ht="36" customHeight="1" spans="1:13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3"/>
      <c r="L208" s="2"/>
      <c r="M208" s="2"/>
    </row>
    <row r="209" ht="36" customHeight="1" spans="1:13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3"/>
      <c r="L209" s="2"/>
      <c r="M209" s="2"/>
    </row>
    <row r="210" ht="36" customHeight="1" spans="1:13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3"/>
      <c r="L210" s="2"/>
      <c r="M210" s="2"/>
    </row>
    <row r="211" ht="36" customHeight="1" spans="1:13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3"/>
      <c r="L211" s="2"/>
      <c r="M211" s="2"/>
    </row>
    <row r="212" ht="36" customHeight="1" spans="1:13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3"/>
      <c r="L212" s="2"/>
      <c r="M212" s="2"/>
    </row>
    <row r="213" ht="36" customHeight="1" spans="1:13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3"/>
      <c r="L213" s="2"/>
      <c r="M213" s="2"/>
    </row>
    <row r="214" ht="36" customHeight="1" spans="1:13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3"/>
      <c r="L214" s="2"/>
      <c r="M214" s="2"/>
    </row>
    <row r="215" ht="36" customHeight="1" spans="1:13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3"/>
      <c r="L215" s="2"/>
      <c r="M215" s="2"/>
    </row>
    <row r="216" ht="36" customHeight="1" spans="1:13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3"/>
      <c r="L216" s="2"/>
      <c r="M216" s="2"/>
    </row>
    <row r="217" ht="36" customHeight="1" spans="1:13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3"/>
      <c r="L217" s="2"/>
      <c r="M217" s="2"/>
    </row>
    <row r="218" ht="36" customHeight="1" spans="1:13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3"/>
      <c r="L218" s="2"/>
      <c r="M218" s="2"/>
    </row>
    <row r="219" ht="18" customHeight="1" spans="1:13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3"/>
      <c r="L219" s="2"/>
      <c r="M219" s="2"/>
    </row>
    <row r="220" ht="18" customHeight="1" spans="1:13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3"/>
      <c r="L220" s="2"/>
      <c r="M220" s="2"/>
    </row>
    <row r="221" ht="18" customHeight="1" spans="1:13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3"/>
      <c r="L221" s="2"/>
      <c r="M221" s="2"/>
    </row>
    <row r="222" ht="18" customHeight="1" spans="1:13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3"/>
      <c r="L222" s="2"/>
      <c r="M222" s="2"/>
    </row>
    <row r="223" ht="18" customHeight="1" spans="1:13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3"/>
      <c r="L223" s="2"/>
      <c r="M223" s="2"/>
    </row>
    <row r="224" ht="36" customHeight="1" spans="1:13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3"/>
      <c r="L224" s="2"/>
      <c r="M224" s="2"/>
    </row>
    <row r="225" ht="36" customHeight="1" spans="1:13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3"/>
      <c r="L225" s="2"/>
      <c r="M225" s="2"/>
    </row>
    <row r="226" ht="18" customHeight="1" spans="1:13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3"/>
      <c r="L226" s="2"/>
      <c r="M226" s="2"/>
    </row>
    <row r="227" ht="36" customHeight="1" spans="1:13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3"/>
      <c r="L227" s="2"/>
      <c r="M227" s="2"/>
    </row>
    <row r="228" ht="36" customHeight="1" spans="1:13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3"/>
      <c r="L228" s="2"/>
      <c r="M228" s="2"/>
    </row>
    <row r="229" ht="18" customHeight="1" spans="1:13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3"/>
      <c r="L229" s="2"/>
      <c r="M229" s="2"/>
    </row>
    <row r="230" ht="18" customHeight="1" spans="1:13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3"/>
      <c r="L230" s="2"/>
      <c r="M230" s="2"/>
    </row>
    <row r="231" ht="18" customHeight="1" spans="1:13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3"/>
      <c r="L231" s="2"/>
      <c r="M231" s="2"/>
    </row>
    <row r="232" ht="18" customHeight="1" spans="1:13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3"/>
      <c r="L232" s="2"/>
      <c r="M232" s="2"/>
    </row>
    <row r="233" ht="18" customHeight="1" spans="1:13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3"/>
      <c r="L233" s="2"/>
      <c r="M233" s="2"/>
    </row>
    <row r="234" ht="18" customHeight="1" spans="1:13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3"/>
      <c r="L234" s="2"/>
      <c r="M234" s="2"/>
    </row>
    <row r="235" ht="18" customHeight="1" spans="1:13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3"/>
      <c r="L235" s="2"/>
      <c r="M235" s="2"/>
    </row>
    <row r="236" ht="18" customHeight="1" spans="1:13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3"/>
      <c r="L236" s="2"/>
      <c r="M236" s="2"/>
    </row>
    <row r="237" ht="18" customHeight="1" spans="1:13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3"/>
      <c r="L237" s="2"/>
      <c r="M237" s="2"/>
    </row>
    <row r="238" ht="36" customHeight="1" spans="1:13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3"/>
      <c r="L238" s="2"/>
      <c r="M238" s="2"/>
    </row>
    <row r="239" ht="18" customHeight="1" spans="1:13">
      <c r="A239" s="2"/>
      <c r="B239" s="2"/>
      <c r="C239" s="2"/>
      <c r="D239" s="2"/>
      <c r="E239" s="2"/>
      <c r="F239" s="2"/>
      <c r="G239" s="2"/>
      <c r="H239" s="2"/>
      <c r="I239" s="3"/>
      <c r="J239" s="3"/>
      <c r="K239" s="3"/>
      <c r="L239" s="2"/>
      <c r="M239" s="2"/>
    </row>
    <row r="240" ht="18" customHeight="1" spans="1:13">
      <c r="A240" s="2"/>
      <c r="B240" s="2"/>
      <c r="C240" s="2"/>
      <c r="D240" s="2"/>
      <c r="E240" s="2"/>
      <c r="F240" s="2"/>
      <c r="G240" s="2"/>
      <c r="H240" s="2"/>
      <c r="I240" s="3"/>
      <c r="J240" s="3"/>
      <c r="K240" s="3"/>
      <c r="L240" s="2"/>
      <c r="M240" s="2"/>
    </row>
    <row r="241" ht="18" customHeight="1" spans="1:13">
      <c r="A241" s="2"/>
      <c r="B241" s="2"/>
      <c r="C241" s="2"/>
      <c r="D241" s="2"/>
      <c r="E241" s="2"/>
      <c r="F241" s="2"/>
      <c r="G241" s="2"/>
      <c r="H241" s="2"/>
      <c r="I241" s="3"/>
      <c r="J241" s="3"/>
      <c r="K241" s="3"/>
      <c r="L241" s="2"/>
      <c r="M241" s="2"/>
    </row>
    <row r="242" ht="18" customHeight="1" spans="1:13">
      <c r="A242" s="2"/>
      <c r="B242" s="2"/>
      <c r="C242" s="2"/>
      <c r="D242" s="2"/>
      <c r="E242" s="2"/>
      <c r="F242" s="2"/>
      <c r="G242" s="2"/>
      <c r="H242" s="2"/>
      <c r="I242" s="3"/>
      <c r="J242" s="3"/>
      <c r="K242" s="3"/>
      <c r="L242" s="2"/>
      <c r="M242" s="2"/>
    </row>
    <row r="243" ht="18" customHeight="1" spans="1:13">
      <c r="A243" s="2"/>
      <c r="B243" s="2"/>
      <c r="C243" s="2"/>
      <c r="D243" s="2"/>
      <c r="E243" s="2"/>
      <c r="F243" s="2"/>
      <c r="G243" s="2"/>
      <c r="H243" s="2"/>
      <c r="I243" s="3"/>
      <c r="J243" s="3"/>
      <c r="K243" s="3"/>
      <c r="L243" s="2"/>
      <c r="M243" s="2"/>
    </row>
    <row r="244" ht="36" customHeight="1" spans="1:13">
      <c r="A244" s="2"/>
      <c r="B244" s="2"/>
      <c r="C244" s="2"/>
      <c r="D244" s="2"/>
      <c r="E244" s="2"/>
      <c r="F244" s="2"/>
      <c r="G244" s="2"/>
      <c r="H244" s="2"/>
      <c r="I244" s="3"/>
      <c r="J244" s="3"/>
      <c r="K244" s="3"/>
      <c r="L244" s="2"/>
      <c r="M244" s="2"/>
    </row>
    <row r="245" ht="36" customHeight="1" spans="1:13">
      <c r="A245" s="2"/>
      <c r="B245" s="2"/>
      <c r="C245" s="2"/>
      <c r="D245" s="2"/>
      <c r="E245" s="2"/>
      <c r="F245" s="2"/>
      <c r="G245" s="2"/>
      <c r="H245" s="2"/>
      <c r="I245" s="3"/>
      <c r="J245" s="3"/>
      <c r="K245" s="3"/>
      <c r="L245" s="2"/>
      <c r="M245" s="2"/>
    </row>
    <row r="246" ht="18" customHeight="1" spans="1:13">
      <c r="A246" s="2"/>
      <c r="B246" s="2"/>
      <c r="C246" s="2"/>
      <c r="D246" s="2"/>
      <c r="E246" s="2"/>
      <c r="F246" s="2"/>
      <c r="G246" s="2"/>
      <c r="H246" s="2"/>
      <c r="I246" s="3"/>
      <c r="J246" s="3"/>
      <c r="K246" s="3"/>
      <c r="L246" s="2"/>
      <c r="M246" s="2"/>
    </row>
    <row r="247" ht="36" customHeight="1" spans="1:13">
      <c r="A247" s="2"/>
      <c r="B247" s="2"/>
      <c r="C247" s="2"/>
      <c r="D247" s="2"/>
      <c r="E247" s="2"/>
      <c r="F247" s="2"/>
      <c r="G247" s="2"/>
      <c r="H247" s="2"/>
      <c r="I247" s="3"/>
      <c r="J247" s="3"/>
      <c r="K247" s="3"/>
      <c r="L247" s="2"/>
      <c r="M247" s="2"/>
    </row>
    <row r="248" ht="36" customHeight="1" spans="1:13">
      <c r="A248" s="2"/>
      <c r="B248" s="2"/>
      <c r="C248" s="2"/>
      <c r="D248" s="2"/>
      <c r="E248" s="2"/>
      <c r="F248" s="2"/>
      <c r="G248" s="2"/>
      <c r="H248" s="2"/>
      <c r="I248" s="3"/>
      <c r="J248" s="3"/>
      <c r="K248" s="3"/>
      <c r="L248" s="2"/>
      <c r="M248" s="2"/>
    </row>
    <row r="249" ht="36" customHeight="1" spans="1:13">
      <c r="A249" s="2"/>
      <c r="B249" s="2"/>
      <c r="C249" s="2"/>
      <c r="D249" s="2"/>
      <c r="E249" s="2"/>
      <c r="F249" s="2"/>
      <c r="G249" s="2"/>
      <c r="H249" s="2"/>
      <c r="I249" s="3"/>
      <c r="J249" s="3"/>
      <c r="K249" s="3"/>
      <c r="L249" s="2"/>
      <c r="M249" s="2"/>
    </row>
    <row r="250" ht="18" customHeight="1" spans="1:13">
      <c r="A250" s="2"/>
      <c r="B250" s="2"/>
      <c r="C250" s="2"/>
      <c r="D250" s="2"/>
      <c r="E250" s="2"/>
      <c r="F250" s="2"/>
      <c r="G250" s="2"/>
      <c r="H250" s="2"/>
      <c r="I250" s="3"/>
      <c r="J250" s="3"/>
      <c r="K250" s="3"/>
      <c r="L250" s="2"/>
      <c r="M250" s="2"/>
    </row>
    <row r="251" ht="36" customHeight="1" spans="1:13">
      <c r="A251" s="2"/>
      <c r="B251" s="2"/>
      <c r="C251" s="2"/>
      <c r="D251" s="2"/>
      <c r="E251" s="2"/>
      <c r="F251" s="2"/>
      <c r="G251" s="2"/>
      <c r="H251" s="2"/>
      <c r="I251" s="3"/>
      <c r="J251" s="3"/>
      <c r="K251" s="3"/>
      <c r="L251" s="2"/>
      <c r="M251" s="2"/>
    </row>
    <row r="252" ht="18" customHeight="1" spans="1:13">
      <c r="A252" s="2"/>
      <c r="B252" s="2"/>
      <c r="C252" s="2"/>
      <c r="D252" s="2"/>
      <c r="E252" s="2"/>
      <c r="F252" s="2"/>
      <c r="G252" s="2"/>
      <c r="H252" s="2"/>
      <c r="I252" s="3"/>
      <c r="J252" s="3"/>
      <c r="K252" s="3"/>
      <c r="L252" s="2"/>
      <c r="M252" s="2"/>
    </row>
    <row r="253" ht="18" customHeight="1" spans="1:13">
      <c r="A253" s="2"/>
      <c r="B253" s="2"/>
      <c r="C253" s="2"/>
      <c r="D253" s="2"/>
      <c r="E253" s="2"/>
      <c r="F253" s="2"/>
      <c r="G253" s="2"/>
      <c r="H253" s="2"/>
      <c r="I253" s="3"/>
      <c r="J253" s="3"/>
      <c r="K253" s="3"/>
      <c r="L253" s="2"/>
      <c r="M253" s="2"/>
    </row>
    <row r="254" ht="18" customHeight="1" spans="1:13">
      <c r="A254" s="2"/>
      <c r="B254" s="2"/>
      <c r="C254" s="2"/>
      <c r="D254" s="2"/>
      <c r="E254" s="2"/>
      <c r="F254" s="2"/>
      <c r="G254" s="2"/>
      <c r="H254" s="2"/>
      <c r="I254" s="3"/>
      <c r="J254" s="3"/>
      <c r="K254" s="3"/>
      <c r="L254" s="2"/>
      <c r="M254" s="2"/>
    </row>
    <row r="255" ht="36" customHeight="1" spans="1:13">
      <c r="A255" s="2"/>
      <c r="B255" s="2"/>
      <c r="C255" s="2"/>
      <c r="D255" s="2"/>
      <c r="E255" s="2"/>
      <c r="F255" s="2"/>
      <c r="G255" s="2"/>
      <c r="H255" s="2"/>
      <c r="I255" s="3"/>
      <c r="J255" s="3"/>
      <c r="K255" s="3"/>
      <c r="L255" s="2"/>
      <c r="M255" s="2"/>
    </row>
    <row r="256" ht="36" customHeight="1" spans="1:13">
      <c r="A256" s="2"/>
      <c r="B256" s="2"/>
      <c r="C256" s="2"/>
      <c r="D256" s="2"/>
      <c r="E256" s="2"/>
      <c r="F256" s="2"/>
      <c r="G256" s="2"/>
      <c r="H256" s="2"/>
      <c r="I256" s="3"/>
      <c r="J256" s="3"/>
      <c r="K256" s="3"/>
      <c r="L256" s="2"/>
      <c r="M256" s="2"/>
    </row>
    <row r="257" ht="36" customHeight="1" spans="1:13">
      <c r="A257" s="2"/>
      <c r="B257" s="2"/>
      <c r="C257" s="2"/>
      <c r="D257" s="2"/>
      <c r="E257" s="2"/>
      <c r="F257" s="2"/>
      <c r="G257" s="2"/>
      <c r="H257" s="2"/>
      <c r="I257" s="3"/>
      <c r="J257" s="3"/>
      <c r="K257" s="3"/>
      <c r="L257" s="2"/>
      <c r="M257" s="2"/>
    </row>
    <row r="258" ht="36" customHeight="1" spans="1:13">
      <c r="A258" s="2"/>
      <c r="B258" s="2"/>
      <c r="C258" s="2"/>
      <c r="D258" s="2"/>
      <c r="E258" s="2"/>
      <c r="F258" s="2"/>
      <c r="G258" s="2"/>
      <c r="H258" s="2"/>
      <c r="I258" s="3"/>
      <c r="J258" s="3"/>
      <c r="K258" s="3"/>
      <c r="L258" s="2"/>
      <c r="M258" s="2"/>
    </row>
    <row r="259" ht="36" customHeight="1" spans="1:13">
      <c r="A259" s="2"/>
      <c r="B259" s="2"/>
      <c r="C259" s="2"/>
      <c r="D259" s="2"/>
      <c r="E259" s="2"/>
      <c r="F259" s="2"/>
      <c r="G259" s="2"/>
      <c r="H259" s="2"/>
      <c r="I259" s="3"/>
      <c r="J259" s="3"/>
      <c r="K259" s="3"/>
      <c r="L259" s="2"/>
      <c r="M259" s="2"/>
    </row>
    <row r="260" ht="36" customHeight="1" spans="1:13">
      <c r="A260" s="2"/>
      <c r="B260" s="2"/>
      <c r="C260" s="2"/>
      <c r="D260" s="2"/>
      <c r="E260" s="2"/>
      <c r="F260" s="2"/>
      <c r="G260" s="2"/>
      <c r="H260" s="2"/>
      <c r="I260" s="3"/>
      <c r="J260" s="3"/>
      <c r="K260" s="3"/>
      <c r="L260" s="2"/>
      <c r="M260" s="2"/>
    </row>
    <row r="261" ht="36" customHeight="1" spans="1:13">
      <c r="A261" s="2"/>
      <c r="B261" s="2"/>
      <c r="C261" s="2"/>
      <c r="D261" s="2"/>
      <c r="E261" s="2"/>
      <c r="F261" s="2"/>
      <c r="G261" s="2"/>
      <c r="H261" s="2"/>
      <c r="I261" s="3"/>
      <c r="J261" s="3"/>
      <c r="K261" s="3"/>
      <c r="L261" s="2"/>
      <c r="M261" s="2"/>
    </row>
    <row r="262" ht="36" customHeight="1" spans="1:13">
      <c r="A262" s="2"/>
      <c r="B262" s="2"/>
      <c r="C262" s="2"/>
      <c r="D262" s="2"/>
      <c r="E262" s="2"/>
      <c r="F262" s="2"/>
      <c r="G262" s="2"/>
      <c r="H262" s="2"/>
      <c r="I262" s="3"/>
      <c r="J262" s="3"/>
      <c r="K262" s="3"/>
      <c r="L262" s="2"/>
      <c r="M262" s="2"/>
    </row>
    <row r="263" ht="18" customHeight="1" spans="1:13">
      <c r="A263" s="2"/>
      <c r="B263" s="2"/>
      <c r="C263" s="2"/>
      <c r="D263" s="2"/>
      <c r="E263" s="2"/>
      <c r="F263" s="2"/>
      <c r="G263" s="2"/>
      <c r="H263" s="2"/>
      <c r="I263" s="3"/>
      <c r="J263" s="3"/>
      <c r="K263" s="3"/>
      <c r="L263" s="2"/>
      <c r="M263" s="2"/>
    </row>
    <row r="264" ht="36" customHeight="1" spans="1:13">
      <c r="A264" s="2"/>
      <c r="B264" s="2"/>
      <c r="C264" s="2"/>
      <c r="D264" s="2"/>
      <c r="E264" s="2"/>
      <c r="F264" s="2"/>
      <c r="G264" s="2"/>
      <c r="H264" s="2"/>
      <c r="I264" s="3"/>
      <c r="J264" s="3"/>
      <c r="K264" s="3"/>
      <c r="L264" s="2"/>
      <c r="M264" s="2"/>
    </row>
    <row r="265" ht="53" customHeight="1" spans="1:13">
      <c r="A265" s="2"/>
      <c r="B265" s="2"/>
      <c r="C265" s="2"/>
      <c r="D265" s="2"/>
      <c r="E265" s="2"/>
      <c r="F265" s="2"/>
      <c r="G265" s="2"/>
      <c r="H265" s="2"/>
      <c r="I265" s="3"/>
      <c r="J265" s="3"/>
      <c r="K265" s="3"/>
      <c r="L265" s="2"/>
      <c r="M265" s="2"/>
    </row>
    <row r="266" ht="36" customHeight="1" spans="1:13">
      <c r="A266" s="2"/>
      <c r="B266" s="2"/>
      <c r="C266" s="2"/>
      <c r="D266" s="2"/>
      <c r="E266" s="2"/>
      <c r="F266" s="2"/>
      <c r="G266" s="2"/>
      <c r="H266" s="2"/>
      <c r="I266" s="3"/>
      <c r="J266" s="3"/>
      <c r="K266" s="3"/>
      <c r="L266" s="2"/>
      <c r="M266" s="2"/>
    </row>
    <row r="267" ht="36" customHeight="1" spans="1:13">
      <c r="A267" s="2"/>
      <c r="B267" s="2"/>
      <c r="C267" s="2"/>
      <c r="D267" s="2"/>
      <c r="E267" s="2"/>
      <c r="F267" s="2"/>
      <c r="G267" s="2"/>
      <c r="H267" s="2"/>
      <c r="I267" s="3"/>
      <c r="J267" s="3"/>
      <c r="K267" s="3"/>
      <c r="L267" s="2"/>
      <c r="M267" s="2"/>
    </row>
    <row r="268" ht="36" customHeight="1" spans="1:13">
      <c r="A268" s="2"/>
      <c r="B268" s="2"/>
      <c r="C268" s="2"/>
      <c r="D268" s="2"/>
      <c r="E268" s="2"/>
      <c r="F268" s="2"/>
      <c r="G268" s="2"/>
      <c r="H268" s="2"/>
      <c r="I268" s="3"/>
      <c r="J268" s="3"/>
      <c r="K268" s="3"/>
      <c r="L268" s="2"/>
      <c r="M268" s="2"/>
    </row>
    <row r="269" ht="36" customHeight="1" spans="1:13">
      <c r="A269" s="2"/>
      <c r="B269" s="2"/>
      <c r="C269" s="2"/>
      <c r="D269" s="2"/>
      <c r="E269" s="2"/>
      <c r="F269" s="2"/>
      <c r="G269" s="2"/>
      <c r="H269" s="2"/>
      <c r="I269" s="3"/>
      <c r="J269" s="3"/>
      <c r="K269" s="3"/>
      <c r="L269" s="2"/>
      <c r="M269" s="2"/>
    </row>
    <row r="270" ht="36" customHeight="1" spans="1:13">
      <c r="A270" s="2"/>
      <c r="B270" s="2"/>
      <c r="C270" s="2"/>
      <c r="D270" s="2"/>
      <c r="E270" s="2"/>
      <c r="F270" s="2"/>
      <c r="G270" s="2"/>
      <c r="H270" s="2"/>
      <c r="I270" s="3"/>
      <c r="J270" s="3"/>
      <c r="K270" s="3"/>
      <c r="L270" s="2"/>
      <c r="M270" s="2"/>
    </row>
    <row r="271" ht="36" customHeight="1" spans="1:13">
      <c r="A271" s="2"/>
      <c r="B271" s="2"/>
      <c r="C271" s="2"/>
      <c r="D271" s="2"/>
      <c r="E271" s="2"/>
      <c r="F271" s="2"/>
      <c r="G271" s="2"/>
      <c r="H271" s="2"/>
      <c r="I271" s="3"/>
      <c r="J271" s="3"/>
      <c r="K271" s="3"/>
      <c r="L271" s="2"/>
      <c r="M271" s="2"/>
    </row>
    <row r="272" ht="36" customHeight="1" spans="1:13">
      <c r="A272" s="2"/>
      <c r="B272" s="2"/>
      <c r="C272" s="2"/>
      <c r="D272" s="2"/>
      <c r="E272" s="2"/>
      <c r="F272" s="2"/>
      <c r="G272" s="2"/>
      <c r="H272" s="2"/>
      <c r="I272" s="3"/>
      <c r="J272" s="3"/>
      <c r="K272" s="3"/>
      <c r="L272" s="2"/>
      <c r="M272" s="2"/>
    </row>
    <row r="273" ht="36" customHeight="1" spans="1:13">
      <c r="A273" s="2"/>
      <c r="B273" s="2"/>
      <c r="C273" s="2"/>
      <c r="D273" s="2"/>
      <c r="E273" s="2"/>
      <c r="F273" s="2"/>
      <c r="G273" s="2"/>
      <c r="H273" s="2"/>
      <c r="I273" s="3"/>
      <c r="J273" s="3"/>
      <c r="K273" s="3"/>
      <c r="L273" s="2"/>
      <c r="M273" s="2"/>
    </row>
    <row r="274" ht="36" customHeight="1" spans="1:13">
      <c r="A274" s="2"/>
      <c r="B274" s="2"/>
      <c r="C274" s="2"/>
      <c r="D274" s="2"/>
      <c r="E274" s="2"/>
      <c r="F274" s="2"/>
      <c r="G274" s="2"/>
      <c r="H274" s="2"/>
      <c r="I274" s="3"/>
      <c r="J274" s="3"/>
      <c r="K274" s="3"/>
      <c r="L274" s="2"/>
      <c r="M274" s="2"/>
    </row>
    <row r="275" ht="36" customHeight="1" spans="1:13">
      <c r="A275" s="2"/>
      <c r="B275" s="2"/>
      <c r="C275" s="2"/>
      <c r="D275" s="2"/>
      <c r="E275" s="2"/>
      <c r="F275" s="2"/>
      <c r="G275" s="2"/>
      <c r="H275" s="2"/>
      <c r="I275" s="3"/>
      <c r="J275" s="3"/>
      <c r="K275" s="3"/>
      <c r="L275" s="2"/>
      <c r="M275" s="2"/>
    </row>
    <row r="276" ht="36" customHeight="1" spans="1:13">
      <c r="A276" s="2"/>
      <c r="B276" s="2"/>
      <c r="C276" s="2"/>
      <c r="D276" s="2"/>
      <c r="E276" s="2"/>
      <c r="F276" s="2"/>
      <c r="G276" s="2"/>
      <c r="H276" s="2"/>
      <c r="I276" s="3"/>
      <c r="J276" s="3"/>
      <c r="K276" s="3"/>
      <c r="L276" s="2"/>
      <c r="M276" s="2"/>
    </row>
    <row r="277" ht="36" customHeight="1" spans="1:13">
      <c r="A277" s="2"/>
      <c r="B277" s="2"/>
      <c r="C277" s="2"/>
      <c r="D277" s="2"/>
      <c r="E277" s="2"/>
      <c r="F277" s="2"/>
      <c r="G277" s="2"/>
      <c r="H277" s="2"/>
      <c r="I277" s="3"/>
      <c r="J277" s="3"/>
      <c r="K277" s="3"/>
      <c r="L277" s="2"/>
      <c r="M277" s="2"/>
    </row>
    <row r="278" ht="36" customHeight="1" spans="1:13">
      <c r="A278" s="2"/>
      <c r="B278" s="2"/>
      <c r="C278" s="2"/>
      <c r="D278" s="2"/>
      <c r="E278" s="2"/>
      <c r="F278" s="2"/>
      <c r="G278" s="2"/>
      <c r="H278" s="2"/>
      <c r="I278" s="3"/>
      <c r="J278" s="3"/>
      <c r="K278" s="3"/>
      <c r="L278" s="2"/>
      <c r="M278" s="2"/>
    </row>
    <row r="279" ht="18" customHeight="1" spans="1:13">
      <c r="A279" s="2"/>
      <c r="B279" s="2"/>
      <c r="C279" s="2"/>
      <c r="D279" s="2"/>
      <c r="E279" s="2"/>
      <c r="F279" s="2"/>
      <c r="G279" s="2"/>
      <c r="H279" s="2"/>
      <c r="I279" s="3"/>
      <c r="J279" s="3"/>
      <c r="K279" s="3"/>
      <c r="L279" s="2"/>
      <c r="M279" s="2"/>
    </row>
    <row r="280" ht="36" customHeight="1" spans="1:13">
      <c r="A280" s="2"/>
      <c r="B280" s="2"/>
      <c r="C280" s="2"/>
      <c r="D280" s="2"/>
      <c r="E280" s="2"/>
      <c r="F280" s="2"/>
      <c r="G280" s="2"/>
      <c r="H280" s="2"/>
      <c r="I280" s="3"/>
      <c r="J280" s="3"/>
      <c r="K280" s="3"/>
      <c r="L280" s="2"/>
      <c r="M280" s="2"/>
    </row>
    <row r="281" ht="36" customHeight="1" spans="1:13">
      <c r="A281" s="2"/>
      <c r="B281" s="2"/>
      <c r="C281" s="2"/>
      <c r="D281" s="2"/>
      <c r="E281" s="2"/>
      <c r="F281" s="2"/>
      <c r="G281" s="2"/>
      <c r="H281" s="2"/>
      <c r="I281" s="3"/>
      <c r="J281" s="3"/>
      <c r="K281" s="3"/>
      <c r="L281" s="2"/>
      <c r="M281" s="2"/>
    </row>
    <row r="282" ht="18" customHeight="1" spans="1:13">
      <c r="A282" s="2"/>
      <c r="B282" s="2"/>
      <c r="C282" s="2"/>
      <c r="D282" s="2"/>
      <c r="E282" s="2"/>
      <c r="F282" s="2"/>
      <c r="G282" s="2"/>
      <c r="H282" s="2"/>
      <c r="I282" s="3"/>
      <c r="J282" s="3"/>
      <c r="K282" s="3"/>
      <c r="L282" s="2"/>
      <c r="M282" s="2"/>
    </row>
    <row r="283" ht="18" customHeight="1" spans="1:13">
      <c r="A283" s="2"/>
      <c r="B283" s="2"/>
      <c r="C283" s="2"/>
      <c r="D283" s="2"/>
      <c r="E283" s="2"/>
      <c r="F283" s="2"/>
      <c r="G283" s="2"/>
      <c r="H283" s="2"/>
      <c r="I283" s="3"/>
      <c r="J283" s="3"/>
      <c r="K283" s="3"/>
      <c r="L283" s="2"/>
      <c r="M283" s="2"/>
    </row>
    <row r="284" ht="18" customHeight="1" spans="1:13">
      <c r="A284" s="2"/>
      <c r="B284" s="2"/>
      <c r="C284" s="2"/>
      <c r="D284" s="2"/>
      <c r="E284" s="2"/>
      <c r="F284" s="2"/>
      <c r="G284" s="2"/>
      <c r="H284" s="2"/>
      <c r="I284" s="3"/>
      <c r="J284" s="3"/>
      <c r="K284" s="3"/>
      <c r="L284" s="2"/>
      <c r="M284" s="2"/>
    </row>
    <row r="285" ht="18" customHeight="1" spans="1:13">
      <c r="A285" s="2"/>
      <c r="B285" s="2"/>
      <c r="C285" s="2"/>
      <c r="D285" s="2"/>
      <c r="E285" s="2"/>
      <c r="F285" s="2"/>
      <c r="G285" s="2"/>
      <c r="H285" s="2"/>
      <c r="I285" s="3"/>
      <c r="J285" s="3"/>
      <c r="K285" s="3"/>
      <c r="L285" s="2"/>
      <c r="M285" s="2"/>
    </row>
    <row r="286" ht="18" customHeight="1" spans="1:13">
      <c r="A286" s="2"/>
      <c r="B286" s="2"/>
      <c r="C286" s="2"/>
      <c r="D286" s="2"/>
      <c r="E286" s="2"/>
      <c r="F286" s="2"/>
      <c r="G286" s="2"/>
      <c r="H286" s="2"/>
      <c r="I286" s="3"/>
      <c r="J286" s="3"/>
      <c r="K286" s="3"/>
      <c r="L286" s="2"/>
      <c r="M286" s="2"/>
    </row>
    <row r="287" ht="18" customHeight="1" spans="1:13">
      <c r="A287" s="2"/>
      <c r="B287" s="2"/>
      <c r="C287" s="2"/>
      <c r="D287" s="2"/>
      <c r="E287" s="2"/>
      <c r="F287" s="2"/>
      <c r="G287" s="2"/>
      <c r="H287" s="2"/>
      <c r="I287" s="3"/>
      <c r="J287" s="3"/>
      <c r="K287" s="3"/>
      <c r="L287" s="2"/>
      <c r="M287" s="2"/>
    </row>
    <row r="288" ht="18" customHeight="1" spans="1:13">
      <c r="A288" s="2"/>
      <c r="B288" s="2"/>
      <c r="C288" s="2"/>
      <c r="D288" s="2"/>
      <c r="E288" s="2"/>
      <c r="F288" s="2"/>
      <c r="G288" s="2"/>
      <c r="H288" s="2"/>
      <c r="I288" s="3"/>
      <c r="J288" s="3"/>
      <c r="K288" s="3"/>
      <c r="L288" s="2"/>
      <c r="M288" s="2"/>
    </row>
    <row r="289" ht="18" customHeight="1" spans="1:13">
      <c r="A289" s="2"/>
      <c r="B289" s="2"/>
      <c r="C289" s="2"/>
      <c r="D289" s="2"/>
      <c r="E289" s="2"/>
      <c r="F289" s="2"/>
      <c r="G289" s="2"/>
      <c r="H289" s="2"/>
      <c r="I289" s="3"/>
      <c r="J289" s="3"/>
      <c r="K289" s="3"/>
      <c r="L289" s="2"/>
      <c r="M289" s="2"/>
    </row>
    <row r="290" ht="18" customHeight="1" spans="1:13">
      <c r="A290" s="2"/>
      <c r="B290" s="2"/>
      <c r="C290" s="2"/>
      <c r="D290" s="2"/>
      <c r="E290" s="2"/>
      <c r="F290" s="2"/>
      <c r="G290" s="2"/>
      <c r="H290" s="2"/>
      <c r="I290" s="3"/>
      <c r="J290" s="3"/>
      <c r="K290" s="3"/>
      <c r="L290" s="2"/>
      <c r="M290" s="2"/>
    </row>
    <row r="291" ht="36" customHeight="1" spans="1:13">
      <c r="A291" s="2"/>
      <c r="B291" s="2"/>
      <c r="C291" s="2"/>
      <c r="D291" s="2"/>
      <c r="E291" s="2"/>
      <c r="F291" s="2"/>
      <c r="G291" s="2"/>
      <c r="H291" s="2"/>
      <c r="I291" s="3"/>
      <c r="J291" s="3"/>
      <c r="K291" s="3"/>
      <c r="L291" s="2"/>
      <c r="M291" s="2"/>
    </row>
    <row r="292" ht="18" customHeight="1" spans="1:13">
      <c r="A292" s="2"/>
      <c r="B292" s="2"/>
      <c r="C292" s="2"/>
      <c r="D292" s="2"/>
      <c r="E292" s="2"/>
      <c r="F292" s="2"/>
      <c r="G292" s="2"/>
      <c r="H292" s="2"/>
      <c r="I292" s="3"/>
      <c r="J292" s="3"/>
      <c r="K292" s="3"/>
      <c r="L292" s="2"/>
      <c r="M292" s="2"/>
    </row>
    <row r="293" ht="18" customHeight="1" spans="1:13">
      <c r="A293" s="2"/>
      <c r="B293" s="2"/>
      <c r="C293" s="2"/>
      <c r="D293" s="2"/>
      <c r="E293" s="2"/>
      <c r="F293" s="2"/>
      <c r="G293" s="2"/>
      <c r="H293" s="2"/>
      <c r="I293" s="3"/>
      <c r="J293" s="3"/>
      <c r="K293" s="3"/>
      <c r="L293" s="2"/>
      <c r="M293" s="2"/>
    </row>
    <row r="294" ht="18" customHeight="1" spans="1:13">
      <c r="A294" s="2"/>
      <c r="B294" s="2"/>
      <c r="C294" s="2"/>
      <c r="D294" s="2"/>
      <c r="E294" s="2"/>
      <c r="F294" s="2"/>
      <c r="G294" s="2"/>
      <c r="H294" s="2"/>
      <c r="I294" s="3"/>
      <c r="J294" s="3"/>
      <c r="K294" s="3"/>
      <c r="L294" s="2"/>
      <c r="M294" s="2"/>
    </row>
    <row r="295" ht="18" customHeight="1" spans="1:13">
      <c r="A295" s="2"/>
      <c r="B295" s="2"/>
      <c r="C295" s="2"/>
      <c r="D295" s="2"/>
      <c r="E295" s="2"/>
      <c r="F295" s="2"/>
      <c r="G295" s="2"/>
      <c r="H295" s="2"/>
      <c r="I295" s="3"/>
      <c r="J295" s="3"/>
      <c r="K295" s="3"/>
      <c r="L295" s="2"/>
      <c r="M295" s="2"/>
    </row>
    <row r="296" ht="18" customHeight="1" spans="1:13">
      <c r="A296" s="2"/>
      <c r="B296" s="2"/>
      <c r="C296" s="2"/>
      <c r="D296" s="2"/>
      <c r="E296" s="2"/>
      <c r="F296" s="2"/>
      <c r="G296" s="2"/>
      <c r="H296" s="2"/>
      <c r="I296" s="3"/>
      <c r="J296" s="3"/>
      <c r="K296" s="3"/>
      <c r="L296" s="2"/>
      <c r="M296" s="2"/>
    </row>
    <row r="297" ht="36" customHeight="1" spans="1:13">
      <c r="A297" s="2"/>
      <c r="B297" s="2"/>
      <c r="C297" s="2"/>
      <c r="D297" s="2"/>
      <c r="E297" s="2"/>
      <c r="F297" s="2"/>
      <c r="G297" s="2"/>
      <c r="H297" s="2"/>
      <c r="I297" s="3"/>
      <c r="J297" s="3"/>
      <c r="K297" s="3"/>
      <c r="L297" s="2"/>
      <c r="M297" s="2"/>
    </row>
    <row r="298" ht="36" customHeight="1" spans="1:13">
      <c r="A298" s="2"/>
      <c r="B298" s="2"/>
      <c r="C298" s="2"/>
      <c r="D298" s="2"/>
      <c r="E298" s="2"/>
      <c r="F298" s="2"/>
      <c r="G298" s="2"/>
      <c r="H298" s="2"/>
      <c r="I298" s="3"/>
      <c r="J298" s="3"/>
      <c r="K298" s="3"/>
      <c r="L298" s="2"/>
      <c r="M298" s="2"/>
    </row>
    <row r="299" ht="18" customHeight="1" spans="1:13">
      <c r="A299" s="2"/>
      <c r="B299" s="2"/>
      <c r="C299" s="2"/>
      <c r="D299" s="2"/>
      <c r="E299" s="2"/>
      <c r="F299" s="2"/>
      <c r="G299" s="2"/>
      <c r="H299" s="2"/>
      <c r="I299" s="3"/>
      <c r="J299" s="3"/>
      <c r="K299" s="3"/>
      <c r="L299" s="2"/>
      <c r="M299" s="2"/>
    </row>
    <row r="300" ht="36" customHeight="1" spans="1:13">
      <c r="A300" s="2"/>
      <c r="B300" s="2"/>
      <c r="C300" s="2"/>
      <c r="D300" s="2"/>
      <c r="E300" s="2"/>
      <c r="F300" s="2"/>
      <c r="G300" s="2"/>
      <c r="H300" s="2"/>
      <c r="I300" s="3"/>
      <c r="J300" s="3"/>
      <c r="K300" s="3"/>
      <c r="L300" s="2"/>
      <c r="M300" s="2"/>
    </row>
    <row r="301" ht="36" customHeight="1" spans="1:13">
      <c r="A301" s="2"/>
      <c r="B301" s="2"/>
      <c r="C301" s="2"/>
      <c r="D301" s="2"/>
      <c r="E301" s="2"/>
      <c r="F301" s="2"/>
      <c r="G301" s="2"/>
      <c r="H301" s="2"/>
      <c r="I301" s="3"/>
      <c r="J301" s="3"/>
      <c r="K301" s="3"/>
      <c r="L301" s="2"/>
      <c r="M301" s="2"/>
    </row>
    <row r="302" ht="36" customHeight="1" spans="1:13">
      <c r="A302" s="2"/>
      <c r="B302" s="2"/>
      <c r="C302" s="2"/>
      <c r="D302" s="2"/>
      <c r="E302" s="2"/>
      <c r="F302" s="2"/>
      <c r="G302" s="2"/>
      <c r="H302" s="2"/>
      <c r="I302" s="3"/>
      <c r="J302" s="3"/>
      <c r="K302" s="3"/>
      <c r="L302" s="2"/>
      <c r="M302" s="2"/>
    </row>
    <row r="303" ht="18" customHeight="1" spans="1:13">
      <c r="A303" s="2"/>
      <c r="B303" s="2"/>
      <c r="C303" s="2"/>
      <c r="D303" s="2"/>
      <c r="E303" s="2"/>
      <c r="F303" s="2"/>
      <c r="G303" s="2"/>
      <c r="H303" s="2"/>
      <c r="I303" s="3"/>
      <c r="J303" s="3"/>
      <c r="K303" s="3"/>
      <c r="L303" s="2"/>
      <c r="M303" s="2"/>
    </row>
    <row r="304" ht="36" customHeight="1" spans="1:13">
      <c r="A304" s="2"/>
      <c r="B304" s="2"/>
      <c r="C304" s="2"/>
      <c r="D304" s="2"/>
      <c r="E304" s="2"/>
      <c r="F304" s="2"/>
      <c r="G304" s="2"/>
      <c r="H304" s="2"/>
      <c r="I304" s="3"/>
      <c r="J304" s="3"/>
      <c r="K304" s="3"/>
      <c r="L304" s="2"/>
      <c r="M304" s="2"/>
    </row>
    <row r="305" ht="18" customHeight="1" spans="1:13">
      <c r="A305" s="2"/>
      <c r="B305" s="2"/>
      <c r="C305" s="2"/>
      <c r="D305" s="2"/>
      <c r="E305" s="2"/>
      <c r="F305" s="2"/>
      <c r="G305" s="2"/>
      <c r="H305" s="2"/>
      <c r="I305" s="3"/>
      <c r="J305" s="3"/>
      <c r="K305" s="3"/>
      <c r="L305" s="2"/>
      <c r="M305" s="2"/>
    </row>
    <row r="306" ht="18" customHeight="1" spans="1:13">
      <c r="A306" s="2"/>
      <c r="B306" s="2"/>
      <c r="C306" s="2"/>
      <c r="D306" s="2"/>
      <c r="E306" s="2"/>
      <c r="F306" s="2"/>
      <c r="G306" s="2"/>
      <c r="H306" s="2"/>
      <c r="I306" s="3"/>
      <c r="J306" s="3"/>
      <c r="K306" s="3"/>
      <c r="L306" s="2"/>
      <c r="M306" s="2"/>
    </row>
    <row r="307" ht="18" customHeight="1" spans="1:13">
      <c r="A307" s="2"/>
      <c r="B307" s="2"/>
      <c r="C307" s="2"/>
      <c r="D307" s="2"/>
      <c r="E307" s="2"/>
      <c r="F307" s="2"/>
      <c r="G307" s="2"/>
      <c r="H307" s="2"/>
      <c r="I307" s="3"/>
      <c r="J307" s="3"/>
      <c r="K307" s="3"/>
      <c r="L307" s="2"/>
      <c r="M307" s="2"/>
    </row>
    <row r="308" ht="36" customHeight="1" spans="1:13">
      <c r="A308" s="2"/>
      <c r="B308" s="2"/>
      <c r="C308" s="2"/>
      <c r="D308" s="2"/>
      <c r="E308" s="2"/>
      <c r="F308" s="2"/>
      <c r="G308" s="2"/>
      <c r="H308" s="2"/>
      <c r="I308" s="3"/>
      <c r="J308" s="3"/>
      <c r="K308" s="3"/>
      <c r="L308" s="2"/>
      <c r="M308" s="2"/>
    </row>
    <row r="309" ht="36" customHeight="1" spans="1:13">
      <c r="A309" s="2"/>
      <c r="B309" s="2"/>
      <c r="C309" s="2"/>
      <c r="D309" s="2"/>
      <c r="E309" s="2"/>
      <c r="F309" s="2"/>
      <c r="G309" s="2"/>
      <c r="H309" s="2"/>
      <c r="I309" s="3"/>
      <c r="J309" s="3"/>
      <c r="K309" s="3"/>
      <c r="L309" s="2"/>
      <c r="M309" s="2"/>
    </row>
    <row r="310" ht="36" customHeight="1" spans="1:13">
      <c r="A310" s="2"/>
      <c r="B310" s="2"/>
      <c r="C310" s="2"/>
      <c r="D310" s="2"/>
      <c r="E310" s="2"/>
      <c r="F310" s="2"/>
      <c r="G310" s="2"/>
      <c r="H310" s="2"/>
      <c r="I310" s="3"/>
      <c r="J310" s="3"/>
      <c r="K310" s="3"/>
      <c r="L310" s="2"/>
      <c r="M310" s="2"/>
    </row>
    <row r="311" ht="36" customHeight="1" spans="1:13">
      <c r="A311" s="2"/>
      <c r="B311" s="2"/>
      <c r="C311" s="2"/>
      <c r="D311" s="2"/>
      <c r="E311" s="2"/>
      <c r="F311" s="2"/>
      <c r="G311" s="2"/>
      <c r="H311" s="2"/>
      <c r="I311" s="3"/>
      <c r="J311" s="3"/>
      <c r="K311" s="3"/>
      <c r="L311" s="2"/>
      <c r="M311" s="2"/>
    </row>
    <row r="312" ht="36" customHeight="1" spans="1:13">
      <c r="A312" s="2"/>
      <c r="B312" s="2"/>
      <c r="C312" s="2"/>
      <c r="D312" s="2"/>
      <c r="E312" s="2"/>
      <c r="F312" s="2"/>
      <c r="G312" s="2"/>
      <c r="H312" s="2"/>
      <c r="I312" s="3"/>
      <c r="J312" s="3"/>
      <c r="K312" s="3"/>
      <c r="L312" s="2"/>
      <c r="M312" s="2"/>
    </row>
    <row r="313" ht="36" customHeight="1" spans="1:13">
      <c r="A313" s="2"/>
      <c r="B313" s="2"/>
      <c r="C313" s="2"/>
      <c r="D313" s="2"/>
      <c r="E313" s="2"/>
      <c r="F313" s="2"/>
      <c r="G313" s="2"/>
      <c r="H313" s="2"/>
      <c r="I313" s="3"/>
      <c r="J313" s="3"/>
      <c r="K313" s="3"/>
      <c r="L313" s="2"/>
      <c r="M313" s="2"/>
    </row>
    <row r="314" ht="36" customHeight="1" spans="1:13">
      <c r="A314" s="2"/>
      <c r="B314" s="2"/>
      <c r="C314" s="2"/>
      <c r="D314" s="2"/>
      <c r="E314" s="2"/>
      <c r="F314" s="2"/>
      <c r="G314" s="2"/>
      <c r="H314" s="2"/>
      <c r="I314" s="3"/>
      <c r="J314" s="3"/>
      <c r="K314" s="3"/>
      <c r="L314" s="2"/>
      <c r="M314" s="2"/>
    </row>
    <row r="315" ht="36" customHeight="1" spans="1:13">
      <c r="A315" s="2"/>
      <c r="B315" s="2"/>
      <c r="C315" s="2"/>
      <c r="D315" s="2"/>
      <c r="E315" s="2"/>
      <c r="F315" s="2"/>
      <c r="G315" s="2"/>
      <c r="H315" s="2"/>
      <c r="I315" s="3"/>
      <c r="J315" s="3"/>
      <c r="K315" s="3"/>
      <c r="L315" s="2"/>
      <c r="M315" s="2"/>
    </row>
    <row r="316" ht="18" customHeight="1" spans="1:13">
      <c r="A316" s="2"/>
      <c r="B316" s="2"/>
      <c r="C316" s="2"/>
      <c r="D316" s="2"/>
      <c r="E316" s="2"/>
      <c r="F316" s="2"/>
      <c r="G316" s="2"/>
      <c r="H316" s="2"/>
      <c r="I316" s="3"/>
      <c r="J316" s="3"/>
      <c r="K316" s="3"/>
      <c r="L316" s="2"/>
      <c r="M316" s="2"/>
    </row>
    <row r="317" ht="36" customHeight="1" spans="1:13">
      <c r="A317" s="2"/>
      <c r="B317" s="2"/>
      <c r="C317" s="2"/>
      <c r="D317" s="2"/>
      <c r="E317" s="2"/>
      <c r="F317" s="2"/>
      <c r="G317" s="2"/>
      <c r="H317" s="2"/>
      <c r="I317" s="3"/>
      <c r="J317" s="3"/>
      <c r="K317" s="3"/>
      <c r="L317" s="2"/>
      <c r="M317" s="2"/>
    </row>
    <row r="318" ht="53" customHeight="1" spans="1:13">
      <c r="A318" s="2"/>
      <c r="B318" s="2"/>
      <c r="C318" s="2"/>
      <c r="D318" s="2"/>
      <c r="E318" s="2"/>
      <c r="F318" s="2"/>
      <c r="G318" s="2"/>
      <c r="H318" s="2"/>
      <c r="I318" s="3"/>
      <c r="J318" s="3"/>
      <c r="K318" s="3"/>
      <c r="L318" s="2"/>
      <c r="M318" s="2"/>
    </row>
    <row r="319" ht="36" customHeight="1" spans="1:13">
      <c r="A319" s="2"/>
      <c r="B319" s="2"/>
      <c r="C319" s="2"/>
      <c r="D319" s="2"/>
      <c r="E319" s="2"/>
      <c r="F319" s="2"/>
      <c r="G319" s="2"/>
      <c r="H319" s="2"/>
      <c r="I319" s="3"/>
      <c r="J319" s="3"/>
      <c r="K319" s="3"/>
      <c r="L319" s="2"/>
      <c r="M319" s="2"/>
    </row>
    <row r="320" ht="36" customHeight="1" spans="1:13">
      <c r="A320" s="2"/>
      <c r="B320" s="2"/>
      <c r="C320" s="2"/>
      <c r="D320" s="2"/>
      <c r="E320" s="2"/>
      <c r="F320" s="2"/>
      <c r="G320" s="2"/>
      <c r="H320" s="2"/>
      <c r="I320" s="3"/>
      <c r="J320" s="3"/>
      <c r="K320" s="3"/>
      <c r="L320" s="2"/>
      <c r="M320" s="2"/>
    </row>
    <row r="321" ht="36" customHeight="1" spans="1:13">
      <c r="A321" s="2"/>
      <c r="B321" s="2"/>
      <c r="C321" s="2"/>
      <c r="D321" s="2"/>
      <c r="E321" s="2"/>
      <c r="F321" s="2"/>
      <c r="G321" s="2"/>
      <c r="H321" s="2"/>
      <c r="I321" s="3"/>
      <c r="J321" s="3"/>
      <c r="K321" s="3"/>
      <c r="L321" s="2"/>
      <c r="M321" s="2"/>
    </row>
    <row r="322" ht="36" customHeight="1" spans="1:13">
      <c r="A322" s="2"/>
      <c r="B322" s="2"/>
      <c r="C322" s="2"/>
      <c r="D322" s="2"/>
      <c r="E322" s="2"/>
      <c r="F322" s="2"/>
      <c r="G322" s="2"/>
      <c r="H322" s="2"/>
      <c r="I322" s="3"/>
      <c r="J322" s="3"/>
      <c r="K322" s="3"/>
      <c r="L322" s="2"/>
      <c r="M322" s="2"/>
    </row>
    <row r="323" ht="36" customHeight="1" spans="1:13">
      <c r="A323" s="2"/>
      <c r="B323" s="2"/>
      <c r="C323" s="2"/>
      <c r="D323" s="2"/>
      <c r="E323" s="2"/>
      <c r="F323" s="2"/>
      <c r="G323" s="2"/>
      <c r="H323" s="2"/>
      <c r="I323" s="3"/>
      <c r="J323" s="3"/>
      <c r="K323" s="3"/>
      <c r="L323" s="2"/>
      <c r="M323" s="2"/>
    </row>
    <row r="324" ht="36" customHeight="1" spans="1:13">
      <c r="A324" s="2"/>
      <c r="B324" s="2"/>
      <c r="C324" s="2"/>
      <c r="D324" s="2"/>
      <c r="E324" s="2"/>
      <c r="F324" s="2"/>
      <c r="G324" s="2"/>
      <c r="H324" s="2"/>
      <c r="I324" s="3"/>
      <c r="J324" s="3"/>
      <c r="K324" s="3"/>
      <c r="L324" s="2"/>
      <c r="M324" s="2"/>
    </row>
    <row r="325" ht="36" customHeight="1" spans="1:13">
      <c r="A325" s="2"/>
      <c r="B325" s="2"/>
      <c r="C325" s="2"/>
      <c r="D325" s="2"/>
      <c r="E325" s="2"/>
      <c r="F325" s="2"/>
      <c r="G325" s="2"/>
      <c r="H325" s="2"/>
      <c r="I325" s="3"/>
      <c r="J325" s="3"/>
      <c r="K325" s="3"/>
      <c r="L325" s="2"/>
      <c r="M325" s="2"/>
    </row>
    <row r="326" ht="36" customHeight="1" spans="1:13">
      <c r="A326" s="2"/>
      <c r="B326" s="2"/>
      <c r="C326" s="2"/>
      <c r="D326" s="2"/>
      <c r="E326" s="2"/>
      <c r="F326" s="2"/>
      <c r="G326" s="2"/>
      <c r="H326" s="2"/>
      <c r="I326" s="3"/>
      <c r="J326" s="3"/>
      <c r="K326" s="3"/>
      <c r="L326" s="2"/>
      <c r="M326" s="2"/>
    </row>
    <row r="327" ht="36" customHeight="1" spans="1:13">
      <c r="A327" s="2"/>
      <c r="B327" s="2"/>
      <c r="C327" s="2"/>
      <c r="D327" s="2"/>
      <c r="E327" s="2"/>
      <c r="F327" s="2"/>
      <c r="G327" s="2"/>
      <c r="H327" s="2"/>
      <c r="I327" s="3"/>
      <c r="J327" s="3"/>
      <c r="K327" s="3"/>
      <c r="L327" s="2"/>
      <c r="M327" s="2"/>
    </row>
    <row r="328" ht="36" customHeight="1" spans="1:13">
      <c r="A328" s="2"/>
      <c r="B328" s="2"/>
      <c r="C328" s="2"/>
      <c r="D328" s="2"/>
      <c r="E328" s="2"/>
      <c r="F328" s="2"/>
      <c r="G328" s="2"/>
      <c r="H328" s="2"/>
      <c r="I328" s="3"/>
      <c r="J328" s="3"/>
      <c r="K328" s="3"/>
      <c r="L328" s="2"/>
      <c r="M328" s="2"/>
    </row>
    <row r="329" ht="36" customHeight="1" spans="1:13">
      <c r="A329" s="2"/>
      <c r="B329" s="2"/>
      <c r="C329" s="2"/>
      <c r="D329" s="2"/>
      <c r="E329" s="2"/>
      <c r="F329" s="2"/>
      <c r="G329" s="2"/>
      <c r="H329" s="2"/>
      <c r="I329" s="3"/>
      <c r="J329" s="3"/>
      <c r="K329" s="3"/>
      <c r="L329" s="2"/>
      <c r="M329" s="2"/>
    </row>
    <row r="330" ht="36" customHeight="1" spans="1:13">
      <c r="A330" s="2"/>
      <c r="B330" s="2"/>
      <c r="C330" s="2"/>
      <c r="D330" s="2"/>
      <c r="E330" s="2"/>
      <c r="F330" s="2"/>
      <c r="G330" s="2"/>
      <c r="H330" s="2"/>
      <c r="I330" s="3"/>
      <c r="J330" s="3"/>
      <c r="K330" s="3"/>
      <c r="L330" s="2"/>
      <c r="M330" s="2"/>
    </row>
    <row r="331" ht="36" customHeight="1" spans="1:13">
      <c r="A331" s="2"/>
      <c r="B331" s="2"/>
      <c r="C331" s="2"/>
      <c r="D331" s="2"/>
      <c r="E331" s="2"/>
      <c r="F331" s="2"/>
      <c r="G331" s="2"/>
      <c r="H331" s="2"/>
      <c r="I331" s="3"/>
      <c r="J331" s="3"/>
      <c r="K331" s="3"/>
      <c r="L331" s="2"/>
      <c r="M331" s="2"/>
    </row>
    <row r="332" ht="18" customHeight="1" spans="1:13">
      <c r="A332" s="2"/>
      <c r="B332" s="2"/>
      <c r="C332" s="2"/>
      <c r="D332" s="2"/>
      <c r="E332" s="2"/>
      <c r="F332" s="2"/>
      <c r="G332" s="2"/>
      <c r="H332" s="2"/>
      <c r="I332" s="3"/>
      <c r="J332" s="3"/>
      <c r="K332" s="3"/>
      <c r="L332" s="2"/>
      <c r="M332" s="2"/>
    </row>
    <row r="333" ht="18" customHeight="1" spans="1:13">
      <c r="A333" s="2"/>
      <c r="B333" s="2"/>
      <c r="C333" s="2"/>
      <c r="D333" s="2"/>
      <c r="E333" s="2"/>
      <c r="F333" s="2"/>
      <c r="G333" s="2"/>
      <c r="H333" s="2"/>
      <c r="I333" s="3"/>
      <c r="J333" s="3"/>
      <c r="K333" s="3"/>
      <c r="L333" s="2"/>
      <c r="M333" s="2"/>
    </row>
    <row r="334" ht="18" customHeight="1" spans="1:13">
      <c r="A334" s="2"/>
      <c r="B334" s="2"/>
      <c r="C334" s="2"/>
      <c r="D334" s="2"/>
      <c r="E334" s="2"/>
      <c r="F334" s="2"/>
      <c r="G334" s="2"/>
      <c r="H334" s="2"/>
      <c r="I334" s="3"/>
      <c r="J334" s="3"/>
      <c r="K334" s="3"/>
      <c r="L334" s="2"/>
      <c r="M334" s="2"/>
    </row>
    <row r="335" ht="18" customHeight="1" spans="1:13">
      <c r="A335" s="2"/>
      <c r="B335" s="2"/>
      <c r="C335" s="2"/>
      <c r="D335" s="2"/>
      <c r="E335" s="2"/>
      <c r="F335" s="2"/>
      <c r="G335" s="2"/>
      <c r="H335" s="2"/>
      <c r="I335" s="3"/>
      <c r="J335" s="3"/>
      <c r="K335" s="3"/>
      <c r="L335" s="2"/>
      <c r="M335" s="2"/>
    </row>
    <row r="336" ht="18" customHeight="1" spans="1:13">
      <c r="A336" s="2"/>
      <c r="B336" s="2"/>
      <c r="C336" s="2"/>
      <c r="D336" s="2"/>
      <c r="E336" s="2"/>
      <c r="F336" s="2"/>
      <c r="G336" s="2"/>
      <c r="H336" s="2"/>
      <c r="I336" s="3"/>
      <c r="J336" s="3"/>
      <c r="K336" s="3"/>
      <c r="L336" s="2"/>
      <c r="M336" s="2"/>
    </row>
    <row r="337" ht="36" customHeight="1" spans="1:13">
      <c r="A337" s="2"/>
      <c r="B337" s="2"/>
      <c r="C337" s="2"/>
      <c r="D337" s="2"/>
      <c r="E337" s="2"/>
      <c r="F337" s="2"/>
      <c r="G337" s="2"/>
      <c r="H337" s="2"/>
      <c r="I337" s="3"/>
      <c r="J337" s="3"/>
      <c r="K337" s="3"/>
      <c r="L337" s="2"/>
      <c r="M337" s="2"/>
    </row>
    <row r="338" ht="36" customHeight="1" spans="1:13">
      <c r="A338" s="2"/>
      <c r="B338" s="2"/>
      <c r="C338" s="2"/>
      <c r="D338" s="2"/>
      <c r="E338" s="2"/>
      <c r="F338" s="2"/>
      <c r="G338" s="2"/>
      <c r="H338" s="2"/>
      <c r="I338" s="3"/>
      <c r="J338" s="3"/>
      <c r="K338" s="3"/>
      <c r="L338" s="2"/>
      <c r="M338" s="2"/>
    </row>
    <row r="339" ht="18" customHeight="1" spans="1:13">
      <c r="A339" s="2"/>
      <c r="B339" s="2"/>
      <c r="C339" s="2"/>
      <c r="D339" s="2"/>
      <c r="E339" s="2"/>
      <c r="F339" s="2"/>
      <c r="G339" s="2"/>
      <c r="H339" s="2"/>
      <c r="I339" s="3"/>
      <c r="J339" s="3"/>
      <c r="K339" s="3"/>
      <c r="L339" s="2"/>
      <c r="M339" s="2"/>
    </row>
    <row r="340" ht="36" customHeight="1" spans="1:13">
      <c r="A340" s="2"/>
      <c r="B340" s="2"/>
      <c r="C340" s="2"/>
      <c r="D340" s="2"/>
      <c r="E340" s="2"/>
      <c r="F340" s="2"/>
      <c r="G340" s="2"/>
      <c r="H340" s="2"/>
      <c r="I340" s="3"/>
      <c r="J340" s="3"/>
      <c r="K340" s="3"/>
      <c r="L340" s="2"/>
      <c r="M340" s="2"/>
    </row>
  </sheetData>
  <conditionalFormatting sqref="K2:K340">
    <cfRule type="cellIs" dxfId="32" priority="1" operator="notEqual">
      <formula>0</formula>
    </cfRule>
  </conditionalFormatting>
  <conditionalFormatting sqref="L2:L340">
    <cfRule type="expression" dxfId="33" priority="2">
      <formula>$L2="已修正"</formula>
    </cfRule>
    <cfRule type="expression" dxfId="30" priority="3">
      <formula>$L2="OK"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样品及辅助设备需求</vt:lpstr>
      <vt:lpstr>费用预估</vt:lpstr>
      <vt:lpstr>SGS</vt:lpstr>
      <vt:lpstr>华测</vt:lpstr>
      <vt:lpstr>苏勃</vt:lpstr>
      <vt:lpstr>费用对比</vt:lpstr>
      <vt:lpstr>特殊项目费用</vt:lpstr>
      <vt:lpstr>费用规则校验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clytia</cp:lastModifiedBy>
  <dcterms:created xsi:type="dcterms:W3CDTF">2026-06-19T19:13:00Z</dcterms:created>
  <dcterms:modified xsi:type="dcterms:W3CDTF">2026-06-23T18:35:17Z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4A61A8BD6A978DCCACFC396A167C8891_43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