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4dc4862d4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品及辅助设备需求" sheetId="1" r:id="Rfd88f34013574cca"/>
  </x:sheets>
</x:workbook>
</file>

<file path=xl/sharedStrings.xml><?xml version="1.0" encoding="utf-8"?>
<x:sst xmlns:x="http://schemas.openxmlformats.org/spreadsheetml/2006/main">
  <x:si>
    <x:t xml:space="preserve">MLA DV样品及辅助设备需求汇总</x:t>
  </x:si>
  <x:si>
    <x:t xml:space="preserve">MLA PV样品及辅助设备需求汇总</x:t>
  </x:si>
  <x:si>
    <x:t xml:space="preserve">组内测试按顺序执行：样品及耗材按组内峰值准备；工装跨时段复用并按Phase峰值申请；DV与PV独立计算。</x:t>
  </x:si>
  <x:si>
    <x:t xml:space="preserve">组别</x:t>
  </x:si>
  <x:si>
    <x:t xml:space="preserve">样品需求</x:t>
  </x:si>
  <x:si>
    <x:t xml:space="preserve">工装需求</x:t>
  </x:si>
  <x:si>
    <x:t xml:space="preserve">投图板周边</x:t>
  </x:si>
  <x:si>
    <x:t xml:space="preserve">HUD周边</x:t>
  </x:si>
  <x:si>
    <x:t xml:space="preserve">Sensor周边</x:t>
  </x:si>
  <x:si>
    <x:t xml:space="preserve">备注/特殊要求</x:t>
  </x:si>
  <x:si>
    <x:t xml:space="preserve">HUD</x:t>
  </x:si>
  <x:si>
    <x:t xml:space="preserve">PCBA</x:t>
  </x:si>
  <x:si>
    <x:t xml:space="preserve">振动/冲击工装</x:t>
  </x:si>
  <x:si>
    <x:t xml:space="preserve">防尘防水工装</x:t>
  </x:si>
  <x:si>
    <x:t xml:space="preserve">视频源板</x:t>
  </x:si>
  <x:si>
    <x:t xml:space="preserve">视频源板电源线</x:t>
  </x:si>
  <x:si>
    <x:t xml:space="preserve">视频源板与PC串口线</x:t>
  </x:si>
  <x:si>
    <x:t xml:space="preserve">HUD电源线 2m</x:t>
  </x:si>
  <x:si>
    <x:t xml:space="preserve">HUD电源线 3m</x:t>
  </x:si>
  <x:si>
    <x:t xml:space="preserve">FPD LINK线 2m</x:t>
  </x:si>
  <x:si>
    <x:t xml:space="preserve">FPD LINK线 3m</x:t>
  </x:si>
  <x:si>
    <x:t xml:space="preserve">HUB</x:t>
  </x:si>
  <x:si>
    <x:t xml:space="preserve">USB延长线</x:t>
  </x:si>
  <x:si>
    <x:t xml:space="preserve">Sensor</x:t>
  </x:si>
  <x:si>
    <x:t xml:space="preserve">Sensor小板</x:t>
  </x:si>
  <x:si>
    <x:t xml:space="preserve">Sensor线</x:t>
  </x:si>
  <x:si>
    <x:t xml:space="preserve">Group A</x:t>
  </x:si>
  <x:si>
    <x:t xml:space="preserve">Group B</x:t>
  </x:si>
  <x:si>
    <x:t xml:space="preserve">MLA平台项目K22需要额外的3个带cover lens的top housing；K18测试线束必须为全新的</x:t>
  </x:si>
  <x:si>
    <x:t xml:space="preserve">Group C</x:t>
  </x:si>
  <x:si>
    <x:t xml:space="preserve">Group D-1</x:t>
  </x:si>
  <x:si>
    <x:t xml:space="preserve">Group D-2</x:t>
  </x:si>
  <x:si>
    <x:t xml:space="preserve">Group D-3</x:t>
  </x:si>
  <x:si>
    <x:t xml:space="preserve">需要额外提供8套PGU模组/电机组件用于测试功能</x:t>
  </x:si>
  <x:si>
    <x:t xml:space="preserve">Group D-4</x:t>
  </x:si>
  <x:si>
    <x:t xml:space="preserve">需要额外提供6套PGU模组/电机组件/开孔bottom housing用于测试功能</x:t>
  </x:si>
  <x:si>
    <x:t xml:space="preserve">Group D-5</x:t>
  </x:si>
  <x:si>
    <x:t xml:space="preserve">Group D-6</x:t>
  </x:si>
  <x:si>
    <x:t xml:space="preserve">Group D-7</x:t>
  </x:si>
  <x:si>
    <x:t xml:space="preserve">Group D-9</x:t>
  </x:si>
  <x:si>
    <x:t xml:space="preserve">Group D-8</x:t>
  </x:si>
  <x:si>
    <x:t xml:space="preserve">Group E-1</x:t>
  </x:si>
  <x:si>
    <x:t xml:space="preserve">样品可以为故障状态</x:t>
  </x:si>
  <x:si>
    <x:t xml:space="preserve">Group E-2</x:t>
  </x:si>
  <x:si>
    <x:t xml:space="preserve">样品无需满足光学性能</x:t>
  </x:si>
  <x:si>
    <x:t xml:space="preserve">备样</x:t>
  </x:si>
  <x:si>
    <x:t xml:space="preserve">全部组别合计</x:t>
  </x:si>
  <x:si>
    <x:t xml:space="preserve">需求细则</x:t>
  </x:si>
  <x:si>
    <x:t xml:space="preserve">Group A Sequence Tests</x:t>
  </x:si>
  <x:si>
    <x:t xml:space="preserve">sensor周边</x:t>
  </x:si>
  <x:si>
    <x:t xml:space="preserve">特殊要求</x:t>
  </x:si>
  <x:si>
    <x:t xml:space="preserve">组别顺序</x:t>
  </x:si>
  <x:si>
    <x:t xml:space="preserve">组内顺序</x:t>
  </x:si>
  <x:si>
    <x:t xml:space="preserve">测试编号</x:t>
  </x:si>
  <x:si>
    <x:t xml:space="preserve">测试项目</x:t>
  </x:si>
  <x:si>
    <x:t xml:space="preserve">振动工装</x:t>
  </x:si>
  <x:si>
    <x:t xml:space="preserve">视频源板与PC--串口线</x:t>
  </x:si>
  <x:si>
    <x:t xml:space="preserve">HUD电源线
2m</x:t>
  </x:si>
  <x:si>
    <x:t xml:space="preserve">HUD电源线
3m</x:t>
  </x:si>
  <x:si>
    <x:t xml:space="preserve">FPD LINK线
2m</x:t>
  </x:si>
  <x:si>
    <x:t xml:space="preserve">FPD LINK线
3m</x:t>
  </x:si>
  <x:si>
    <x:t xml:space="preserve">sensor</x:t>
  </x:si>
  <x:si>
    <x:t xml:space="preserve">sensor
小板</x:t>
  </x:si>
  <x:si>
    <x:t xml:space="preserve">sensor线</x:t>
  </x:si>
  <x:si>
    <x:t xml:space="preserve">Optical</x:t>
  </x:si>
  <x:si>
    <x:t xml:space="preserve">Optical Test</x:t>
  </x:si>
  <x:si>
    <x:t xml:space="preserve">L1&amp;L4</x:t>
  </x:si>
  <x:si>
    <x:t xml:space="preserve">L1&amp;L4 Performance Evaluation &amp; Functional Evaluation</x:t>
  </x:si>
  <x:si>
    <x:t xml:space="preserve">Particle</x:t>
  </x:si>
  <x:si>
    <x:t xml:space="preserve">Particle Exposure</x:t>
  </x:si>
  <x:si>
    <x:t xml:space="preserve">K1</x:t>
  </x:si>
  <x:si>
    <x:t xml:space="preserve">K1 Low Temperature Exposure</x:t>
  </x:si>
  <x:si>
    <x:t xml:space="preserve">K2</x:t>
  </x:si>
  <x:si>
    <x:t xml:space="preserve">K2 High Temperature Exposure</x:t>
  </x:si>
  <x:si>
    <x:t xml:space="preserve">K3</x:t>
  </x:si>
  <x:si>
    <x:t xml:space="preserve">K3 Low Temperature Operation</x:t>
  </x:si>
  <x:si>
    <x:t xml:space="preserve">K4</x:t>
  </x:si>
  <x:si>
    <x:t xml:space="preserve">K4 High Temperature Operation</x:t>
  </x:si>
  <x:si>
    <x:t xml:space="preserve">K5</x:t>
  </x:si>
  <x:si>
    <x:t xml:space="preserve">K5 Temperature Step Test</x:t>
  </x:si>
  <x:si>
    <x:t xml:space="preserve">K6</x:t>
  </x:si>
  <x:si>
    <x:t xml:space="preserve">K6 Power Thermal Cycle</x:t>
  </x:si>
  <x:si>
    <x:t xml:space="preserve">K7</x:t>
  </x:si>
  <x:si>
    <x:t xml:space="preserve">K7 Thermal Shock in Air</x:t>
  </x:si>
  <x:si>
    <x:t xml:space="preserve">K15</x:t>
  </x:si>
  <x:si>
    <x:t xml:space="preserve">K15 Vibration</x:t>
  </x:si>
  <x:si>
    <x:t xml:space="preserve">K16.1</x:t>
  </x:si>
  <x:si>
    <x:t xml:space="preserve">K16.1 Mechanical Shock Package Drop</x:t>
  </x:si>
  <x:si>
    <x:t xml:space="preserve">K16.4</x:t>
  </x:si>
  <x:si>
    <x:t xml:space="preserve">K16.4 Mechanical Shock Low</x:t>
  </x:si>
  <x:si>
    <x:t xml:space="preserve">K17</x:t>
  </x:si>
  <x:si>
    <x:t xml:space="preserve">K17 Audible Noise</x:t>
  </x:si>
  <x:si>
    <x:t xml:space="preserve">K9</x:t>
  </x:si>
  <x:si>
    <x:t xml:space="preserve">K9 Temperature/Humidity Cycle</x:t>
  </x:si>
  <x:si>
    <x:t xml:space="preserve">K10</x:t>
  </x:si>
  <x:si>
    <x:t xml:space="preserve">K10 Water/Fluid Ingress Test</x:t>
  </x:si>
  <x:si>
    <x:t xml:space="preserve">K13</x:t>
  </x:si>
  <x:si>
    <x:t xml:space="preserve">K13 Dust Ingress</x:t>
  </x:si>
  <x:si>
    <x:t xml:space="preserve">K14</x:t>
  </x:si>
  <x:si>
    <x:t xml:space="preserve">K14 Dust Blowing Test</x:t>
  </x:si>
  <x:si>
    <x:t xml:space="preserve">L6-photo&amp;xray</x:t>
  </x:si>
  <x:si>
    <x:t xml:space="preserve">Max</x:t>
  </x:si>
  <x:si>
    <x:t xml:space="preserve">Group B Sequence Tests</x:t>
  </x:si>
  <x:si>
    <x:t xml:space="preserve">K22</x:t>
  </x:si>
  <x:si>
    <x:t xml:space="preserve">K22 Chemical Resistance</x:t>
  </x:si>
  <x:si>
    <x:t xml:space="preserve">MLA平台项目K22需要额外的3个带cover lens的top housing</x:t>
  </x:si>
  <x:si>
    <x:t xml:space="preserve">K18</x:t>
  </x:si>
  <x:si>
    <x:t xml:space="preserve">K18 Connector and lead/lock strength</x:t>
  </x:si>
  <x:si>
    <x:t xml:space="preserve">线束必须为全新的</x:t>
  </x:si>
  <x:si>
    <x:t xml:space="preserve">Group C Sequence Tests</x:t>
  </x:si>
  <x:si>
    <x:t xml:space="preserve">K15 Vibartion</x:t>
  </x:si>
  <x:si>
    <x:t xml:space="preserve">K26</x:t>
  </x:si>
  <x:si>
    <x:t xml:space="preserve">K26 Mechanical Wear-Out</x:t>
  </x:si>
  <x:si>
    <x:t xml:space="preserve">Group D Parallel Tests / D-1 Corrosive Gases</x:t>
  </x:si>
  <x:si>
    <x:t xml:space="preserve">K21</x:t>
  </x:si>
  <x:si>
    <x:t xml:space="preserve">K21 Corrosive Gases</x:t>
  </x:si>
  <x:si>
    <x:t xml:space="preserve">Group D Parallel Tests / D-2 Solar Radiation</x:t>
  </x:si>
  <x:si>
    <x:t xml:space="preserve">K20</x:t>
  </x:si>
  <x:si>
    <x:t xml:space="preserve">K20 Solar Radiation</x:t>
  </x:si>
  <x:si>
    <x:t xml:space="preserve">Group D Parallel Tests / D-3 Thermal Shock Endurance --PCBA</x:t>
  </x:si>
  <x:si>
    <x:t xml:space="preserve">K23</x:t>
  </x:si>
  <x:si>
    <x:t xml:space="preserve">K23 Thermal Shock Endurance</x:t>
  </x:si>
  <x:si>
    <x:t xml:space="preserve">需要额外提供8套PGU模组/电机组件用于测试功能；PCBA测试前需要进行X-RAY，确保没有隐性问题</x:t>
  </x:si>
  <x:si>
    <x:t xml:space="preserve">L6-SEM&amp;SECTION</x:t>
  </x:si>
  <x:si>
    <x:t xml:space="preserve">Group D Parallel Tests / D-4 Dewing Test-- PCBA</x:t>
  </x:si>
  <x:si>
    <x:t xml:space="preserve">K8</x:t>
  </x:si>
  <x:si>
    <x:t xml:space="preserve">K8 Dewing Test</x:t>
  </x:si>
  <x:si>
    <x:t xml:space="preserve">Group D Parallel Tests / D-5 Life Test-1</x:t>
  </x:si>
  <x:si>
    <x:t xml:space="preserve">K24</x:t>
  </x:si>
  <x:si>
    <x:t xml:space="preserve">K24 High Temperature Endurance</x:t>
  </x:si>
  <x:si>
    <x:t xml:space="preserve">Group D Parallel Tests / D-6 Life Test-2-1</x:t>
  </x:si>
  <x:si>
    <x:t xml:space="preserve">K27</x:t>
  </x:si>
  <x:si>
    <x:t xml:space="preserve">K27 85/85 High Temperature -High Humidity Endurance</x:t>
  </x:si>
  <x:si>
    <x:t xml:space="preserve">Group D Parallel Tests / D-7 Life Test-2-2</x:t>
  </x:si>
  <x:si>
    <x:t xml:space="preserve">K27 60/95 High Temperature -High Humidity Endurance</x:t>
  </x:si>
  <x:si>
    <x:t xml:space="preserve">Group D-9：PV / Group D Parallel Tests / D-9</x:t>
  </x:si>
  <x:si>
    <x:t xml:space="preserve">Group D Parallel Tests / D-8</x:t>
  </x:si>
  <x:si>
    <x:t xml:space="preserve">K52.351</x:t>
  </x:si>
  <x:si>
    <x:t xml:space="preserve">Condensing humidity</x:t>
  </x:si>
  <x:si>
    <x:t xml:space="preserve">K28</x:t>
  </x:si>
  <x:si>
    <x:t xml:space="preserve">K28 HALT Cold</x:t>
  </x:si>
  <x:si>
    <x:t xml:space="preserve">K28 HALT Hot</x:t>
  </x:si>
  <x:si>
    <x:t xml:space="preserve">K28 HALT Thermal Shock</x:t>
  </x:si>
  <x:si>
    <x:t xml:space="preserve">K28 HALT Vibration</x:t>
  </x:si>
  <x:si>
    <x:t xml:space="preserve">K28 HALT TST &amp; Vibration</x:t>
  </x:si>
  <x:si>
    <x:t xml:space="preserve">Group E-1：PV / Group F Other Tests / Restricted Substance</x:t>
  </x:si>
  <x:si>
    <x:t xml:space="preserve">E-1</x:t>
  </x:si>
  <x:si>
    <x:t xml:space="preserve">E-1 Restricted Substance Management</x:t>
  </x:si>
  <x:si>
    <x:t xml:space="preserve">Group E-2：PV / Group F Other Tests / Noise test</x:t>
  </x:si>
  <x:si>
    <x:t xml:space="preserve">E-2</x:t>
  </x:si>
  <x:si>
    <x:t xml:space="preserve">E-2 Operating Noise &amp; Transient Noise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</x:si>
</x:sst>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2"/>
      <x:name val="宋体"/>
    </x:font>
    <x:font>
      <x:sz val="10"/>
      <x:name val="黑体"/>
    </x:font>
    <x:font>
      <x:b/>
      <x:sz val="12"/>
      <x:name val="黑体"/>
    </x:font>
    <x:font>
      <x:b/>
      <x:sz val="10"/>
      <x:name val="黑体"/>
    </x:font>
    <x:font>
      <x:b/>
      <x:sz val="10"/>
      <x:color rgb="FFFF0000"/>
      <x:name val="黑体"/>
    </x:font>
    <x:font>
      <x:sz val="10"/>
      <x:color rgb="FFFF0000"/>
      <x:name val="黑体"/>
    </x:font>
    <x:font>
      <x:b/>
      <x:sz val="15"/>
      <x:color rgb="FFFFFFFF"/>
      <x:name val="黑体"/>
    </x:font>
    <x:font>
      <x:sz val="10"/>
      <x:color rgb="FF375623"/>
      <x:name val="黑体"/>
    </x:font>
    <x:font>
      <x:b/>
      <x:sz val="12"/>
      <x:color rgb="FFFFFFFF"/>
      <x:name val="黑体"/>
    </x:font>
    <x:font>
      <x:b/>
      <x:sz val="10"/>
      <x:color rgb="FF17365D"/>
      <x:name val="黑体"/>
    </x:font>
    <x:font>
      <x:sz val="10"/>
      <x:color rgb="FF17365D"/>
      <x:name val="黑体"/>
    </x:font>
    <x:font>
      <x:sz val="12"/>
      <x:name val="黑体"/>
    </x:font>
    <x:font>
      <x:b/>
      <x:sz val="12"/>
      <x:color theme="0"/>
      <x:name val="黑体"/>
    </x:font>
    <x:font>
      <x:b/>
      <x:sz val="10"/>
      <x:color theme="0"/>
      <x:name val="黑体"/>
    </x:font>
    <x:font>
      <x:b/>
      <x:sz val="10"/>
      <x:color rgb="FFFFFFFF"/>
      <x:name val="黑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5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00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theme="4" tint="0.8"/>
      </x:patternFill>
    </x:fill>
    <x:fill>
      <x:patternFill patternType="solid">
        <x:fgColor rgb="FFFFF5F2"/>
      </x:patternFill>
    </x:fill>
    <x:fill>
      <x:patternFill patternType="solid">
        <x:fgColor theme="4" tint="-0.25"/>
      </x:patternFill>
    </x:fill>
    <x:fill>
      <x:patternFill patternType="solid">
        <x:fgColor theme="0" tint="-0.5"/>
      </x:patternFill>
    </x:fill>
    <x:fill>
      <x:patternFill patternType="solid">
        <x:fgColor theme="3" tint="0.8"/>
      </x:patternFill>
    </x:fill>
    <x:fill>
      <x:patternFill patternType="solid">
        <x:fgColor theme="5" tint="0.8"/>
      </x:patternFill>
    </x:fill>
    <x:fill>
      <x:patternFill patternType="solid">
        <x:fgColor theme="7" tint="0.8"/>
      </x:patternFill>
    </x:fill>
    <x:fill>
      <x:patternFill patternType="solid">
        <x:fgColor theme="9" tint="0.8"/>
      </x:patternFill>
    </x:fill>
    <x:fill>
      <x:patternFill patternType="solid">
        <x:fgColor theme="5" tint="-0.25"/>
      </x:patternFill>
    </x:fill>
    <x:fill>
      <x:patternFill patternType="solid">
        <x:fgColor theme="7"/>
      </x:patternFill>
    </x:fill>
    <x:fill>
      <x:patternFill patternType="solid">
        <x:fgColor rgb="FFDADDE1"/>
      </x:patternFill>
    </x:fill>
    <x:fill>
      <x:patternFill patternType="solid">
        <x:fgColor rgb="FFFBE5D6"/>
      </x:patternFill>
    </x:fill>
    <x:fill>
      <x:patternFill patternType="solid">
        <x:fgColor rgb="FFDE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CE5D6"/>
      </x:patternFill>
    </x:fill>
    <x:fill>
      <x:patternFill patternType="solid">
        <x:fgColor rgb="FF80808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4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top style="hair">
        <x:color auto="1"/>
      </x:top>
      <x:bottom style="hair">
        <x:color rgb="FF000000"/>
      </x:bottom>
    </x:border>
    <x:border>
      <x:top style="hair">
        <x:color rgb="FF000000"/>
      </x:top>
      <x:bottom style="hair">
        <x:color rgb="FF000000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auto="1"/>
      </x:right>
      <x:top style="hair">
        <x:color rgb="FF000000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rgb="FF000000"/>
      </x:top>
      <x:bottom style="hair">
        <x:color auto="1"/>
      </x:bottom>
    </x:border>
    <x:border>
      <x:left style="hair">
        <x:color auto="1"/>
      </x:left>
      <x:top style="hair">
        <x:color rgb="FF000000"/>
      </x:top>
      <x:bottom style="hair">
        <x:color auto="1"/>
      </x:bottom>
    </x:border>
    <x:border>
      <x:left style="hair">
        <x:color rgb="FF000000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rgb="FF000000"/>
      </x:left>
      <x:right style="hair">
        <x:color auto="1"/>
      </x:right>
      <x:top style="hair">
        <x:color auto="1"/>
      </x:top>
      <x:bottom style="hair">
        <x:color rgb="FF000000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rgb="FF000000"/>
      </x:bottom>
    </x:border>
    <x:border>
      <x:left style="hair">
        <x:color auto="1"/>
      </x:left>
      <x:top style="hair">
        <x:color auto="1"/>
      </x:top>
      <x:bottom style="hair">
        <x:color rgb="FF000000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right style="hair">
        <x:color auto="1"/>
      </x:right>
      <x:top style="hair">
        <x:color rgb="FF000000"/>
      </x:top>
      <x:bottom style="hair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5" fillId="0" borderId="0">
      <x:alignment vertical="center"/>
    </x:xf>
    <x:xf numFmtId="44" fontId="15" fillId="0" borderId="0">
      <x:alignment vertical="center"/>
    </x:xf>
    <x:xf numFmtId="9" fontId="15" fillId="0" borderId="0">
      <x:alignment vertical="center"/>
    </x:xf>
    <x:xf numFmtId="41" fontId="15" fillId="0" borderId="0">
      <x:alignment vertical="center"/>
    </x:xf>
    <x:xf numFmtId="42" fontId="15" fillId="0" borderId="0">
      <x:alignment vertical="center"/>
    </x:xf>
    <x:xf numFmtId="0" fontId="16" fillId="0" borderId="0">
      <x:alignment vertical="center"/>
    </x:xf>
    <x:xf numFmtId="0" fontId="17" fillId="0" borderId="0">
      <x:alignment vertical="center"/>
    </x:xf>
    <x:xf numFmtId="0" fontId="15" fillId="24" borderId="41">
      <x:alignment vertical="center"/>
    </x:xf>
    <x:xf numFmtId="0" fontId="18" fillId="0" borderId="0">
      <x:alignment vertical="center"/>
    </x:xf>
    <x:xf numFmtId="0" fontId="19" fillId="0" borderId="0">
      <x:alignment vertical="center"/>
    </x:xf>
    <x:xf numFmtId="0" fontId="20" fillId="0" borderId="0">
      <x:alignment vertical="center"/>
    </x:xf>
    <x:xf numFmtId="0" fontId="21" fillId="0" borderId="42">
      <x:alignment vertical="center"/>
    </x:xf>
    <x:xf numFmtId="0" fontId="22" fillId="0" borderId="42">
      <x:alignment vertical="center"/>
    </x:xf>
    <x:xf numFmtId="0" fontId="23" fillId="0" borderId="43">
      <x:alignment vertical="center"/>
    </x:xf>
    <x:xf numFmtId="0" fontId="23" fillId="0" borderId="0">
      <x:alignment vertical="center"/>
    </x:xf>
    <x:xf numFmtId="0" fontId="24" fillId="25" borderId="44">
      <x:alignment vertical="center"/>
    </x:xf>
    <x:xf numFmtId="0" fontId="25" fillId="26" borderId="45">
      <x:alignment vertical="center"/>
    </x:xf>
    <x:xf numFmtId="0" fontId="26" fillId="26" borderId="44">
      <x:alignment vertical="center"/>
    </x:xf>
    <x:xf numFmtId="0" fontId="27" fillId="27" borderId="46">
      <x:alignment vertical="center"/>
    </x:xf>
    <x:xf numFmtId="0" fontId="28" fillId="0" borderId="47">
      <x:alignment vertical="center"/>
    </x:xf>
    <x:xf numFmtId="0" fontId="29" fillId="0" borderId="48">
      <x:alignment vertical="center"/>
    </x:xf>
    <x:xf numFmtId="0" fontId="30" fillId="28" borderId="0">
      <x:alignment vertical="center"/>
    </x:xf>
    <x:xf numFmtId="0" fontId="31" fillId="29" borderId="0">
      <x:alignment vertical="center"/>
    </x:xf>
    <x:xf numFmtId="0" fontId="32" fillId="30" borderId="0">
      <x:alignment vertical="center"/>
    </x:xf>
    <x:xf numFmtId="0" fontId="33" fillId="31" borderId="0">
      <x:alignment vertical="center"/>
    </x:xf>
    <x:xf numFmtId="0" fontId="15" fillId="32" borderId="0">
      <x:alignment vertical="center"/>
    </x:xf>
    <x:xf numFmtId="0" fontId="15" fillId="33" borderId="0">
      <x:alignment vertical="center"/>
    </x:xf>
    <x:xf numFmtId="0" fontId="33" fillId="34" borderId="0">
      <x:alignment vertical="center"/>
    </x:xf>
    <x:xf numFmtId="0" fontId="33" fillId="35" borderId="0">
      <x:alignment vertical="center"/>
    </x:xf>
    <x:xf numFmtId="0" fontId="15" fillId="36" borderId="0">
      <x:alignment vertical="center"/>
    </x:xf>
    <x:xf numFmtId="0" fontId="15" fillId="37" borderId="0">
      <x:alignment vertical="center"/>
    </x:xf>
    <x:xf numFmtId="0" fontId="33" fillId="38" borderId="0">
      <x:alignment vertical="center"/>
    </x:xf>
    <x:xf numFmtId="0" fontId="33" fillId="39" borderId="0">
      <x:alignment vertical="center"/>
    </x:xf>
    <x:xf numFmtId="0" fontId="15" fillId="40" borderId="0">
      <x:alignment vertical="center"/>
    </x:xf>
    <x:xf numFmtId="0" fontId="15" fillId="41" borderId="0">
      <x:alignment vertical="center"/>
    </x:xf>
    <x:xf numFmtId="0" fontId="33" fillId="42" borderId="0">
      <x:alignment vertical="center"/>
    </x:xf>
    <x:xf numFmtId="0" fontId="33" fillId="16" borderId="0">
      <x:alignment vertical="center"/>
    </x:xf>
    <x:xf numFmtId="0" fontId="15" fillId="43" borderId="0">
      <x:alignment vertical="center"/>
    </x:xf>
    <x:xf numFmtId="0" fontId="15" fillId="44" borderId="0">
      <x:alignment vertical="center"/>
    </x:xf>
    <x:xf numFmtId="0" fontId="33" fillId="45" borderId="0">
      <x:alignment vertical="center"/>
    </x:xf>
    <x:xf numFmtId="0" fontId="33" fillId="46" borderId="0">
      <x:alignment vertical="center"/>
    </x:xf>
    <x:xf numFmtId="0" fontId="15" fillId="47" borderId="0">
      <x:alignment vertical="center"/>
    </x:xf>
    <x:xf numFmtId="0" fontId="15" fillId="48" borderId="0">
      <x:alignment vertical="center"/>
    </x:xf>
    <x:xf numFmtId="0" fontId="33" fillId="49" borderId="0">
      <x:alignment vertical="center"/>
    </x:xf>
    <x:xf numFmtId="0" fontId="33" fillId="50" borderId="0">
      <x:alignment vertical="center"/>
    </x:xf>
    <x:xf numFmtId="0" fontId="15" fillId="51" borderId="0">
      <x:alignment vertical="center"/>
    </x:xf>
    <x:xf numFmtId="0" fontId="15" fillId="52" borderId="0">
      <x:alignment vertical="center"/>
    </x:xf>
    <x:xf numFmtId="0" fontId="33" fillId="53" borderId="0">
      <x:alignment vertical="center"/>
    </x:xf>
  </x:cellStyleXfs>
  <x:cellXfs count="257">
    <x:xf numFmtId="0" fontId="0" fillId="0" borderId="0" xfId="0" applyAlignment="1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6" fillId="2" borderId="0" xfId="0" applyNumberFormat="1" applyFont="1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7" fillId="4" borderId="0" xfId="0" applyNumberFormat="1" applyFont="1" applyFill="1" applyAlignment="1">
      <x:alignment horizontal="left" vertical="center" wrapText="1"/>
    </x:xf>
    <x:xf numFmtId="0" fontId="1" fillId="0" borderId="0" xfId="0" applyFont="1" applyAlignment="1">
      <x:alignment vertical="center"/>
    </x:xf>
    <x:xf numFmtId="0" fontId="1" fillId="0" borderId="0" xfId="0" applyFont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Alignment="1">
      <x:alignment horizontal="center" vertical="center" wrapText="1"/>
    </x:xf>
    <x:xf numFmtId="0" fontId="8" fillId="5" borderId="0" xfId="0" applyNumberFormat="1" applyFont="1" applyFill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9" fillId="6" borderId="2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1" fontId="1" fillId="0" borderId="4" xfId="0" applyNumberFormat="1" applyFont="1" applyFill="1" applyBorder="1" applyAlignment="1">
      <x:alignment horizontal="center" vertical="center" wrapText="1"/>
    </x:xf>
    <x:xf numFmtId="1" fontId="1" fillId="8" borderId="4" xfId="0" applyNumberFormat="1" applyFont="1" applyFill="1" applyBorder="1" applyAlignment="1">
      <x:alignment horizontal="center" vertical="center" wrapText="1"/>
    </x:xf>
    <x:xf numFmtId="1" fontId="1" fillId="8" borderId="5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1" fontId="2" fillId="0" borderId="4" xfId="0" applyNumberFormat="1" applyFont="1" applyFill="1" applyBorder="1" applyAlignment="1">
      <x:alignment horizontal="center" vertical="center" wrapText="1"/>
    </x:xf>
    <x:xf numFmtId="1" fontId="2" fillId="0" borderId="5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Alignment="1">
      <x:alignment horizontal="center" vertical="center" wrapText="1"/>
    </x:xf>
    <x:xf numFmtId="1" fontId="1" fillId="0" borderId="0" xfId="0" applyNumberFormat="1" applyFont="1" applyFill="1" applyAlignment="1">
      <x:alignment horizontal="center" vertical="center" wrapText="1"/>
    </x:xf>
    <x:xf numFmtId="1" fontId="11" fillId="0" borderId="0" xfId="0" applyNumberFormat="1" applyFont="1" applyFill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Alignment="1">
      <x:alignment horizontal="center" vertical="center" wrapText="1"/>
    </x:xf>
    <x:xf numFmtId="1" fontId="2" fillId="0" borderId="0" xfId="0" applyNumberFormat="1" applyFont="1" applyFill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2" fillId="9" borderId="13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3" fillId="10" borderId="14" xfId="0" applyFont="1" applyFill="1" applyBorder="1" applyAlignment="1">
      <x:alignment horizontal="left" vertical="center"/>
    </x:xf>
    <x:xf numFmtId="0" fontId="13" fillId="10" borderId="0" xfId="0" applyFont="1" applyFill="1" applyAlignment="1">
      <x:alignment horizontal="left" vertical="center"/>
    </x:xf>
    <x:xf numFmtId="0" fontId="3" fillId="11" borderId="15" xfId="0" applyFont="1" applyFill="1" applyBorder="1" applyAlignment="1">
      <x:alignment horizontal="center" vertical="center"/>
    </x:xf>
    <x:xf numFmtId="0" fontId="3" fillId="12" borderId="15" xfId="0" applyFont="1" applyFill="1" applyBorder="1" applyAlignment="1">
      <x:alignment horizontal="center" vertical="center"/>
    </x:xf>
    <x:xf numFmtId="0" fontId="3" fillId="12" borderId="15" xfId="0" applyFont="1" applyFill="1" applyBorder="1" applyAlignment="1">
      <x:alignment horizontal="center" vertical="center" wrapText="1"/>
    </x:xf>
    <x:xf numFmtId="0" fontId="3" fillId="7" borderId="15" xfId="0" applyFont="1" applyFill="1" applyBorder="1" applyAlignment="1">
      <x:alignment horizontal="center" vertical="center"/>
    </x:xf>
    <x:xf numFmtId="0" fontId="3" fillId="13" borderId="15" xfId="0" applyFont="1" applyFill="1" applyBorder="1" applyAlignment="1">
      <x:alignment horizontal="center" vertical="center"/>
    </x:xf>
    <x:xf numFmtId="0" fontId="3" fillId="14" borderId="15" xfId="0" applyFont="1" applyFill="1" applyBorder="1" applyAlignment="1">
      <x:alignment horizontal="center" vertical="center"/>
    </x:xf>
    <x:xf numFmtId="0" fontId="3" fillId="15" borderId="5" xfId="0" applyFont="1" applyFill="1" applyBorder="1" applyAlignment="1">
      <x:alignment horizontal="center" vertical="center" wrapText="1"/>
    </x:xf>
    <x:xf numFmtId="0" fontId="13" fillId="10" borderId="13" xfId="0" applyFont="1" applyFill="1" applyBorder="1" applyAlignment="1">
      <x:alignment horizontal="left" vertical="center"/>
    </x:xf>
    <x:xf numFmtId="0" fontId="13" fillId="10" borderId="1" xfId="0" applyFont="1" applyFill="1" applyBorder="1" applyAlignment="1">
      <x:alignment horizontal="left" vertical="center"/>
    </x:xf>
    <x:xf numFmtId="0" fontId="3" fillId="11" borderId="16" xfId="0" applyFont="1" applyFill="1" applyBorder="1" applyAlignment="1">
      <x:alignment horizontal="center" vertical="center"/>
    </x:xf>
    <x:xf numFmtId="0" fontId="3" fillId="15" borderId="15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11" borderId="7" xfId="0" applyFont="1" applyFill="1" applyBorder="1" applyAlignment="1">
      <x:alignment horizontal="center" vertical="center"/>
    </x:xf>
    <x:xf numFmtId="0" fontId="3" fillId="11" borderId="4" xfId="0" applyFont="1" applyFill="1" applyBorder="1" applyAlignment="1">
      <x:alignment horizontal="center" vertical="center"/>
    </x:xf>
    <x:xf numFmtId="0" fontId="3" fillId="12" borderId="4" xfId="0" applyFont="1" applyFill="1" applyBorder="1" applyAlignment="1">
      <x:alignment horizontal="center" vertical="center"/>
    </x:xf>
    <x:xf numFmtId="0" fontId="3" fillId="12" borderId="4" xfId="0" applyFont="1" applyFill="1" applyBorder="1" applyAlignment="1">
      <x:alignment horizontal="center" vertical="center" wrapText="1"/>
    </x:xf>
    <x:xf numFmtId="0" fontId="3" fillId="7" borderId="4" xfId="0" applyFont="1" applyFill="1" applyBorder="1" applyAlignment="1">
      <x:alignment horizontal="center" vertical="center" wrapText="1"/>
    </x:xf>
    <x:xf numFmtId="0" fontId="3" fillId="13" borderId="4" xfId="0" applyFont="1" applyFill="1" applyBorder="1" applyAlignment="1">
      <x:alignment horizontal="center" vertical="center" wrapText="1"/>
    </x:xf>
    <x:xf numFmtId="0" fontId="3" fillId="14" borderId="4" xfId="0" applyFont="1" applyFill="1" applyBorder="1" applyAlignment="1">
      <x:alignment horizontal="center" vertical="center" wrapText="1"/>
    </x:xf>
    <x:xf numFmtId="0" fontId="3" fillId="0" borderId="13" xfId="0" applyFont="1" applyBorder="1" applyAlignment="1">
      <x:alignment horizontal="center" vertical="center"/>
    </x:xf>
    <x:xf numFmtId="0" fontId="3" fillId="14" borderId="5" xfId="0" applyFont="1" applyFill="1" applyBorder="1" applyAlignment="1">
      <x:alignment horizontal="center" vertical="center" wrapText="1"/>
    </x:xf>
    <x:xf numFmtId="0" fontId="3" fillId="15" borderId="4" xfId="0" applyFont="1" applyFill="1" applyBorder="1" applyAlignment="1">
      <x:alignment horizontal="center" vertical="center" wrapText="1"/>
    </x:xf>
    <x:xf numFmtId="0" fontId="1" fillId="0" borderId="17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1" fillId="11" borderId="7" xfId="0" applyFont="1" applyFill="1" applyBorder="1" applyAlignment="1">
      <x:alignment horizontal="center" vertical="center"/>
    </x:xf>
    <x:xf numFmtId="0" fontId="1" fillId="12" borderId="4" xfId="0" applyFont="1" applyFill="1" applyBorder="1" applyAlignment="1">
      <x:alignment horizontal="center" vertical="center"/>
    </x:xf>
    <x:xf numFmtId="0" fontId="1" fillId="12" borderId="4" xfId="0" applyFont="1" applyFill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13" xfId="0" applyFont="1" applyBorder="1" applyAlignment="1">
      <x:alignment horizontal="center" vertical="center"/>
    </x:xf>
    <x:xf numFmtId="0" fontId="1" fillId="0" borderId="4" xfId="0" applyFont="1" applyBorder="1" applyAlignment="1">
      <x:alignment vertical="center" wrapText="1"/>
    </x:xf>
    <x:xf numFmtId="0" fontId="1" fillId="7" borderId="4" xfId="0" applyFont="1" applyFill="1" applyBorder="1" applyAlignment="1">
      <x:alignment horizontal="center" vertical="center"/>
    </x:xf>
    <x:xf numFmtId="0" fontId="1" fillId="13" borderId="4" xfId="0" applyFont="1" applyFill="1" applyBorder="1" applyAlignment="1">
      <x:alignment horizontal="center" vertical="center"/>
    </x:xf>
    <x:xf numFmtId="0" fontId="1" fillId="16" borderId="1" xfId="0" applyFont="1" applyFill="1" applyBorder="1" applyAlignment="1">
      <x:alignment horizontal="center" vertical="center"/>
    </x:xf>
    <x:xf numFmtId="0" fontId="1" fillId="16" borderId="1" xfId="0" applyFont="1" applyFill="1" applyBorder="1" applyAlignment="1">
      <x:alignment horizontal="center" vertical="center" wrapText="1"/>
    </x:xf>
    <x:xf numFmtId="0" fontId="1" fillId="11" borderId="4" xfId="0" applyFont="1" applyFill="1" applyBorder="1" applyAlignment="1">
      <x:alignment horizontal="center" vertical="center"/>
    </x:xf>
    <x:xf numFmtId="0" fontId="1" fillId="14" borderId="4" xfId="0" applyFont="1" applyFill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13" xfId="0" applyFont="1" applyFill="1" applyBorder="1" applyAlignment="1">
      <x:alignment horizontal="center" vertical="center"/>
    </x:xf>
    <x:xf numFmtId="0" fontId="11" fillId="0" borderId="5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right" vertical="center"/>
    </x:xf>
    <x:xf numFmtId="0" fontId="4" fillId="11" borderId="7" xfId="0" applyFont="1" applyFill="1" applyBorder="1" applyAlignment="1">
      <x:alignment horizontal="center" vertical="center"/>
    </x:xf>
    <x:xf numFmtId="0" fontId="4" fillId="11" borderId="4" xfId="0" applyFont="1" applyFill="1" applyBorder="1" applyAlignment="1">
      <x:alignment horizontal="center" vertical="center"/>
    </x:xf>
    <x:xf numFmtId="0" fontId="4" fillId="12" borderId="4" xfId="0" applyFont="1" applyFill="1" applyBorder="1" applyAlignment="1">
      <x:alignment horizontal="center" vertical="center"/>
    </x:xf>
    <x:xf numFmtId="0" fontId="4" fillId="7" borderId="4" xfId="0" applyFont="1" applyFill="1" applyBorder="1" applyAlignment="1">
      <x:alignment horizontal="center" vertical="center"/>
    </x:xf>
    <x:xf numFmtId="0" fontId="4" fillId="13" borderId="4" xfId="0" applyFont="1" applyFill="1" applyBorder="1" applyAlignment="1">
      <x:alignment horizontal="center" vertical="center"/>
    </x:xf>
    <x:xf numFmtId="0" fontId="4" fillId="14" borderId="4" xfId="0" applyFont="1" applyFill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right" vertical="center"/>
    </x:xf>
    <x:xf numFmtId="0" fontId="4" fillId="0" borderId="1" xfId="0" applyFont="1" applyBorder="1" applyAlignment="1">
      <x:alignment horizontal="right" vertical="center" wrapText="1"/>
    </x:xf>
    <x:xf numFmtId="0" fontId="4" fillId="17" borderId="18" xfId="0" applyNumberFormat="1" applyFont="1" applyFill="1" applyBorder="1" applyAlignment="1">
      <x:alignment horizontal="center" vertical="center"/>
    </x:xf>
    <x:xf numFmtId="0" fontId="4" fillId="17" borderId="19" xfId="0" applyNumberFormat="1" applyFont="1" applyFill="1" applyBorder="1" applyAlignment="1">
      <x:alignment horizontal="center" vertical="center"/>
    </x:xf>
    <x:xf numFmtId="0" fontId="4" fillId="18" borderId="18" xfId="0" applyNumberFormat="1" applyFont="1" applyFill="1" applyBorder="1" applyAlignment="1">
      <x:alignment horizontal="center" vertical="center"/>
    </x:xf>
    <x:xf numFmtId="0" fontId="4" fillId="18" borderId="19" xfId="0" applyNumberFormat="1" applyFont="1" applyFill="1" applyBorder="1" applyAlignment="1">
      <x:alignment horizontal="center" vertical="center"/>
    </x:xf>
    <x:xf numFmtId="0" fontId="4" fillId="19" borderId="18" xfId="0" applyNumberFormat="1" applyFont="1" applyFill="1" applyBorder="1" applyAlignment="1">
      <x:alignment horizontal="center" vertical="center"/>
    </x:xf>
    <x:xf numFmtId="0" fontId="4" fillId="19" borderId="9" xfId="0" applyNumberFormat="1" applyFont="1" applyFill="1" applyBorder="1" applyAlignment="1">
      <x:alignment horizontal="center" vertical="center"/>
    </x:xf>
    <x:xf numFmtId="0" fontId="4" fillId="19" borderId="19" xfId="0" applyNumberFormat="1" applyFont="1" applyFill="1" applyBorder="1" applyAlignment="1">
      <x:alignment horizontal="center" vertical="center"/>
    </x:xf>
    <x:xf numFmtId="0" fontId="4" fillId="20" borderId="18" xfId="0" applyNumberFormat="1" applyFont="1" applyFill="1" applyBorder="1" applyAlignment="1">
      <x:alignment horizontal="center" vertical="center"/>
    </x:xf>
    <x:xf numFmtId="0" fontId="4" fillId="20" borderId="9" xfId="0" applyNumberFormat="1" applyFont="1" applyFill="1" applyBorder="1" applyAlignment="1">
      <x:alignment horizontal="center" vertical="center"/>
    </x:xf>
    <x:xf numFmtId="0" fontId="4" fillId="20" borderId="19" xfId="0" applyNumberFormat="1" applyFont="1" applyFill="1" applyBorder="1" applyAlignment="1">
      <x:alignment horizontal="center" vertical="center"/>
    </x:xf>
    <x:xf numFmtId="0" fontId="4" fillId="21" borderId="18" xfId="0" applyNumberFormat="1" applyFont="1" applyFill="1" applyBorder="1" applyAlignment="1">
      <x:alignment horizontal="center" vertical="center"/>
    </x:xf>
    <x:xf numFmtId="0" fontId="4" fillId="21" borderId="9" xfId="0" applyNumberFormat="1" applyFont="1" applyFill="1" applyBorder="1" applyAlignment="1">
      <x:alignment horizontal="center" vertical="center"/>
    </x:xf>
    <x:xf numFmtId="0" fontId="3" fillId="0" borderId="4" xfId="0" applyFont="1" applyBorder="1" applyAlignment="1">
      <x:alignment vertical="center" wrapText="1"/>
    </x:xf>
    <x:xf numFmtId="0" fontId="3" fillId="7" borderId="4" xfId="0" applyFont="1" applyFill="1" applyBorder="1" applyAlignment="1">
      <x:alignment horizontal="center" vertical="center"/>
    </x:xf>
    <x:xf numFmtId="0" fontId="3" fillId="13" borderId="4" xfId="0" applyFont="1" applyFill="1" applyBorder="1" applyAlignment="1">
      <x:alignment horizontal="center" vertical="center"/>
    </x:xf>
    <x:xf numFmtId="0" fontId="3" fillId="14" borderId="4" xfId="0" applyFont="1" applyFill="1" applyBorder="1" applyAlignment="1">
      <x:alignment horizontal="center" vertical="center"/>
    </x:xf>
    <x:xf numFmtId="0" fontId="13" fillId="10" borderId="0" xfId="0" applyFont="1" applyFill="1" applyBorder="1" applyAlignment="1">
      <x:alignment horizontal="left" vertical="center"/>
    </x:xf>
    <x:xf numFmtId="0" fontId="3" fillId="17" borderId="2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vertical="center"/>
    </x:xf>
    <x:xf numFmtId="0" fontId="3" fillId="18" borderId="20" xfId="0" applyNumberFormat="1" applyFont="1" applyFill="1" applyBorder="1" applyAlignment="1">
      <x:alignment horizontal="center" vertical="center"/>
    </x:xf>
    <x:xf numFmtId="0" fontId="3" fillId="22" borderId="0" xfId="0" applyNumberFormat="1" applyFont="1" applyFill="1" applyBorder="1" applyAlignment="1">
      <x:alignment vertical="center"/>
    </x:xf>
    <x:xf numFmtId="0" fontId="3" fillId="19" borderId="20" xfId="0" applyNumberFormat="1" applyFont="1" applyFill="1" applyBorder="1" applyAlignment="1">
      <x:alignment horizontal="center" vertical="center"/>
    </x:xf>
    <x:xf numFmtId="0" fontId="3" fillId="19" borderId="0" xfId="0" applyNumberFormat="1" applyFont="1" applyFill="1" applyBorder="1" applyAlignment="1">
      <x:alignment vertical="center"/>
    </x:xf>
    <x:xf numFmtId="0" fontId="3" fillId="20" borderId="2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 applyAlignment="1">
      <x:alignment vertical="center"/>
    </x:xf>
    <x:xf numFmtId="0" fontId="3" fillId="21" borderId="2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3" fillId="17" borderId="18" xfId="0" applyNumberFormat="1" applyFont="1" applyFill="1" applyBorder="1" applyAlignment="1">
      <x:alignment horizontal="center" vertical="center"/>
    </x:xf>
    <x:xf numFmtId="0" fontId="3" fillId="17" borderId="19" xfId="0" applyNumberFormat="1" applyFont="1" applyFill="1" applyBorder="1" applyAlignment="1">
      <x:alignment horizontal="center" vertical="center"/>
    </x:xf>
    <x:xf numFmtId="0" fontId="3" fillId="18" borderId="20" xfId="0" applyNumberFormat="1" applyFont="1" applyFill="1" applyBorder="1" applyAlignment="1">
      <x:alignment horizontal="center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3" fillId="19" borderId="9" xfId="0" applyNumberFormat="1" applyFont="1" applyFill="1" applyBorder="1" applyAlignment="1">
      <x:alignment horizontal="center" vertical="center" wrapText="1"/>
    </x:xf>
    <x:xf numFmtId="0" fontId="3" fillId="19" borderId="19" xfId="0" applyNumberFormat="1" applyFont="1" applyFill="1" applyBorder="1" applyAlignment="1">
      <x:alignment horizontal="center" vertical="center" wrapText="1"/>
    </x:xf>
    <x:xf numFmtId="0" fontId="3" fillId="20" borderId="18" xfId="0" applyNumberFormat="1" applyFont="1" applyFill="1" applyBorder="1" applyAlignment="1">
      <x:alignment horizontal="center" vertical="center" wrapText="1"/>
    </x:xf>
    <x:xf numFmtId="0" fontId="3" fillId="20" borderId="9" xfId="0" applyNumberFormat="1" applyFont="1" applyFill="1" applyBorder="1" applyAlignment="1">
      <x:alignment horizontal="center" vertical="center" wrapText="1"/>
    </x:xf>
    <x:xf numFmtId="0" fontId="3" fillId="20" borderId="19" xfId="0" applyNumberFormat="1" applyFont="1" applyFill="1" applyBorder="1" applyAlignment="1">
      <x:alignment horizontal="center" vertical="center" wrapText="1"/>
    </x:xf>
    <x:xf numFmtId="0" fontId="3" fillId="21" borderId="18" xfId="0" applyNumberFormat="1" applyFont="1" applyFill="1" applyBorder="1" applyAlignment="1">
      <x:alignment horizontal="center" vertical="center" wrapText="1"/>
    </x:xf>
    <x:xf numFmtId="0" fontId="3" fillId="21" borderId="9" xfId="0" applyNumberFormat="1" applyFont="1" applyFill="1" applyBorder="1" applyAlignment="1">
      <x:alignment horizontal="center" vertical="center" wrapText="1"/>
    </x:xf>
    <x:xf numFmtId="0" fontId="3" fillId="0" borderId="5" xfId="0" applyFont="1" applyFill="1" applyBorder="1" applyAlignment="1">
      <x:alignment horizontal="center" vertical="center" wrapText="1"/>
    </x:xf>
    <x:xf numFmtId="0" fontId="1" fillId="17" borderId="20" xfId="0" applyNumberFormat="1" applyFont="1" applyFill="1" applyBorder="1" applyAlignment="1">
      <x:alignment horizontal="center" vertical="center"/>
    </x:xf>
    <x:xf numFmtId="0" fontId="1" fillId="17" borderId="21" xfId="0" applyNumberFormat="1" applyFont="1" applyFill="1" applyBorder="1" applyAlignment="1">
      <x:alignment vertical="center"/>
    </x:xf>
    <x:xf numFmtId="0" fontId="1" fillId="22" borderId="22" xfId="0" applyNumberFormat="1" applyFont="1" applyFill="1" applyBorder="1" applyAlignment="1">
      <x:alignment vertical="center"/>
    </x:xf>
    <x:xf numFmtId="0" fontId="1" fillId="19" borderId="22" xfId="0" applyNumberFormat="1" applyFont="1" applyFill="1" applyBorder="1" applyAlignment="1">
      <x:alignment vertical="center"/>
    </x:xf>
    <x:xf numFmtId="0" fontId="1" fillId="20" borderId="22" xfId="0" applyNumberFormat="1" applyFont="1" applyFill="1" applyBorder="1" applyAlignment="1">
      <x:alignment vertical="center"/>
    </x:xf>
    <x:xf numFmtId="0" fontId="1" fillId="4" borderId="22" xfId="0" applyNumberFormat="1" applyFont="1" applyFill="1" applyBorder="1" applyAlignment="1">
      <x:alignment vertical="center"/>
    </x:xf>
    <x:xf numFmtId="0" fontId="1" fillId="4" borderId="23" xfId="0" applyNumberFormat="1" applyFont="1" applyFill="1" applyBorder="1" applyAlignment="1">
      <x:alignment vertical="center"/>
    </x:xf>
    <x:xf numFmtId="0" fontId="1" fillId="17" borderId="24" xfId="0" applyNumberFormat="1" applyFont="1" applyFill="1" applyBorder="1" applyAlignment="1">
      <x:alignment vertical="center"/>
    </x:xf>
    <x:xf numFmtId="0" fontId="1" fillId="22" borderId="4" xfId="0" applyNumberFormat="1" applyFont="1" applyFill="1" applyBorder="1" applyAlignment="1">
      <x:alignment vertical="center"/>
    </x:xf>
    <x:xf numFmtId="0" fontId="1" fillId="19" borderId="4" xfId="0" applyNumberFormat="1" applyFont="1" applyFill="1" applyBorder="1" applyAlignment="1">
      <x:alignment horizontal="center" vertical="center"/>
    </x:xf>
    <x:xf numFmtId="0" fontId="1" fillId="20" borderId="4" xfId="0" applyNumberFormat="1" applyFont="1" applyFill="1" applyBorder="1" applyAlignment="1">
      <x:alignment horizontal="center" vertical="center"/>
    </x:xf>
    <x:xf numFmtId="0" fontId="1" fillId="20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19" borderId="4" xfId="0" applyNumberFormat="1" applyFont="1" applyFill="1" applyBorder="1" applyAlignment="1">
      <x:alignment vertical="center"/>
    </x:xf>
    <x:xf numFmtId="0" fontId="1" fillId="17" borderId="25" xfId="0" applyNumberFormat="1" applyFont="1" applyFill="1" applyBorder="1" applyAlignment="1">
      <x:alignment vertical="center"/>
    </x:xf>
    <x:xf numFmtId="0" fontId="1" fillId="22" borderId="26" xfId="0" applyNumberFormat="1" applyFont="1" applyFill="1" applyBorder="1" applyAlignment="1">
      <x:alignment vertical="center"/>
    </x:xf>
    <x:xf numFmtId="0" fontId="1" fillId="19" borderId="26" xfId="0" applyNumberFormat="1" applyFont="1" applyFill="1" applyBorder="1" applyAlignment="1">
      <x:alignment vertical="center"/>
    </x:xf>
    <x:xf numFmtId="0" fontId="1" fillId="20" borderId="26" xfId="0" applyNumberFormat="1" applyFont="1" applyFill="1" applyBorder="1" applyAlignment="1">
      <x:alignment vertical="center"/>
    </x:xf>
    <x:xf numFmtId="0" fontId="1" fillId="4" borderId="26" xfId="0" applyNumberFormat="1" applyFont="1" applyFill="1" applyBorder="1" applyAlignment="1">
      <x:alignment vertical="center"/>
    </x:xf>
    <x:xf numFmtId="0" fontId="1" fillId="4" borderId="27" xfId="0" applyNumberFormat="1" applyFont="1" applyFill="1" applyBorder="1" applyAlignment="1">
      <x:alignment vertical="center"/>
    </x:xf>
    <x:xf numFmtId="0" fontId="4" fillId="0" borderId="5" xfId="0" applyFont="1" applyBorder="1" applyAlignment="1">
      <x:alignment horizontal="center" vertical="center" wrapText="1"/>
    </x:xf>
    <x:xf numFmtId="0" fontId="3" fillId="0" borderId="28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3" fillId="0" borderId="13" xfId="0" applyFont="1" applyBorder="1" applyAlignment="1">
      <x:alignment horizontal="center" vertical="center" wrapText="1"/>
    </x:xf>
    <x:xf numFmtId="0" fontId="3" fillId="0" borderId="10" xfId="0" applyFont="1" applyBorder="1" applyAlignment="1">
      <x:alignment horizontal="center" vertical="center"/>
    </x:xf>
    <x:xf numFmtId="0" fontId="3" fillId="17" borderId="9" xfId="0" applyNumberFormat="1" applyFont="1" applyFill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3" xfId="0" applyFont="1" applyBorder="1" applyAlignment="1">
      <x:alignment horizontal="center" vertical="center" wrapText="1"/>
    </x:xf>
    <x:xf numFmtId="0" fontId="1" fillId="17" borderId="9" xfId="0" applyNumberFormat="1" applyFont="1" applyFill="1" applyBorder="1" applyAlignment="1">
      <x:alignment horizontal="center" vertical="center"/>
    </x:xf>
    <x:xf numFmtId="0" fontId="1" fillId="17" borderId="22" xfId="0" applyNumberFormat="1" applyFont="1" applyFill="1" applyBorder="1" applyAlignment="1">
      <x:alignment vertical="center"/>
    </x:xf>
    <x:xf numFmtId="0" fontId="1" fillId="0" borderId="29" xfId="0" applyFont="1" applyBorder="1" applyAlignment="1">
      <x:alignment horizontal="center" vertical="center" wrapText="1"/>
    </x:xf>
    <x:xf numFmtId="0" fontId="1" fillId="17" borderId="4" xfId="0" applyNumberFormat="1" applyFont="1" applyFill="1" applyBorder="1" applyAlignment="1">
      <x:alignment vertical="center"/>
    </x:xf>
    <x:xf numFmtId="0" fontId="1" fillId="18" borderId="4" xfId="0" applyNumberFormat="1" applyFont="1" applyFill="1" applyBorder="1" applyAlignment="1">
      <x:alignment horizontal="center" vertical="center" wrapText="1"/>
    </x:xf>
    <x:xf numFmtId="0" fontId="1" fillId="18" borderId="4" xfId="0" applyNumberFormat="1" applyFont="1" applyFill="1" applyBorder="1" applyAlignment="1">
      <x:alignment horizontal="center" vertical="center"/>
    </x:xf>
    <x:xf numFmtId="0" fontId="1" fillId="17" borderId="18" xfId="0" applyNumberFormat="1" applyFont="1" applyFill="1" applyBorder="1" applyAlignment="1">
      <x:alignment horizontal="center" vertical="center"/>
    </x:xf>
    <x:xf numFmtId="0" fontId="1" fillId="21" borderId="4" xfId="0" applyNumberFormat="1" applyFont="1" applyFill="1" applyBorder="1" applyAlignment="1">
      <x:alignment horizontal="center" vertical="center"/>
    </x:xf>
    <x:xf numFmtId="0" fontId="1" fillId="21" borderId="5" xfId="0" applyNumberFormat="1" applyFont="1" applyFill="1" applyBorder="1" applyAlignment="1">
      <x:alignment horizontal="center" vertical="center"/>
    </x:xf>
    <x:xf numFmtId="0" fontId="4" fillId="17" borderId="4" xfId="0" applyNumberFormat="1" applyFont="1" applyFill="1" applyBorder="1" applyAlignment="1">
      <x:alignment horizontal="center" vertical="center"/>
    </x:xf>
    <x:xf numFmtId="0" fontId="4" fillId="18" borderId="4" xfId="0" applyNumberFormat="1" applyFont="1" applyFill="1" applyBorder="1" applyAlignment="1">
      <x:alignment horizontal="center" vertical="center"/>
    </x:xf>
    <x:xf numFmtId="0" fontId="4" fillId="19" borderId="4" xfId="0" applyNumberFormat="1" applyFont="1" applyFill="1" applyBorder="1" applyAlignment="1">
      <x:alignment horizontal="center" vertical="center"/>
    </x:xf>
    <x:xf numFmtId="0" fontId="4" fillId="20" borderId="4" xfId="0" applyNumberFormat="1" applyFont="1" applyFill="1" applyBorder="1" applyAlignment="1">
      <x:alignment horizontal="center" vertical="center"/>
    </x:xf>
    <x:xf numFmtId="0" fontId="4" fillId="21" borderId="4" xfId="0" applyNumberFormat="1" applyFont="1" applyFill="1" applyBorder="1" applyAlignment="1">
      <x:alignment horizontal="center" vertical="center"/>
    </x:xf>
    <x:xf numFmtId="0" fontId="4" fillId="21" borderId="5" xfId="0" applyNumberFormat="1" applyFont="1" applyFill="1" applyBorder="1" applyAlignment="1">
      <x:alignment horizontal="center" vertical="center"/>
    </x:xf>
    <x:xf numFmtId="0" fontId="3" fillId="18" borderId="30" xfId="0" applyNumberFormat="1" applyFont="1" applyFill="1" applyBorder="1" applyAlignment="1">
      <x:alignment horizontal="center" vertical="center"/>
    </x:xf>
    <x:xf numFmtId="0" fontId="3" fillId="19" borderId="30" xfId="0" applyNumberFormat="1" applyFont="1" applyFill="1" applyBorder="1" applyAlignment="1">
      <x:alignment horizontal="center" vertical="center"/>
    </x:xf>
    <x:xf numFmtId="0" fontId="3" fillId="20" borderId="30" xfId="0" applyNumberFormat="1" applyFont="1" applyFill="1" applyBorder="1" applyAlignment="1">
      <x:alignment horizontal="center" vertical="center"/>
    </x:xf>
    <x:xf numFmtId="0" fontId="3" fillId="21" borderId="30" xfId="0" applyNumberFormat="1" applyFont="1" applyFill="1" applyBorder="1" applyAlignment="1">
      <x:alignment horizontal="center" vertical="center"/>
    </x:xf>
    <x:xf numFmtId="0" fontId="1" fillId="17" borderId="31" xfId="0" applyNumberFormat="1" applyFont="1" applyFill="1" applyBorder="1" applyAlignment="1">
      <x:alignment horizontal="center" vertical="center"/>
    </x:xf>
    <x:xf numFmtId="0" fontId="1" fillId="17" borderId="7" xfId="0" applyNumberFormat="1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right" vertical="center"/>
    </x:xf>
    <x:xf numFmtId="0" fontId="3" fillId="17" borderId="4" xfId="0" applyNumberFormat="1" applyFont="1" applyFill="1" applyBorder="1" applyAlignment="1">
      <x:alignment horizontal="center" vertical="center"/>
    </x:xf>
    <x:xf numFmtId="0" fontId="3" fillId="17" borderId="4" xfId="0" applyNumberFormat="1" applyFont="1" applyFill="1" applyBorder="1" applyAlignment="1">
      <x:alignment vertical="center"/>
    </x:xf>
    <x:xf numFmtId="0" fontId="3" fillId="18" borderId="4" xfId="0" applyNumberFormat="1" applyFont="1" applyFill="1" applyBorder="1" applyAlignment="1">
      <x:alignment horizontal="center" vertical="center"/>
    </x:xf>
    <x:xf numFmtId="0" fontId="3" fillId="22" borderId="4" xfId="0" applyNumberFormat="1" applyFont="1" applyFill="1" applyBorder="1" applyAlignment="1">
      <x:alignment vertical="center"/>
    </x:xf>
    <x:xf numFmtId="0" fontId="3" fillId="19" borderId="4" xfId="0" applyNumberFormat="1" applyFont="1" applyFill="1" applyBorder="1" applyAlignment="1">
      <x:alignment horizontal="center" vertical="center"/>
    </x:xf>
    <x:xf numFmtId="0" fontId="3" fillId="19" borderId="4" xfId="0" applyNumberFormat="1" applyFont="1" applyFill="1" applyBorder="1" applyAlignment="1">
      <x:alignment vertical="center"/>
    </x:xf>
    <x:xf numFmtId="0" fontId="3" fillId="20" borderId="4" xfId="0" applyNumberFormat="1" applyFont="1" applyFill="1" applyBorder="1" applyAlignment="1">
      <x:alignment horizontal="center" vertical="center"/>
    </x:xf>
    <x:xf numFmtId="0" fontId="3" fillId="20" borderId="4" xfId="0" applyNumberFormat="1" applyFont="1" applyFill="1" applyBorder="1" applyAlignment="1">
      <x:alignment vertical="center"/>
    </x:xf>
    <x:xf numFmtId="0" fontId="3" fillId="21" borderId="4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17" borderId="7" xfId="0" applyNumberFormat="1" applyFont="1" applyFill="1" applyBorder="1" applyAlignment="1">
      <x:alignment horizontal="center" vertical="center"/>
    </x:xf>
    <x:xf numFmtId="0" fontId="3" fillId="18" borderId="4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20" borderId="4" xfId="0" applyNumberFormat="1" applyFont="1" applyFill="1" applyBorder="1" applyAlignment="1">
      <x:alignment horizontal="center" vertical="center" wrapText="1"/>
    </x:xf>
    <x:xf numFmtId="0" fontId="3" fillId="21" borderId="4" xfId="0" applyNumberFormat="1" applyFont="1" applyFill="1" applyBorder="1" applyAlignment="1">
      <x:alignment horizontal="center" vertical="center" wrapText="1"/>
    </x:xf>
    <x:xf numFmtId="0" fontId="3" fillId="21" borderId="5" xfId="0" applyNumberFormat="1" applyFont="1" applyFill="1" applyBorder="1" applyAlignment="1">
      <x:alignment horizontal="center" vertical="center" wrapText="1"/>
    </x:xf>
    <x:xf numFmtId="0" fontId="1" fillId="17" borderId="7" xfId="0" applyNumberFormat="1" applyFont="1" applyFill="1" applyBorder="1" applyAlignment="1">
      <x:alignment vertical="center"/>
    </x:xf>
    <x:xf numFmtId="0" fontId="1" fillId="17" borderId="4" xfId="0" applyNumberFormat="1" applyFont="1" applyFill="1" applyBorder="1" applyAlignment="1">
      <x:alignment horizontal="center" vertical="center"/>
    </x:xf>
    <x:xf numFmtId="0" fontId="13" fillId="11" borderId="7" xfId="0" applyFont="1" applyFill="1" applyBorder="1" applyAlignment="1">
      <x:alignment horizontal="center" vertical="center"/>
    </x:xf>
    <x:xf numFmtId="0" fontId="4" fillId="0" borderId="29" xfId="0" applyFont="1" applyBorder="1" applyAlignment="1">
      <x:alignment horizontal="right" vertical="center"/>
    </x:xf>
    <x:xf numFmtId="0" fontId="4" fillId="0" borderId="0" xfId="0" applyFont="1" applyAlignment="1">
      <x:alignment horizontal="right" vertical="center"/>
    </x:xf>
    <x:xf numFmtId="0" fontId="4" fillId="0" borderId="0" xfId="0" applyFont="1" applyBorder="1" applyAlignment="1">
      <x:alignment horizontal="right" vertical="center"/>
    </x:xf>
    <x:xf numFmtId="0" fontId="1" fillId="0" borderId="3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3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0" fontId="5" fillId="17" borderId="4" xfId="0" applyNumberFormat="1" applyFont="1" applyFill="1" applyBorder="1" applyAlignment="1">
      <x:alignment horizontal="center" vertical="center"/>
    </x:xf>
    <x:xf numFmtId="0" fontId="5" fillId="18" borderId="4" xfId="0" applyNumberFormat="1" applyFont="1" applyFill="1" applyBorder="1" applyAlignment="1">
      <x:alignment horizontal="center" vertical="center"/>
    </x:xf>
    <x:xf numFmtId="0" fontId="5" fillId="19" borderId="4" xfId="0" applyNumberFormat="1" applyFont="1" applyFill="1" applyBorder="1" applyAlignment="1">
      <x:alignment horizontal="center" vertical="center"/>
    </x:xf>
    <x:xf numFmtId="0" fontId="5" fillId="20" borderId="4" xfId="0" applyNumberFormat="1" applyFont="1" applyFill="1" applyBorder="1" applyAlignment="1">
      <x:alignment horizontal="center" vertical="center"/>
    </x:xf>
    <x:xf numFmtId="0" fontId="5" fillId="21" borderId="4" xfId="0" applyNumberFormat="1" applyFont="1" applyFill="1" applyBorder="1" applyAlignment="1">
      <x:alignment horizontal="center" vertical="center"/>
    </x:xf>
    <x:xf numFmtId="0" fontId="5" fillId="21" borderId="5" xfId="0" applyNumberFormat="1" applyFont="1" applyFill="1" applyBorder="1" applyAlignment="1">
      <x:alignment horizontal="center" vertical="center"/>
    </x:xf>
    <x:xf numFmtId="0" fontId="14" fillId="23" borderId="0" xfId="0" applyNumberFormat="1" applyFont="1" applyFill="1" applyBorder="1" applyAlignment="1">
      <x:alignment horizontal="left" vertical="center"/>
    </x:xf>
    <x:xf numFmtId="0" fontId="14" fillId="23" borderId="0" xfId="0" applyNumberFormat="1" applyFont="1" applyFill="1" applyAlignment="1">
      <x:alignment horizontal="left" vertical="center"/>
    </x:xf>
    <x:xf numFmtId="0" fontId="3" fillId="14" borderId="5" xfId="0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 wrapText="1"/>
    </x:xf>
    <x:xf numFmtId="0" fontId="3" fillId="0" borderId="38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4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2" borderId="4" xfId="0" applyNumberFormat="1" applyFont="1" applyFill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1" fillId="0" borderId="0" xfId="0" applyFont="1" applyAlignment="1">
      <x:alignment vertical="center"/>
    </x:xf>
    <x:xf numFmtId="0" fontId="11" fillId="0" borderId="0" xfId="0" applyFont="1" applyAlignment="1">
      <x:alignment vertical="center" wrapText="1"/>
    </x:xf>
    <x:xf numFmtId="0" fontId="1" fillId="14" borderId="5" xfId="0" applyFont="1" applyFill="1" applyBorder="1" applyAlignment="1">
      <x:alignment horizontal="center" vertical="center"/>
    </x:xf>
    <x:xf numFmtId="0" fontId="4" fillId="14" borderId="5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ab610191b4b27" /><Relationship Type="http://schemas.openxmlformats.org/officeDocument/2006/relationships/theme" Target="/xl/theme/theme1.xml" Id="R136aa5aac49d43b3" /><Relationship Type="http://schemas.openxmlformats.org/officeDocument/2006/relationships/sharedStrings" Target="/xl/sharedStrings.xml" Id="R6f98e1417fd348cb" /><Relationship Type="http://schemas.openxmlformats.org/officeDocument/2006/relationships/worksheet" Target="/xl/worksheets/sheet1.xml" Id="Rfd88f34013574c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642857551574707" defaultRowHeight="15.199999809265137"/>
  <x:cols>
    <x:col min="1" max="1" width="17" style="1" customWidth="1"/>
    <x:col min="2" max="2" width="11" style="1" customWidth="1"/>
    <x:col min="3" max="3" width="12" style="1" customWidth="1"/>
    <x:col min="4" max="5" width="11.455357551574707" style="3" customWidth="1"/>
    <x:col min="6" max="6" width="11.160714149475098" style="1" customWidth="1"/>
    <x:col min="7" max="7" width="10" style="1" customWidth="1"/>
    <x:col min="8" max="8" width="12.205357551574707" style="1" customWidth="1"/>
    <x:col min="9" max="9" width="13.089285850524902" style="3" customWidth="1"/>
    <x:col min="10" max="10" width="13" style="1" customWidth="1"/>
    <x:col min="11" max="11" width="11.901785850524902" style="1" customWidth="1"/>
    <x:col min="12" max="12" width="12.946428298950195" style="1" customWidth="1"/>
    <x:col min="13" max="13" width="12.794642448425293" style="1" customWidth="1"/>
    <x:col min="14" max="14" width="12.205357551574707" style="1" customWidth="1"/>
    <x:col min="15" max="15" width="12.794642448425293" style="1" customWidth="1"/>
    <x:col min="16" max="16" width="12.5" style="1" customWidth="1"/>
    <x:col min="17" max="17" width="10.714285850524902" style="1" customWidth="1"/>
    <x:col min="18" max="18" width="10.258928298950195" style="1" customWidth="1"/>
    <x:col min="19" max="19" width="10.419642448425293" style="1" customWidth="1"/>
    <x:col min="20" max="20" width="9.223214149475098" style="1" customWidth="1"/>
    <x:col min="21" max="21" width="12" style="1" customWidth="1"/>
    <x:col min="22" max="22" width="26.785715103149414" style="3" customWidth="1"/>
    <x:col min="23" max="23" width="3" style="1" customWidth="1"/>
    <x:col min="24" max="24" width="17" style="1" customWidth="1"/>
    <x:col min="25" max="25" width="11" style="1" customWidth="1"/>
    <x:col min="26" max="26" width="12" style="1" customWidth="1"/>
    <x:col min="27" max="27" width="10.714285850524902" style="3" customWidth="1"/>
    <x:col min="28" max="28" width="12.651785850524902" style="3" customWidth="1"/>
    <x:col min="29" max="29" width="10.267857551574707" style="1" customWidth="1"/>
    <x:col min="30" max="30" width="10" style="1" customWidth="1"/>
    <x:col min="31" max="31" width="12.196428298950195" style="1" customWidth="1"/>
    <x:col min="32" max="32" width="13.089285850524902" style="1" customWidth="1"/>
    <x:col min="33" max="33" width="13" style="1" customWidth="1"/>
    <x:col min="34" max="34" width="11.901785850524902" style="1" customWidth="1"/>
    <x:col min="35" max="35" width="12.946428298950195" style="1" customWidth="1"/>
    <x:col min="36" max="36" width="12.794642448425293" style="1" customWidth="1"/>
    <x:col min="37" max="37" width="12.205357551574707" style="1" customWidth="1"/>
    <x:col min="38" max="38" width="12.794642448425293" style="1" customWidth="1"/>
    <x:col min="39" max="39" width="12.5" style="1" customWidth="1"/>
    <x:col min="40" max="40" width="10.714285850524902" style="1" customWidth="1"/>
    <x:col min="41" max="41" width="10.258928298950195" style="1" customWidth="1"/>
    <x:col min="42" max="42" width="7.589285850524902" style="1" customWidth="1"/>
    <x:col min="43" max="44" width="12" style="1" customWidth="1"/>
    <x:col min="45" max="45" width="25.89285659790039" style="3" customWidth="1"/>
    <x:col min="46" max="16376" width="9.642857551574707" style="1" customWidth="1"/>
    <x:col min="16377" max="16384" width="9.642857551574707" style="1" customWidth="0"/>
  </x:cols>
  <x:sheetData>
    <x:row r="1" s="1" customFormat="1" ht="22">
      <x:c r="A1" s="8" t="s">
        <x:v>0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9"/>
      <x:c r="X1" s="8" t="s">
        <x:v>1</x:v>
      </x:c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</x:row>
    <x:row r="2" s="1" customFormat="1">
      <x:c r="A2" s="10" t="s">
        <x:v>2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9"/>
      <x:c r="X2" s="10" t="s">
        <x:v>2</x:v>
      </x:c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</x:row>
    <x:row r="3" s="1" customFormat="1">
      <x:c r="D3" s="3"/>
      <x:c r="E3" s="3"/>
      <x:c r="V3" s="3"/>
      <x:c r="W3" s="9"/>
      <x:c r="X3" s="11"/>
      <x:c r="Y3" s="11"/>
      <x:c r="Z3" s="11"/>
      <x:c r="AA3" s="12"/>
      <x:c r="AB3" s="12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2"/>
    </x:row>
    <x:row r="4" s="2" customFormat="1" ht="17.600000381469727">
      <x:c r="A4" s="13" t="s">
        <x:v>3</x:v>
      </x:c>
      <x:c r="B4" s="13" t="s">
        <x:v>4</x:v>
      </x:c>
      <x:c r="C4" s="13"/>
      <x:c r="D4" s="14" t="s">
        <x:v>5</x:v>
      </x:c>
      <x:c r="E4" s="14"/>
      <x:c r="F4" s="15" t="s">
        <x:v>6</x:v>
      </x:c>
      <x:c r="G4" s="15"/>
      <x:c r="H4" s="15"/>
      <x:c r="I4" s="15" t="s">
        <x:v>7</x:v>
      </x:c>
      <x:c r="J4" s="15"/>
      <x:c r="K4" s="15"/>
      <x:c r="L4" s="15"/>
      <x:c r="M4" s="15" t="s">
        <x:v>8</x:v>
      </x:c>
      <x:c r="N4" s="15"/>
      <x:c r="O4" s="15"/>
      <x:c r="P4" s="15"/>
      <x:c r="Q4" s="15"/>
      <x:c r="R4" s="15" t="s">
        <x:v>9</x:v>
      </x:c>
      <x:c r="S4" s="15"/>
      <x:c r="T4" s="15"/>
      <x:c r="U4" s="15"/>
      <x:c r="V4" s="15"/>
      <x:c r="W4" s="9"/>
      <x:c r="X4" s="13" t="s">
        <x:v>3</x:v>
      </x:c>
      <x:c r="Y4" s="13" t="s">
        <x:v>4</x:v>
      </x:c>
      <x:c r="Z4" s="13"/>
      <x:c r="AA4" s="14" t="s">
        <x:v>5</x:v>
      </x:c>
      <x:c r="AB4" s="14"/>
      <x:c r="AC4" s="15" t="s">
        <x:v>6</x:v>
      </x:c>
      <x:c r="AD4" s="15"/>
      <x:c r="AE4" s="15"/>
      <x:c r="AF4" s="15" t="s">
        <x:v>7</x:v>
      </x:c>
      <x:c r="AG4" s="15"/>
      <x:c r="AH4" s="15"/>
      <x:c r="AI4" s="15"/>
      <x:c r="AJ4" s="15" t="s">
        <x:v>8</x:v>
      </x:c>
      <x:c r="AK4" s="15"/>
      <x:c r="AL4" s="15"/>
      <x:c r="AM4" s="15"/>
      <x:c r="AN4" s="15"/>
      <x:c r="AO4" s="15" t="s">
        <x:v>9</x:v>
      </x:c>
      <x:c r="AP4" s="15"/>
      <x:c r="AQ4" s="15"/>
      <x:c r="AR4" s="15"/>
      <x:c r="AS4" s="14"/>
    </x:row>
    <x:row r="5" s="3" customFormat="1" ht="31">
      <x:c r="A5" s="16" t="s">
        <x:v>3</x:v>
      </x:c>
      <x:c r="B5" s="16" t="s">
        <x:v>10</x:v>
      </x:c>
      <x:c r="C5" s="16" t="s">
        <x:v>11</x:v>
      </x:c>
      <x:c r="D5" s="17" t="s">
        <x:v>12</x:v>
      </x:c>
      <x:c r="E5" s="17" t="s">
        <x:v>13</x:v>
      </x:c>
      <x:c r="F5" s="16" t="s">
        <x:v>14</x:v>
      </x:c>
      <x:c r="G5" s="16" t="s">
        <x:v>15</x:v>
      </x:c>
      <x:c r="H5" s="16" t="s">
        <x:v>16</x:v>
      </x:c>
      <x:c r="I5" s="16" t="s">
        <x:v>17</x:v>
      </x:c>
      <x:c r="J5" s="16" t="s">
        <x:v>18</x:v>
      </x:c>
      <x:c r="K5" s="16" t="s">
        <x:v>19</x:v>
      </x:c>
      <x:c r="L5" s="16" t="s">
        <x:v>20</x:v>
      </x:c>
      <x:c r="M5" s="18" t="s">
        <x:v>21</x:v>
      </x:c>
      <x:c r="N5" s="18" t="s">
        <x:v>22</x:v>
      </x:c>
      <x:c r="O5" s="18" t="s">
        <x:v>23</x:v>
      </x:c>
      <x:c r="P5" s="18" t="s">
        <x:v>24</x:v>
      </x:c>
      <x:c r="Q5" s="18" t="s">
        <x:v>25</x:v>
      </x:c>
      <x:c r="R5" s="19" t="s">
        <x:v>9</x:v>
      </x:c>
      <x:c r="S5" s="19"/>
      <x:c r="T5" s="19"/>
      <x:c r="U5" s="19"/>
      <x:c r="V5" s="20"/>
      <x:c r="W5" s="9"/>
      <x:c r="X5" s="21" t="s">
        <x:v>3</x:v>
      </x:c>
      <x:c r="Y5" s="21" t="s">
        <x:v>10</x:v>
      </x:c>
      <x:c r="Z5" s="21" t="s">
        <x:v>11</x:v>
      </x:c>
      <x:c r="AA5" s="22" t="s">
        <x:v>12</x:v>
      </x:c>
      <x:c r="AB5" s="22" t="s">
        <x:v>13</x:v>
      </x:c>
      <x:c r="AC5" s="21" t="s">
        <x:v>14</x:v>
      </x:c>
      <x:c r="AD5" s="21" t="s">
        <x:v>15</x:v>
      </x:c>
      <x:c r="AE5" s="21" t="s">
        <x:v>16</x:v>
      </x:c>
      <x:c r="AF5" s="21" t="s">
        <x:v>17</x:v>
      </x:c>
      <x:c r="AG5" s="21" t="s">
        <x:v>18</x:v>
      </x:c>
      <x:c r="AH5" s="21" t="s">
        <x:v>19</x:v>
      </x:c>
      <x:c r="AI5" s="21" t="s">
        <x:v>20</x:v>
      </x:c>
      <x:c r="AJ5" s="23" t="s">
        <x:v>21</x:v>
      </x:c>
      <x:c r="AK5" s="23" t="s">
        <x:v>22</x:v>
      </x:c>
      <x:c r="AL5" s="23" t="s">
        <x:v>23</x:v>
      </x:c>
      <x:c r="AM5" s="23" t="s">
        <x:v>24</x:v>
      </x:c>
      <x:c r="AN5" s="23" t="s">
        <x:v>25</x:v>
      </x:c>
      <x:c r="AO5" s="24" t="s">
        <x:v>9</x:v>
      </x:c>
      <x:c r="AP5" s="24"/>
      <x:c r="AQ5" s="24"/>
      <x:c r="AR5" s="24"/>
      <x:c r="AS5" s="24"/>
    </x:row>
    <x:row r="6" s="4" customFormat="1" ht="16">
      <x:c r="A6" s="25" t="s">
        <x:v>26</x:v>
      </x:c>
      <x:c r="B6" s="26" t="n">
        <x:f>MAX(F26:F47)</x:f>
        <x:v>14</x:v>
      </x:c>
      <x:c r="C6" s="26" t="n">
        <x:f>MAX(G26:G47)</x:f>
        <x:v>0</x:v>
      </x:c>
      <x:c r="D6" s="26" t="n">
        <x:f>MAX(H26:H47)</x:f>
        <x:v>6</x:v>
      </x:c>
      <x:c r="E6" s="26" t="n">
        <x:f t="shared" ref="E6:Q6" si="0">MAX(I26:I47)</x:f>
        <x:v>3</x:v>
      </x:c>
      <x:c r="F6" s="26" t="n">
        <x:f t="shared" si="0">MAX(J26:J47)</x:f>
        <x:v>14</x:v>
      </x:c>
      <x:c r="G6" s="26" t="n">
        <x:f t="shared" si="0">MAX(K26:K47)</x:f>
        <x:v>14</x:v>
      </x:c>
      <x:c r="H6" s="26" t="n">
        <x:f t="shared" si="0">MAX(L26:L47)</x:f>
        <x:v>14</x:v>
      </x:c>
      <x:c r="I6" s="26" t="n">
        <x:f t="shared" si="0">MAX(M26:M47)</x:f>
        <x:v>14</x:v>
      </x:c>
      <x:c r="J6" s="26" t="n">
        <x:f t="shared" si="0">MAX(N26:N47)</x:f>
        <x:v>6</x:v>
      </x:c>
      <x:c r="K6" s="26" t="n">
        <x:f t="shared" si="0">MAX(O26:O47)</x:f>
        <x:v>14</x:v>
      </x:c>
      <x:c r="L6" s="26" t="n">
        <x:f t="shared" si="0">MAX(P26:P47)</x:f>
        <x:v>6</x:v>
      </x:c>
      <x:c r="M6" s="27" t="n">
        <x:f t="shared" si="0">MAX(Q26:Q47)</x:f>
        <x:v>12</x:v>
      </x:c>
      <x:c r="N6" s="27" t="n">
        <x:f t="shared" si="0">MAX(R26:R47)</x:f>
        <x:v>36</x:v>
      </x:c>
      <x:c r="O6" s="27" t="n">
        <x:f t="shared" si="0">MAX(S26:S47)</x:f>
        <x:v>36</x:v>
      </x:c>
      <x:c r="P6" s="27" t="n">
        <x:f t="shared" si="0">MAX(T26:T47)</x:f>
        <x:v>36</x:v>
      </x:c>
      <x:c r="Q6" s="28" t="n">
        <x:f t="shared" si="0">MAX(U26:U47)</x:f>
        <x:v>36</x:v>
      </x:c>
      <x:c r="R6" s="29"/>
      <x:c r="S6" s="29"/>
      <x:c r="T6" s="29"/>
      <x:c r="U6" s="29"/>
      <x:c r="V6" s="30"/>
      <x:c r="W6" s="9"/>
      <x:c r="X6" s="31" t="s">
        <x:v>26</x:v>
      </x:c>
      <x:c r="Y6" s="25" t="n">
        <x:f>MAX(AC26:AC47)</x:f>
        <x:v>14</x:v>
      </x:c>
      <x:c r="Z6" s="25" t="n">
        <x:f>MAX(AD26:AD47)</x:f>
        <x:v>0</x:v>
      </x:c>
      <x:c r="AA6" s="25" t="n">
        <x:f>MAX(AE26:AE47)</x:f>
        <x:v>6</x:v>
      </x:c>
      <x:c r="AB6" s="25" t="n">
        <x:f t="shared" ref="AB6:AN6" si="1">MAX(AF26:AF47)</x:f>
        <x:v>3</x:v>
      </x:c>
      <x:c r="AC6" s="25" t="n">
        <x:f t="shared" si="1">MAX(AG26:AG47)</x:f>
        <x:v>14</x:v>
      </x:c>
      <x:c r="AD6" s="25" t="n">
        <x:f t="shared" si="1">MAX(AH26:AH47)</x:f>
        <x:v>14</x:v>
      </x:c>
      <x:c r="AE6" s="25" t="n">
        <x:f t="shared" si="1">MAX(AI26:AI47)</x:f>
        <x:v>14</x:v>
      </x:c>
      <x:c r="AF6" s="25" t="n">
        <x:f t="shared" si="1">MAX(AJ26:AJ47)</x:f>
        <x:v>14</x:v>
      </x:c>
      <x:c r="AG6" s="25" t="n">
        <x:f t="shared" si="1">MAX(AK26:AK47)</x:f>
        <x:v>6</x:v>
      </x:c>
      <x:c r="AH6" s="25" t="n">
        <x:f t="shared" si="1">MAX(AL26:AL47)</x:f>
        <x:v>14</x:v>
      </x:c>
      <x:c r="AI6" s="25" t="n">
        <x:f t="shared" si="1">MAX(AM26:AM47)</x:f>
        <x:v>6</x:v>
      </x:c>
      <x:c r="AJ6" s="32" t="n">
        <x:f t="shared" si="1">MAX(AN26:AN47)</x:f>
        <x:v>12</x:v>
      </x:c>
      <x:c r="AK6" s="32" t="n">
        <x:f t="shared" si="1">MAX(AO26:AO47)</x:f>
        <x:v>36</x:v>
      </x:c>
      <x:c r="AL6" s="32" t="n">
        <x:f t="shared" si="1">MAX(AP26:AP47)</x:f>
        <x:v>36</x:v>
      </x:c>
      <x:c r="AM6" s="32" t="n">
        <x:f t="shared" si="1">MAX(AQ26:AQ47)</x:f>
        <x:v>36</x:v>
      </x:c>
      <x:c r="AN6" s="32" t="n">
        <x:f t="shared" si="1">MAX(AR26:AR47)</x:f>
        <x:v>36</x:v>
      </x:c>
      <x:c r="AO6" s="33"/>
      <x:c r="AP6" s="25"/>
      <x:c r="AQ6" s="25"/>
      <x:c r="AR6" s="25"/>
      <x:c r="AS6" s="25"/>
    </x:row>
    <x:row r="7" s="4" customFormat="1" ht="30" customHeight="1">
      <x:c r="A7" s="25" t="s">
        <x:v>27</x:v>
      </x:c>
      <x:c r="B7" s="26" t="n">
        <x:f>MAX(F51:F57)</x:f>
        <x:v>12</x:v>
      </x:c>
      <x:c r="C7" s="26" t="n">
        <x:f>MAX(G51:G57)</x:f>
        <x:v>0</x:v>
      </x:c>
      <x:c r="D7" s="26" t="n">
        <x:f>MAX(H51:H57)</x:f>
        <x:v>0</x:v>
      </x:c>
      <x:c r="E7" s="26" t="n">
        <x:f t="shared" ref="E7:Q7" si="2">MAX(I51:I57)</x:f>
        <x:v>0</x:v>
      </x:c>
      <x:c r="F7" s="26" t="n">
        <x:f t="shared" si="2">MAX(J51:J57)</x:f>
        <x:v>12</x:v>
      </x:c>
      <x:c r="G7" s="26" t="n">
        <x:f t="shared" si="2">MAX(K51:K57)</x:f>
        <x:v>12</x:v>
      </x:c>
      <x:c r="H7" s="26" t="n">
        <x:f t="shared" si="2">MAX(L51:L57)</x:f>
        <x:v>12</x:v>
      </x:c>
      <x:c r="I7" s="26" t="n">
        <x:f t="shared" si="2">MAX(M51:M57)</x:f>
        <x:v>24</x:v>
      </x:c>
      <x:c r="J7" s="26" t="n">
        <x:f t="shared" si="2">MAX(N51:N57)</x:f>
        <x:v>0</x:v>
      </x:c>
      <x:c r="K7" s="26" t="n">
        <x:f t="shared" si="2">MAX(O51:O57)</x:f>
        <x:v>24</x:v>
      </x:c>
      <x:c r="L7" s="26" t="n">
        <x:f t="shared" si="2">MAX(P51:P57)</x:f>
        <x:v>0</x:v>
      </x:c>
      <x:c r="M7" s="27" t="n">
        <x:f t="shared" si="2">MAX(Q51:Q57)</x:f>
        <x:v>0</x:v>
      </x:c>
      <x:c r="N7" s="27" t="n">
        <x:f t="shared" si="2">MAX(R51:R57)</x:f>
        <x:v>0</x:v>
      </x:c>
      <x:c r="O7" s="27" t="n">
        <x:f t="shared" si="2">MAX(S51:S57)</x:f>
        <x:v>0</x:v>
      </x:c>
      <x:c r="P7" s="27" t="n">
        <x:f t="shared" si="2">MAX(T51:T57)</x:f>
        <x:v>0</x:v>
      </x:c>
      <x:c r="Q7" s="28" t="n">
        <x:f t="shared" si="2">MAX(U51:U57)</x:f>
        <x:v>0</x:v>
      </x:c>
      <x:c r="R7" s="29" t="s">
        <x:v>28</x:v>
      </x:c>
      <x:c r="S7" s="29"/>
      <x:c r="T7" s="29"/>
      <x:c r="U7" s="29"/>
      <x:c r="V7" s="30"/>
      <x:c r="W7" s="9"/>
      <x:c r="X7" s="31" t="s">
        <x:v>27</x:v>
      </x:c>
      <x:c r="Y7" s="25" t="n">
        <x:f>MAX(AC51:AC57)</x:f>
        <x:v>12</x:v>
      </x:c>
      <x:c r="Z7" s="25" t="n">
        <x:f>MAX(AD51:AD57)</x:f>
        <x:v>0</x:v>
      </x:c>
      <x:c r="AA7" s="25" t="n">
        <x:f>MAX(AE51:AE57)</x:f>
        <x:v>0</x:v>
      </x:c>
      <x:c r="AB7" s="25" t="n">
        <x:f t="shared" ref="AB7:AN7" si="3">MAX(AF51:AF57)</x:f>
        <x:v>0</x:v>
      </x:c>
      <x:c r="AC7" s="25" t="n">
        <x:f t="shared" si="3">MAX(AG51:AG57)</x:f>
        <x:v>12</x:v>
      </x:c>
      <x:c r="AD7" s="25" t="n">
        <x:f t="shared" si="3">MAX(AH51:AH57)</x:f>
        <x:v>12</x:v>
      </x:c>
      <x:c r="AE7" s="25" t="n">
        <x:f t="shared" si="3">MAX(AI51:AI57)</x:f>
        <x:v>12</x:v>
      </x:c>
      <x:c r="AF7" s="25" t="n">
        <x:f t="shared" si="3">MAX(AJ51:AJ57)</x:f>
        <x:v>24</x:v>
      </x:c>
      <x:c r="AG7" s="25" t="n">
        <x:f t="shared" si="3">MAX(AK51:AK57)</x:f>
        <x:v>0</x:v>
      </x:c>
      <x:c r="AH7" s="25" t="n">
        <x:f t="shared" si="3">MAX(AL51:AL57)</x:f>
        <x:v>24</x:v>
      </x:c>
      <x:c r="AI7" s="25" t="n">
        <x:f t="shared" si="3">MAX(AM51:AM57)</x:f>
        <x:v>0</x:v>
      </x:c>
      <x:c r="AJ7" s="32" t="n">
        <x:f t="shared" si="3">MAX(AN51:AN57)</x:f>
        <x:v>0</x:v>
      </x:c>
      <x:c r="AK7" s="32" t="n">
        <x:f t="shared" si="3">MAX(AO51:AO57)</x:f>
        <x:v>0</x:v>
      </x:c>
      <x:c r="AL7" s="32" t="n">
        <x:f t="shared" si="3">MAX(AP51:AP57)</x:f>
        <x:v>0</x:v>
      </x:c>
      <x:c r="AM7" s="32" t="n">
        <x:f t="shared" si="3">MAX(AQ51:AQ57)</x:f>
        <x:v>0</x:v>
      </x:c>
      <x:c r="AN7" s="32" t="n">
        <x:f t="shared" si="3">MAX(AR51:AR57)</x:f>
        <x:v>0</x:v>
      </x:c>
      <x:c r="AO7" s="33" t="s">
        <x:v>28</x:v>
      </x:c>
      <x:c r="AP7" s="25"/>
      <x:c r="AQ7" s="25"/>
      <x:c r="AR7" s="25"/>
      <x:c r="AS7" s="25"/>
    </x:row>
    <x:row r="8" s="4" customFormat="1" ht="16">
      <x:c r="A8" s="25" t="s">
        <x:v>29</x:v>
      </x:c>
      <x:c r="B8" s="26" t="n">
        <x:f>MAX(F61:F71)</x:f>
        <x:v>6</x:v>
      </x:c>
      <x:c r="C8" s="26" t="n">
        <x:f>MAX(G61:G71)</x:f>
        <x:v>0</x:v>
      </x:c>
      <x:c r="D8" s="26" t="n">
        <x:f>MAX(H61:H71)</x:f>
        <x:v>6</x:v>
      </x:c>
      <x:c r="E8" s="26" t="n">
        <x:f t="shared" ref="E8:Q8" si="4">MAX(I61:I71)</x:f>
        <x:v>3</x:v>
      </x:c>
      <x:c r="F8" s="26" t="n">
        <x:f t="shared" si="4">MAX(J61:J71)</x:f>
        <x:v>6</x:v>
      </x:c>
      <x:c r="G8" s="26" t="n">
        <x:f t="shared" si="4">MAX(K61:K71)</x:f>
        <x:v>6</x:v>
      </x:c>
      <x:c r="H8" s="26" t="n">
        <x:f t="shared" si="4">MAX(L61:L71)</x:f>
        <x:v>6</x:v>
      </x:c>
      <x:c r="I8" s="26" t="n">
        <x:f t="shared" si="4">MAX(M61:M71)</x:f>
        <x:v>6</x:v>
      </x:c>
      <x:c r="J8" s="26" t="n">
        <x:f t="shared" si="4">MAX(N61:N71)</x:f>
        <x:v>6</x:v>
      </x:c>
      <x:c r="K8" s="26" t="n">
        <x:f t="shared" si="4">MAX(O61:O71)</x:f>
        <x:v>6</x:v>
      </x:c>
      <x:c r="L8" s="26" t="n">
        <x:f t="shared" si="4">MAX(P61:P71)</x:f>
        <x:v>6</x:v>
      </x:c>
      <x:c r="M8" s="27" t="n">
        <x:f t="shared" si="4">MAX(Q61:Q71)</x:f>
        <x:v>6</x:v>
      </x:c>
      <x:c r="N8" s="27" t="n">
        <x:f t="shared" si="4">MAX(R61:R71)</x:f>
        <x:v>18</x:v>
      </x:c>
      <x:c r="O8" s="27" t="n">
        <x:f t="shared" si="4">MAX(S61:S71)</x:f>
        <x:v>18</x:v>
      </x:c>
      <x:c r="P8" s="27" t="n">
        <x:f t="shared" si="4">MAX(T61:T71)</x:f>
        <x:v>18</x:v>
      </x:c>
      <x:c r="Q8" s="28" t="n">
        <x:f t="shared" si="4">MAX(U61:U71)</x:f>
        <x:v>18</x:v>
      </x:c>
      <x:c r="R8" s="29"/>
      <x:c r="S8" s="29"/>
      <x:c r="T8" s="29"/>
      <x:c r="U8" s="29"/>
      <x:c r="V8" s="30"/>
      <x:c r="W8" s="9"/>
      <x:c r="X8" s="31" t="s">
        <x:v>29</x:v>
      </x:c>
      <x:c r="Y8" s="25" t="n">
        <x:f>MAX(AC61:AC71)</x:f>
        <x:v>6</x:v>
      </x:c>
      <x:c r="Z8" s="25" t="n">
        <x:f>MAX(AD61:AD71)</x:f>
        <x:v>0</x:v>
      </x:c>
      <x:c r="AA8" s="25" t="n">
        <x:f>MAX(AE61:AE71)</x:f>
        <x:v>6</x:v>
      </x:c>
      <x:c r="AB8" s="25" t="n">
        <x:f t="shared" ref="AB8:AN8" si="5">MAX(AF61:AF71)</x:f>
        <x:v>3</x:v>
      </x:c>
      <x:c r="AC8" s="25" t="n">
        <x:f t="shared" si="5">MAX(AG61:AG71)</x:f>
        <x:v>6</x:v>
      </x:c>
      <x:c r="AD8" s="25" t="n">
        <x:f t="shared" si="5">MAX(AH61:AH71)</x:f>
        <x:v>6</x:v>
      </x:c>
      <x:c r="AE8" s="25" t="n">
        <x:f t="shared" si="5">MAX(AI61:AI71)</x:f>
        <x:v>6</x:v>
      </x:c>
      <x:c r="AF8" s="25" t="n">
        <x:f t="shared" si="5">MAX(AJ61:AJ71)</x:f>
        <x:v>6</x:v>
      </x:c>
      <x:c r="AG8" s="25" t="n">
        <x:f t="shared" si="5">MAX(AK61:AK71)</x:f>
        <x:v>6</x:v>
      </x:c>
      <x:c r="AH8" s="25" t="n">
        <x:f t="shared" si="5">MAX(AL61:AL71)</x:f>
        <x:v>6</x:v>
      </x:c>
      <x:c r="AI8" s="25" t="n">
        <x:f t="shared" si="5">MAX(AM61:AM71)</x:f>
        <x:v>6</x:v>
      </x:c>
      <x:c r="AJ8" s="32" t="n">
        <x:f t="shared" si="5">MAX(AN61:AN71)</x:f>
        <x:v>6</x:v>
      </x:c>
      <x:c r="AK8" s="32" t="n">
        <x:f t="shared" si="5">MAX(AO61:AO71)</x:f>
        <x:v>18</x:v>
      </x:c>
      <x:c r="AL8" s="32" t="n">
        <x:f t="shared" si="5">MAX(AP61:AP71)</x:f>
        <x:v>18</x:v>
      </x:c>
      <x:c r="AM8" s="32" t="n">
        <x:f t="shared" si="5">MAX(AQ61:AQ71)</x:f>
        <x:v>18</x:v>
      </x:c>
      <x:c r="AN8" s="32" t="n">
        <x:f t="shared" si="5">MAX(AR61:AR71)</x:f>
        <x:v>18</x:v>
      </x:c>
      <x:c r="AO8" s="33"/>
      <x:c r="AP8" s="25"/>
      <x:c r="AQ8" s="25"/>
      <x:c r="AR8" s="25"/>
      <x:c r="AS8" s="25"/>
    </x:row>
    <x:row r="9" s="4" customFormat="1" ht="16">
      <x:c r="A9" s="25" t="s">
        <x:v>30</x:v>
      </x:c>
      <x:c r="B9" s="26" t="n">
        <x:f>MAX(F75:F80)</x:f>
        <x:v>6</x:v>
      </x:c>
      <x:c r="C9" s="26" t="n">
        <x:f>MAX(G75:G80)</x:f>
        <x:v>0</x:v>
      </x:c>
      <x:c r="D9" s="26" t="n">
        <x:f>MAX(H75:H80)</x:f>
        <x:v>0</x:v>
      </x:c>
      <x:c r="E9" s="26" t="n">
        <x:f t="shared" ref="E9:Q9" si="6">MAX(I75:I80)</x:f>
        <x:v>0</x:v>
      </x:c>
      <x:c r="F9" s="26" t="n">
        <x:f t="shared" si="6">MAX(J75:J80)</x:f>
        <x:v>6</x:v>
      </x:c>
      <x:c r="G9" s="26" t="n">
        <x:f t="shared" si="6">MAX(K75:K80)</x:f>
        <x:v>6</x:v>
      </x:c>
      <x:c r="H9" s="26" t="n">
        <x:f t="shared" si="6">MAX(L75:L80)</x:f>
        <x:v>6</x:v>
      </x:c>
      <x:c r="I9" s="26" t="n">
        <x:f t="shared" si="6">MAX(M75:M80)</x:f>
        <x:v>6</x:v>
      </x:c>
      <x:c r="J9" s="26" t="n">
        <x:f t="shared" si="6">MAX(N75:N80)</x:f>
        <x:v>0</x:v>
      </x:c>
      <x:c r="K9" s="26" t="n">
        <x:f t="shared" si="6">MAX(O75:O80)</x:f>
        <x:v>6</x:v>
      </x:c>
      <x:c r="L9" s="26" t="n">
        <x:f t="shared" si="6">MAX(P75:P80)</x:f>
        <x:v>0</x:v>
      </x:c>
      <x:c r="M9" s="27" t="n">
        <x:f t="shared" si="6">MAX(Q75:Q80)</x:f>
        <x:v>0</x:v>
      </x:c>
      <x:c r="N9" s="27" t="n">
        <x:f t="shared" si="6">MAX(R75:R80)</x:f>
        <x:v>0</x:v>
      </x:c>
      <x:c r="O9" s="27" t="n">
        <x:f t="shared" si="6">MAX(S75:S80)</x:f>
        <x:v>0</x:v>
      </x:c>
      <x:c r="P9" s="27" t="n">
        <x:f t="shared" si="6">MAX(T75:T80)</x:f>
        <x:v>0</x:v>
      </x:c>
      <x:c r="Q9" s="28" t="n">
        <x:f t="shared" si="6">MAX(U75:U80)</x:f>
        <x:v>0</x:v>
      </x:c>
      <x:c r="R9" s="29"/>
      <x:c r="S9" s="29"/>
      <x:c r="T9" s="29"/>
      <x:c r="U9" s="29"/>
      <x:c r="V9" s="30"/>
      <x:c r="W9" s="9"/>
      <x:c r="X9" s="31" t="s">
        <x:v>30</x:v>
      </x:c>
      <x:c r="Y9" s="25" t="n">
        <x:f>MAX(AC75:AC80)</x:f>
        <x:v>6</x:v>
      </x:c>
      <x:c r="Z9" s="25" t="n">
        <x:f>MAX(AD75:AD80)</x:f>
        <x:v>0</x:v>
      </x:c>
      <x:c r="AA9" s="25" t="n">
        <x:f>MAX(AE75:AE80)</x:f>
        <x:v>0</x:v>
      </x:c>
      <x:c r="AB9" s="25" t="n">
        <x:f t="shared" ref="AB9:AN9" si="7">MAX(AF75:AF80)</x:f>
        <x:v>0</x:v>
      </x:c>
      <x:c r="AC9" s="25" t="n">
        <x:f t="shared" si="7">MAX(AG75:AG80)</x:f>
        <x:v>6</x:v>
      </x:c>
      <x:c r="AD9" s="25" t="n">
        <x:f t="shared" si="7">MAX(AH75:AH80)</x:f>
        <x:v>6</x:v>
      </x:c>
      <x:c r="AE9" s="25" t="n">
        <x:f t="shared" si="7">MAX(AI75:AI80)</x:f>
        <x:v>6</x:v>
      </x:c>
      <x:c r="AF9" s="25" t="n">
        <x:f t="shared" si="7">MAX(AJ75:AJ80)</x:f>
        <x:v>6</x:v>
      </x:c>
      <x:c r="AG9" s="25" t="n">
        <x:f t="shared" si="7">MAX(AK75:AK80)</x:f>
        <x:v>0</x:v>
      </x:c>
      <x:c r="AH9" s="25" t="n">
        <x:f t="shared" si="7">MAX(AL75:AL80)</x:f>
        <x:v>6</x:v>
      </x:c>
      <x:c r="AI9" s="25" t="n">
        <x:f t="shared" si="7">MAX(AM75:AM80)</x:f>
        <x:v>0</x:v>
      </x:c>
      <x:c r="AJ9" s="32" t="n">
        <x:f t="shared" si="7">MAX(AN75:AN80)</x:f>
        <x:v>0</x:v>
      </x:c>
      <x:c r="AK9" s="32" t="n">
        <x:f t="shared" si="7">MAX(AO75:AO80)</x:f>
        <x:v>0</x:v>
      </x:c>
      <x:c r="AL9" s="32" t="n">
        <x:f t="shared" si="7">MAX(AP75:AP80)</x:f>
        <x:v>0</x:v>
      </x:c>
      <x:c r="AM9" s="32" t="n">
        <x:f t="shared" si="7">MAX(AQ75:AQ80)</x:f>
        <x:v>0</x:v>
      </x:c>
      <x:c r="AN9" s="32" t="n">
        <x:f t="shared" si="7">MAX(AR75:AR80)</x:f>
        <x:v>0</x:v>
      </x:c>
      <x:c r="AO9" s="33"/>
      <x:c r="AP9" s="25"/>
      <x:c r="AQ9" s="25"/>
      <x:c r="AR9" s="25"/>
      <x:c r="AS9" s="25"/>
    </x:row>
    <x:row r="10" s="4" customFormat="1" ht="16">
      <x:c r="A10" s="25" t="s">
        <x:v>31</x:v>
      </x:c>
      <x:c r="B10" s="26" t="n">
        <x:f>MAX(F84:F89)</x:f>
        <x:v>6</x:v>
      </x:c>
      <x:c r="C10" s="26" t="n">
        <x:f>MAX(G84:G89)</x:f>
        <x:v>0</x:v>
      </x:c>
      <x:c r="D10" s="26" t="n">
        <x:f>MAX(H84:H89)</x:f>
        <x:v>0</x:v>
      </x:c>
      <x:c r="E10" s="26" t="n">
        <x:f t="shared" ref="E10:Q10" si="8">MAX(I84:I89)</x:f>
        <x:v>0</x:v>
      </x:c>
      <x:c r="F10" s="26" t="n">
        <x:f t="shared" si="8">MAX(J84:J89)</x:f>
        <x:v>6</x:v>
      </x:c>
      <x:c r="G10" s="26" t="n">
        <x:f t="shared" si="8">MAX(K84:K89)</x:f>
        <x:v>6</x:v>
      </x:c>
      <x:c r="H10" s="26" t="n">
        <x:f t="shared" si="8">MAX(L84:L89)</x:f>
        <x:v>6</x:v>
      </x:c>
      <x:c r="I10" s="26" t="n">
        <x:f t="shared" si="8">MAX(M84:M89)</x:f>
        <x:v>6</x:v>
      </x:c>
      <x:c r="J10" s="26" t="n">
        <x:f t="shared" si="8">MAX(N84:N89)</x:f>
        <x:v>0</x:v>
      </x:c>
      <x:c r="K10" s="26" t="n">
        <x:f t="shared" si="8">MAX(O84:O89)</x:f>
        <x:v>6</x:v>
      </x:c>
      <x:c r="L10" s="26" t="n">
        <x:f t="shared" si="8">MAX(P84:P89)</x:f>
        <x:v>0</x:v>
      </x:c>
      <x:c r="M10" s="27" t="n">
        <x:f t="shared" si="8">MAX(Q84:Q89)</x:f>
        <x:v>0</x:v>
      </x:c>
      <x:c r="N10" s="27" t="n">
        <x:f t="shared" si="8">MAX(R84:R89)</x:f>
        <x:v>0</x:v>
      </x:c>
      <x:c r="O10" s="27" t="n">
        <x:f t="shared" si="8">MAX(S84:S89)</x:f>
        <x:v>0</x:v>
      </x:c>
      <x:c r="P10" s="27" t="n">
        <x:f t="shared" si="8">MAX(T84:T89)</x:f>
        <x:v>0</x:v>
      </x:c>
      <x:c r="Q10" s="28" t="n">
        <x:f t="shared" si="8">MAX(U84:U89)</x:f>
        <x:v>0</x:v>
      </x:c>
      <x:c r="R10" s="29"/>
      <x:c r="S10" s="29"/>
      <x:c r="T10" s="29"/>
      <x:c r="U10" s="29"/>
      <x:c r="V10" s="30"/>
      <x:c r="W10" s="9"/>
      <x:c r="X10" s="31" t="s">
        <x:v>31</x:v>
      </x:c>
      <x:c r="Y10" s="25" t="n">
        <x:f>MAX(AC84:AC89)</x:f>
        <x:v>6</x:v>
      </x:c>
      <x:c r="Z10" s="25" t="n">
        <x:f>MAX(AD84:AD89)</x:f>
        <x:v>0</x:v>
      </x:c>
      <x:c r="AA10" s="25" t="n">
        <x:f>MAX(AE84:AE89)</x:f>
        <x:v>0</x:v>
      </x:c>
      <x:c r="AB10" s="25" t="n">
        <x:f t="shared" ref="AB10:AN10" si="9">MAX(AF84:AF89)</x:f>
        <x:v>0</x:v>
      </x:c>
      <x:c r="AC10" s="25" t="n">
        <x:f t="shared" si="9">MAX(AG84:AG89)</x:f>
        <x:v>6</x:v>
      </x:c>
      <x:c r="AD10" s="25" t="n">
        <x:f t="shared" si="9">MAX(AH84:AH89)</x:f>
        <x:v>6</x:v>
      </x:c>
      <x:c r="AE10" s="25" t="n">
        <x:f t="shared" si="9">MAX(AI84:AI89)</x:f>
        <x:v>6</x:v>
      </x:c>
      <x:c r="AF10" s="25" t="n">
        <x:f t="shared" si="9">MAX(AJ84:AJ89)</x:f>
        <x:v>6</x:v>
      </x:c>
      <x:c r="AG10" s="25" t="n">
        <x:f t="shared" si="9">MAX(AK84:AK89)</x:f>
        <x:v>0</x:v>
      </x:c>
      <x:c r="AH10" s="25" t="n">
        <x:f t="shared" si="9">MAX(AL84:AL89)</x:f>
        <x:v>6</x:v>
      </x:c>
      <x:c r="AI10" s="25" t="n">
        <x:f t="shared" si="9">MAX(AM84:AM89)</x:f>
        <x:v>0</x:v>
      </x:c>
      <x:c r="AJ10" s="32" t="n">
        <x:f t="shared" si="9">MAX(AN84:AN89)</x:f>
        <x:v>0</x:v>
      </x:c>
      <x:c r="AK10" s="32" t="n">
        <x:f t="shared" si="9">MAX(AO84:AO89)</x:f>
        <x:v>0</x:v>
      </x:c>
      <x:c r="AL10" s="32" t="n">
        <x:f t="shared" si="9">MAX(AP84:AP89)</x:f>
        <x:v>0</x:v>
      </x:c>
      <x:c r="AM10" s="32" t="n">
        <x:f t="shared" si="9">MAX(AQ84:AQ89)</x:f>
        <x:v>0</x:v>
      </x:c>
      <x:c r="AN10" s="32" t="n">
        <x:f t="shared" si="9">MAX(AR84:AR89)</x:f>
        <x:v>0</x:v>
      </x:c>
      <x:c r="AO10" s="33"/>
      <x:c r="AP10" s="25"/>
      <x:c r="AQ10" s="25"/>
      <x:c r="AR10" s="25"/>
      <x:c r="AS10" s="25"/>
    </x:row>
    <x:row r="11" s="4" customFormat="1" ht="16">
      <x:c r="A11" s="25" t="s">
        <x:v>32</x:v>
      </x:c>
      <x:c r="B11" s="26" t="n">
        <x:f>MAX(F93:F97)</x:f>
        <x:v>0</x:v>
      </x:c>
      <x:c r="C11" s="26" t="n">
        <x:f>MAX(G93:G97)</x:f>
        <x:v>8</x:v>
      </x:c>
      <x:c r="D11" s="26" t="n">
        <x:f>MAX(H93:H97)</x:f>
        <x:v>0</x:v>
      </x:c>
      <x:c r="E11" s="26" t="n">
        <x:f t="shared" ref="E11:Q11" si="10">MAX(I93:I97)</x:f>
        <x:v>0</x:v>
      </x:c>
      <x:c r="F11" s="26" t="n">
        <x:f t="shared" si="10">MAX(J93:J97)</x:f>
        <x:v>8</x:v>
      </x:c>
      <x:c r="G11" s="26" t="n">
        <x:f t="shared" si="10">MAX(K93:K97)</x:f>
        <x:v>8</x:v>
      </x:c>
      <x:c r="H11" s="26" t="n">
        <x:f t="shared" si="10">MAX(L93:L97)</x:f>
        <x:v>8</x:v>
      </x:c>
      <x:c r="I11" s="26" t="n">
        <x:f t="shared" si="10">MAX(M93:M97)</x:f>
        <x:v>8</x:v>
      </x:c>
      <x:c r="J11" s="26" t="n">
        <x:f t="shared" si="10">MAX(N93:N97)</x:f>
        <x:v>0</x:v>
      </x:c>
      <x:c r="K11" s="26" t="n">
        <x:f t="shared" si="10">MAX(O93:O97)</x:f>
        <x:v>8</x:v>
      </x:c>
      <x:c r="L11" s="26" t="n">
        <x:f t="shared" si="10">MAX(P93:P97)</x:f>
        <x:v>0</x:v>
      </x:c>
      <x:c r="M11" s="27" t="n">
        <x:f t="shared" si="10">MAX(Q93:Q97)</x:f>
        <x:v>0</x:v>
      </x:c>
      <x:c r="N11" s="27" t="n">
        <x:f t="shared" si="10">MAX(R93:R97)</x:f>
        <x:v>0</x:v>
      </x:c>
      <x:c r="O11" s="27" t="n">
        <x:f t="shared" si="10">MAX(S93:S97)</x:f>
        <x:v>0</x:v>
      </x:c>
      <x:c r="P11" s="27" t="n">
        <x:f t="shared" si="10">MAX(T93:T97)</x:f>
        <x:v>0</x:v>
      </x:c>
      <x:c r="Q11" s="28" t="n">
        <x:f t="shared" si="10">MAX(U93:U97)</x:f>
        <x:v>0</x:v>
      </x:c>
      <x:c r="R11" s="29" t="s">
        <x:v>33</x:v>
      </x:c>
      <x:c r="S11" s="29"/>
      <x:c r="T11" s="29"/>
      <x:c r="U11" s="29"/>
      <x:c r="V11" s="30"/>
      <x:c r="W11" s="9"/>
      <x:c r="X11" s="31" t="s">
        <x:v>32</x:v>
      </x:c>
      <x:c r="Y11" s="25" t="n">
        <x:f>MAX(AC93:AC97)</x:f>
        <x:v>0</x:v>
      </x:c>
      <x:c r="Z11" s="25" t="n">
        <x:f>MAX(AD93:AD97)</x:f>
        <x:v>8</x:v>
      </x:c>
      <x:c r="AA11" s="25" t="n">
        <x:f>MAX(AE93:AE97)</x:f>
        <x:v>0</x:v>
      </x:c>
      <x:c r="AB11" s="25" t="n">
        <x:f t="shared" ref="AB11:AN11" si="11">MAX(AF93:AF97)</x:f>
        <x:v>0</x:v>
      </x:c>
      <x:c r="AC11" s="25" t="n">
        <x:f t="shared" si="11">MAX(AG93:AG97)</x:f>
        <x:v>8</x:v>
      </x:c>
      <x:c r="AD11" s="25" t="n">
        <x:f t="shared" si="11">MAX(AH93:AH97)</x:f>
        <x:v>8</x:v>
      </x:c>
      <x:c r="AE11" s="25" t="n">
        <x:f t="shared" si="11">MAX(AI93:AI97)</x:f>
        <x:v>8</x:v>
      </x:c>
      <x:c r="AF11" s="25" t="n">
        <x:f t="shared" si="11">MAX(AJ93:AJ97)</x:f>
        <x:v>8</x:v>
      </x:c>
      <x:c r="AG11" s="25" t="n">
        <x:f t="shared" si="11">MAX(AK93:AK97)</x:f>
        <x:v>0</x:v>
      </x:c>
      <x:c r="AH11" s="25" t="n">
        <x:f t="shared" si="11">MAX(AL93:AL97)</x:f>
        <x:v>8</x:v>
      </x:c>
      <x:c r="AI11" s="25" t="n">
        <x:f t="shared" si="11">MAX(AM93:AM97)</x:f>
        <x:v>0</x:v>
      </x:c>
      <x:c r="AJ11" s="32" t="n">
        <x:f t="shared" si="11">MAX(AN93:AN97)</x:f>
        <x:v>0</x:v>
      </x:c>
      <x:c r="AK11" s="32" t="n">
        <x:f t="shared" si="11">MAX(AO93:AO97)</x:f>
        <x:v>0</x:v>
      </x:c>
      <x:c r="AL11" s="32" t="n">
        <x:f t="shared" si="11">MAX(AP93:AP97)</x:f>
        <x:v>0</x:v>
      </x:c>
      <x:c r="AM11" s="32" t="n">
        <x:f t="shared" si="11">MAX(AQ93:AQ97)</x:f>
        <x:v>0</x:v>
      </x:c>
      <x:c r="AN11" s="32" t="n">
        <x:f t="shared" si="11">MAX(AR93:AR97)</x:f>
        <x:v>0</x:v>
      </x:c>
      <x:c r="AO11" s="33" t="s">
        <x:v>33</x:v>
      </x:c>
      <x:c r="AP11" s="25"/>
      <x:c r="AQ11" s="25"/>
      <x:c r="AR11" s="25"/>
      <x:c r="AS11" s="25"/>
    </x:row>
    <x:row r="12" s="4" customFormat="1" ht="16">
      <x:c r="A12" s="25" t="s">
        <x:v>34</x:v>
      </x:c>
      <x:c r="B12" s="26" t="n">
        <x:f>MAX(F101:F104)</x:f>
        <x:v>0</x:v>
      </x:c>
      <x:c r="C12" s="26" t="n">
        <x:f>MAX(G101:G104)</x:f>
        <x:v>6</x:v>
      </x:c>
      <x:c r="D12" s="26" t="n">
        <x:f>MAX(H101:H104)</x:f>
        <x:v>0</x:v>
      </x:c>
      <x:c r="E12" s="26" t="n">
        <x:f t="shared" ref="E12:Q12" si="12">MAX(I101:I104)</x:f>
        <x:v>0</x:v>
      </x:c>
      <x:c r="F12" s="26" t="n">
        <x:f t="shared" si="12">MAX(J101:J104)</x:f>
        <x:v>6</x:v>
      </x:c>
      <x:c r="G12" s="26" t="n">
        <x:f t="shared" si="12">MAX(K101:K104)</x:f>
        <x:v>6</x:v>
      </x:c>
      <x:c r="H12" s="26" t="n">
        <x:f t="shared" si="12">MAX(L101:L104)</x:f>
        <x:v>6</x:v>
      </x:c>
      <x:c r="I12" s="26" t="n">
        <x:f t="shared" si="12">MAX(M101:M104)</x:f>
        <x:v>6</x:v>
      </x:c>
      <x:c r="J12" s="26" t="n">
        <x:f t="shared" si="12">MAX(N101:N104)</x:f>
        <x:v>0</x:v>
      </x:c>
      <x:c r="K12" s="26" t="n">
        <x:f t="shared" si="12">MAX(O101:O104)</x:f>
        <x:v>6</x:v>
      </x:c>
      <x:c r="L12" s="26" t="n">
        <x:f t="shared" si="12">MAX(P101:P104)</x:f>
        <x:v>0</x:v>
      </x:c>
      <x:c r="M12" s="27" t="n">
        <x:f t="shared" si="12">MAX(Q101:Q104)</x:f>
        <x:v>0</x:v>
      </x:c>
      <x:c r="N12" s="27" t="n">
        <x:f t="shared" si="12">MAX(R101:R104)</x:f>
        <x:v>0</x:v>
      </x:c>
      <x:c r="O12" s="27" t="n">
        <x:f t="shared" si="12">MAX(S101:S104)</x:f>
        <x:v>0</x:v>
      </x:c>
      <x:c r="P12" s="27" t="n">
        <x:f t="shared" si="12">MAX(T101:T104)</x:f>
        <x:v>0</x:v>
      </x:c>
      <x:c r="Q12" s="28" t="n">
        <x:f t="shared" si="12">MAX(U101:U104)</x:f>
        <x:v>0</x:v>
      </x:c>
      <x:c r="R12" s="29" t="s">
        <x:v>35</x:v>
      </x:c>
      <x:c r="S12" s="29"/>
      <x:c r="T12" s="29"/>
      <x:c r="U12" s="29"/>
      <x:c r="V12" s="30"/>
      <x:c r="W12" s="9"/>
      <x:c r="X12" s="31" t="s">
        <x:v>34</x:v>
      </x:c>
      <x:c r="Y12" s="25" t="n">
        <x:f>MAX(AC101:AC104)</x:f>
        <x:v>0</x:v>
      </x:c>
      <x:c r="Z12" s="25" t="n">
        <x:f>MAX(AD101:AD104)</x:f>
        <x:v>6</x:v>
      </x:c>
      <x:c r="AA12" s="25" t="n">
        <x:f>MAX(AE101:AE104)</x:f>
        <x:v>0</x:v>
      </x:c>
      <x:c r="AB12" s="25" t="n">
        <x:f t="shared" ref="AB12:AN12" si="13">MAX(AF101:AF104)</x:f>
        <x:v>0</x:v>
      </x:c>
      <x:c r="AC12" s="25" t="n">
        <x:f t="shared" si="13">MAX(AG101:AG104)</x:f>
        <x:v>6</x:v>
      </x:c>
      <x:c r="AD12" s="25" t="n">
        <x:f t="shared" si="13">MAX(AH101:AH104)</x:f>
        <x:v>6</x:v>
      </x:c>
      <x:c r="AE12" s="25" t="n">
        <x:f t="shared" si="13">MAX(AI101:AI104)</x:f>
        <x:v>6</x:v>
      </x:c>
      <x:c r="AF12" s="25" t="n">
        <x:f t="shared" si="13">MAX(AJ101:AJ104)</x:f>
        <x:v>6</x:v>
      </x:c>
      <x:c r="AG12" s="25" t="n">
        <x:f t="shared" si="13">MAX(AK101:AK104)</x:f>
        <x:v>0</x:v>
      </x:c>
      <x:c r="AH12" s="25" t="n">
        <x:f t="shared" si="13">MAX(AL101:AL104)</x:f>
        <x:v>6</x:v>
      </x:c>
      <x:c r="AI12" s="25" t="n">
        <x:f t="shared" si="13">MAX(AM101:AM104)</x:f>
        <x:v>0</x:v>
      </x:c>
      <x:c r="AJ12" s="32" t="n">
        <x:f t="shared" si="13">MAX(AN101:AN104)</x:f>
        <x:v>0</x:v>
      </x:c>
      <x:c r="AK12" s="32" t="n">
        <x:f t="shared" si="13">MAX(AO101:AO104)</x:f>
        <x:v>0</x:v>
      </x:c>
      <x:c r="AL12" s="32" t="n">
        <x:f t="shared" si="13">MAX(AP101:AP104)</x:f>
        <x:v>0</x:v>
      </x:c>
      <x:c r="AM12" s="32" t="n">
        <x:f t="shared" si="13">MAX(AQ101:AQ104)</x:f>
        <x:v>0</x:v>
      </x:c>
      <x:c r="AN12" s="32" t="n">
        <x:f t="shared" si="13">MAX(AR101:AR104)</x:f>
        <x:v>0</x:v>
      </x:c>
      <x:c r="AO12" s="33" t="s">
        <x:v>35</x:v>
      </x:c>
      <x:c r="AP12" s="25"/>
      <x:c r="AQ12" s="25"/>
      <x:c r="AR12" s="25"/>
      <x:c r="AS12" s="25"/>
    </x:row>
    <x:row r="13" s="4" customFormat="1" ht="16">
      <x:c r="A13" s="25" t="s">
        <x:v>36</x:v>
      </x:c>
      <x:c r="B13" s="26" t="n">
        <x:f>MAX(F108:F113)</x:f>
        <x:v>6</x:v>
      </x:c>
      <x:c r="C13" s="26" t="n">
        <x:f>MAX(G108:G113)</x:f>
        <x:v>0</x:v>
      </x:c>
      <x:c r="D13" s="26" t="n">
        <x:f>MAX(H108:H113)</x:f>
        <x:v>0</x:v>
      </x:c>
      <x:c r="E13" s="26" t="n">
        <x:f t="shared" ref="E13:Q13" si="14">MAX(I108:I113)</x:f>
        <x:v>0</x:v>
      </x:c>
      <x:c r="F13" s="26" t="n">
        <x:f t="shared" si="14">MAX(J108:J113)</x:f>
        <x:v>6</x:v>
      </x:c>
      <x:c r="G13" s="26" t="n">
        <x:f t="shared" si="14">MAX(K108:K113)</x:f>
        <x:v>6</x:v>
      </x:c>
      <x:c r="H13" s="26" t="n">
        <x:f t="shared" si="14">MAX(L108:L113)</x:f>
        <x:v>6</x:v>
      </x:c>
      <x:c r="I13" s="26" t="n">
        <x:f t="shared" si="14">MAX(M108:M113)</x:f>
        <x:v>6</x:v>
      </x:c>
      <x:c r="J13" s="26" t="n">
        <x:f t="shared" si="14">MAX(N108:N113)</x:f>
        <x:v>0</x:v>
      </x:c>
      <x:c r="K13" s="26" t="n">
        <x:f t="shared" si="14">MAX(O108:O113)</x:f>
        <x:v>6</x:v>
      </x:c>
      <x:c r="L13" s="26" t="n">
        <x:f t="shared" si="14">MAX(P108:P113)</x:f>
        <x:v>0</x:v>
      </x:c>
      <x:c r="M13" s="27" t="n">
        <x:f t="shared" si="14">MAX(Q108:Q113)</x:f>
        <x:v>6</x:v>
      </x:c>
      <x:c r="N13" s="27" t="n">
        <x:f t="shared" si="14">MAX(R108:R113)</x:f>
        <x:v>18</x:v>
      </x:c>
      <x:c r="O13" s="27" t="n">
        <x:f t="shared" si="14">MAX(S108:S113)</x:f>
        <x:v>18</x:v>
      </x:c>
      <x:c r="P13" s="27" t="n">
        <x:f t="shared" si="14">MAX(T108:T113)</x:f>
        <x:v>18</x:v>
      </x:c>
      <x:c r="Q13" s="28" t="n">
        <x:f t="shared" si="14">MAX(U108:U113)</x:f>
        <x:v>18</x:v>
      </x:c>
      <x:c r="R13" s="29"/>
      <x:c r="S13" s="29"/>
      <x:c r="T13" s="29"/>
      <x:c r="U13" s="29"/>
      <x:c r="V13" s="30"/>
      <x:c r="W13" s="9"/>
      <x:c r="X13" s="31" t="s">
        <x:v>36</x:v>
      </x:c>
      <x:c r="Y13" s="25" t="n">
        <x:f>MAX(AC108:AC113)</x:f>
        <x:v>6</x:v>
      </x:c>
      <x:c r="Z13" s="25" t="n">
        <x:f>MAX(AD108:AD113)</x:f>
        <x:v>0</x:v>
      </x:c>
      <x:c r="AA13" s="25" t="n">
        <x:f>MAX(AE108:AE113)</x:f>
        <x:v>0</x:v>
      </x:c>
      <x:c r="AB13" s="25" t="n">
        <x:f t="shared" ref="AB13:AN13" si="15">MAX(AF108:AF113)</x:f>
        <x:v>0</x:v>
      </x:c>
      <x:c r="AC13" s="25" t="n">
        <x:f t="shared" si="15">MAX(AG108:AG113)</x:f>
        <x:v>6</x:v>
      </x:c>
      <x:c r="AD13" s="25" t="n">
        <x:f t="shared" si="15">MAX(AH108:AH113)</x:f>
        <x:v>6</x:v>
      </x:c>
      <x:c r="AE13" s="25" t="n">
        <x:f t="shared" si="15">MAX(AI108:AI113)</x:f>
        <x:v>6</x:v>
      </x:c>
      <x:c r="AF13" s="25" t="n">
        <x:f t="shared" si="15">MAX(AJ108:AJ113)</x:f>
        <x:v>6</x:v>
      </x:c>
      <x:c r="AG13" s="25" t="n">
        <x:f t="shared" si="15">MAX(AK108:AK113)</x:f>
        <x:v>0</x:v>
      </x:c>
      <x:c r="AH13" s="25" t="n">
        <x:f t="shared" si="15">MAX(AL108:AL113)</x:f>
        <x:v>6</x:v>
      </x:c>
      <x:c r="AI13" s="25" t="n">
        <x:f t="shared" si="15">MAX(AM108:AM113)</x:f>
        <x:v>0</x:v>
      </x:c>
      <x:c r="AJ13" s="32" t="n">
        <x:f t="shared" si="15">MAX(AN108:AN113)</x:f>
        <x:v>6</x:v>
      </x:c>
      <x:c r="AK13" s="32" t="n">
        <x:f t="shared" si="15">MAX(AO108:AO113)</x:f>
        <x:v>18</x:v>
      </x:c>
      <x:c r="AL13" s="32" t="n">
        <x:f t="shared" si="15">MAX(AP108:AP113)</x:f>
        <x:v>18</x:v>
      </x:c>
      <x:c r="AM13" s="32" t="n">
        <x:f t="shared" si="15">MAX(AQ108:AQ113)</x:f>
        <x:v>18</x:v>
      </x:c>
      <x:c r="AN13" s="32" t="n">
        <x:f t="shared" si="15">MAX(AR108:AR113)</x:f>
        <x:v>18</x:v>
      </x:c>
      <x:c r="AO13" s="33"/>
      <x:c r="AP13" s="25"/>
      <x:c r="AQ13" s="25"/>
      <x:c r="AR13" s="25"/>
      <x:c r="AS13" s="25"/>
    </x:row>
    <x:row r="14" s="4" customFormat="1" ht="16">
      <x:c r="A14" s="25" t="s">
        <x:v>37</x:v>
      </x:c>
      <x:c r="B14" s="26" t="n">
        <x:f>MAX(F117:F121)</x:f>
        <x:v>6</x:v>
      </x:c>
      <x:c r="C14" s="26" t="n">
        <x:f>MAX(G117:G121)</x:f>
        <x:v>0</x:v>
      </x:c>
      <x:c r="D14" s="26" t="n">
        <x:f>MAX(H117:H121)</x:f>
        <x:v>0</x:v>
      </x:c>
      <x:c r="E14" s="26" t="n">
        <x:f t="shared" ref="E14:Q14" si="16">MAX(I117:I121)</x:f>
        <x:v>0</x:v>
      </x:c>
      <x:c r="F14" s="26" t="n">
        <x:f t="shared" si="16">MAX(J117:J121)</x:f>
        <x:v>6</x:v>
      </x:c>
      <x:c r="G14" s="26" t="n">
        <x:f t="shared" si="16">MAX(K117:K121)</x:f>
        <x:v>6</x:v>
      </x:c>
      <x:c r="H14" s="26" t="n">
        <x:f t="shared" si="16">MAX(L117:L121)</x:f>
        <x:v>6</x:v>
      </x:c>
      <x:c r="I14" s="26" t="n">
        <x:f t="shared" si="16">MAX(M117:M121)</x:f>
        <x:v>6</x:v>
      </x:c>
      <x:c r="J14" s="26" t="n">
        <x:f t="shared" si="16">MAX(N117:N121)</x:f>
        <x:v>0</x:v>
      </x:c>
      <x:c r="K14" s="26" t="n">
        <x:f t="shared" si="16">MAX(O117:O121)</x:f>
        <x:v>6</x:v>
      </x:c>
      <x:c r="L14" s="26" t="n">
        <x:f t="shared" si="16">MAX(P117:P121)</x:f>
        <x:v>0</x:v>
      </x:c>
      <x:c r="M14" s="27" t="n">
        <x:f t="shared" si="16">MAX(Q117:Q121)</x:f>
        <x:v>6</x:v>
      </x:c>
      <x:c r="N14" s="27" t="n">
        <x:f t="shared" si="16">MAX(R117:R121)</x:f>
        <x:v>18</x:v>
      </x:c>
      <x:c r="O14" s="27" t="n">
        <x:f t="shared" si="16">MAX(S117:S121)</x:f>
        <x:v>18</x:v>
      </x:c>
      <x:c r="P14" s="27" t="n">
        <x:f t="shared" si="16">MAX(T117:T121)</x:f>
        <x:v>18</x:v>
      </x:c>
      <x:c r="Q14" s="28" t="n">
        <x:f t="shared" si="16">MAX(U117:U121)</x:f>
        <x:v>18</x:v>
      </x:c>
      <x:c r="R14" s="29"/>
      <x:c r="S14" s="29"/>
      <x:c r="T14" s="29"/>
      <x:c r="U14" s="29"/>
      <x:c r="V14" s="30"/>
      <x:c r="W14" s="9"/>
      <x:c r="X14" s="31" t="s">
        <x:v>37</x:v>
      </x:c>
      <x:c r="Y14" s="25" t="n">
        <x:f>MAX(AC117:AC121)</x:f>
        <x:v>6</x:v>
      </x:c>
      <x:c r="Z14" s="25" t="n">
        <x:f>MAX(AD117:AD121)</x:f>
        <x:v>0</x:v>
      </x:c>
      <x:c r="AA14" s="25" t="n">
        <x:f>MAX(AE117:AE121)</x:f>
        <x:v>0</x:v>
      </x:c>
      <x:c r="AB14" s="25" t="n">
        <x:f t="shared" ref="AB14:AN14" si="17">MAX(AF117:AF121)</x:f>
        <x:v>0</x:v>
      </x:c>
      <x:c r="AC14" s="25" t="n">
        <x:f t="shared" si="17">MAX(AG117:AG121)</x:f>
        <x:v>6</x:v>
      </x:c>
      <x:c r="AD14" s="25" t="n">
        <x:f t="shared" si="17">MAX(AH117:AH121)</x:f>
        <x:v>6</x:v>
      </x:c>
      <x:c r="AE14" s="25" t="n">
        <x:f t="shared" si="17">MAX(AI117:AI121)</x:f>
        <x:v>6</x:v>
      </x:c>
      <x:c r="AF14" s="25" t="n">
        <x:f t="shared" si="17">MAX(AJ117:AJ121)</x:f>
        <x:v>6</x:v>
      </x:c>
      <x:c r="AG14" s="25" t="n">
        <x:f t="shared" si="17">MAX(AK117:AK121)</x:f>
        <x:v>0</x:v>
      </x:c>
      <x:c r="AH14" s="25" t="n">
        <x:f t="shared" si="17">MAX(AL117:AL121)</x:f>
        <x:v>6</x:v>
      </x:c>
      <x:c r="AI14" s="25" t="n">
        <x:f t="shared" si="17">MAX(AM117:AM121)</x:f>
        <x:v>0</x:v>
      </x:c>
      <x:c r="AJ14" s="32" t="n">
        <x:f t="shared" si="17">MAX(AN117:AN121)</x:f>
        <x:v>6</x:v>
      </x:c>
      <x:c r="AK14" s="32" t="n">
        <x:f t="shared" si="17">MAX(AO117:AO121)</x:f>
        <x:v>18</x:v>
      </x:c>
      <x:c r="AL14" s="32" t="n">
        <x:f t="shared" si="17">MAX(AP117:AP121)</x:f>
        <x:v>18</x:v>
      </x:c>
      <x:c r="AM14" s="32" t="n">
        <x:f t="shared" si="17">MAX(AQ117:AQ121)</x:f>
        <x:v>18</x:v>
      </x:c>
      <x:c r="AN14" s="32" t="n">
        <x:f t="shared" si="17">MAX(AR117:AR121)</x:f>
        <x:v>18</x:v>
      </x:c>
      <x:c r="AO14" s="33"/>
      <x:c r="AP14" s="25"/>
      <x:c r="AQ14" s="25"/>
      <x:c r="AR14" s="25"/>
      <x:c r="AS14" s="25"/>
    </x:row>
    <x:row r="15" s="4" customFormat="1" ht="16">
      <x:c r="A15" s="25" t="s">
        <x:v>38</x:v>
      </x:c>
      <x:c r="B15" s="26" t="n">
        <x:f>MAX(F125:F130)</x:f>
        <x:v>6</x:v>
      </x:c>
      <x:c r="C15" s="26" t="n">
        <x:f>MAX(G125:G130)</x:f>
        <x:v>0</x:v>
      </x:c>
      <x:c r="D15" s="26" t="n">
        <x:f>MAX(H125:H130)</x:f>
        <x:v>0</x:v>
      </x:c>
      <x:c r="E15" s="26" t="n">
        <x:f t="shared" ref="E15:Q15" si="18">MAX(I125:I130)</x:f>
        <x:v>0</x:v>
      </x:c>
      <x:c r="F15" s="26" t="n">
        <x:f t="shared" si="18">MAX(J125:J130)</x:f>
        <x:v>6</x:v>
      </x:c>
      <x:c r="G15" s="26" t="n">
        <x:f t="shared" si="18">MAX(K125:K130)</x:f>
        <x:v>6</x:v>
      </x:c>
      <x:c r="H15" s="26" t="n">
        <x:f t="shared" si="18">MAX(L125:L130)</x:f>
        <x:v>6</x:v>
      </x:c>
      <x:c r="I15" s="26" t="n">
        <x:f t="shared" si="18">MAX(M125:M130)</x:f>
        <x:v>6</x:v>
      </x:c>
      <x:c r="J15" s="26" t="n">
        <x:f t="shared" si="18">MAX(N125:N130)</x:f>
        <x:v>0</x:v>
      </x:c>
      <x:c r="K15" s="26" t="n">
        <x:f t="shared" si="18">MAX(O125:O130)</x:f>
        <x:v>6</x:v>
      </x:c>
      <x:c r="L15" s="26" t="n">
        <x:f t="shared" si="18">MAX(P125:P130)</x:f>
        <x:v>0</x:v>
      </x:c>
      <x:c r="M15" s="27" t="n">
        <x:f t="shared" si="18">MAX(Q125:Q130)</x:f>
        <x:v>6</x:v>
      </x:c>
      <x:c r="N15" s="27" t="n">
        <x:f t="shared" si="18">MAX(R125:R130)</x:f>
        <x:v>18</x:v>
      </x:c>
      <x:c r="O15" s="27" t="n">
        <x:f t="shared" si="18">MAX(S125:S130)</x:f>
        <x:v>18</x:v>
      </x:c>
      <x:c r="P15" s="27" t="n">
        <x:f t="shared" si="18">MAX(T125:T130)</x:f>
        <x:v>18</x:v>
      </x:c>
      <x:c r="Q15" s="28" t="n">
        <x:f t="shared" si="18">MAX(U125:U130)</x:f>
        <x:v>18</x:v>
      </x:c>
      <x:c r="R15" s="29"/>
      <x:c r="S15" s="29"/>
      <x:c r="T15" s="29"/>
      <x:c r="U15" s="29"/>
      <x:c r="V15" s="30"/>
      <x:c r="W15" s="9"/>
      <x:c r="X15" s="31" t="s">
        <x:v>38</x:v>
      </x:c>
      <x:c r="Y15" s="25" t="n">
        <x:f>MAX(AC125:AC130)</x:f>
        <x:v>6</x:v>
      </x:c>
      <x:c r="Z15" s="25" t="n">
        <x:f>MAX(AD125:AD130)</x:f>
        <x:v>0</x:v>
      </x:c>
      <x:c r="AA15" s="25" t="n">
        <x:f>MAX(AE125:AE130)</x:f>
        <x:v>0</x:v>
      </x:c>
      <x:c r="AB15" s="25" t="n">
        <x:f t="shared" ref="AB15:AN15" si="19">MAX(AF125:AF130)</x:f>
        <x:v>0</x:v>
      </x:c>
      <x:c r="AC15" s="25" t="n">
        <x:f t="shared" si="19">MAX(AG125:AG130)</x:f>
        <x:v>6</x:v>
      </x:c>
      <x:c r="AD15" s="25" t="n">
        <x:f t="shared" si="19">MAX(AH125:AH130)</x:f>
        <x:v>6</x:v>
      </x:c>
      <x:c r="AE15" s="25" t="n">
        <x:f t="shared" si="19">MAX(AI125:AI130)</x:f>
        <x:v>6</x:v>
      </x:c>
      <x:c r="AF15" s="25" t="n">
        <x:f t="shared" si="19">MAX(AJ125:AJ130)</x:f>
        <x:v>6</x:v>
      </x:c>
      <x:c r="AG15" s="25" t="n">
        <x:f t="shared" si="19">MAX(AK125:AK130)</x:f>
        <x:v>0</x:v>
      </x:c>
      <x:c r="AH15" s="25" t="n">
        <x:f t="shared" si="19">MAX(AL125:AL130)</x:f>
        <x:v>6</x:v>
      </x:c>
      <x:c r="AI15" s="25" t="n">
        <x:f t="shared" si="19">MAX(AM125:AM130)</x:f>
        <x:v>0</x:v>
      </x:c>
      <x:c r="AJ15" s="32" t="n">
        <x:f t="shared" si="19">MAX(AN125:AN130)</x:f>
        <x:v>6</x:v>
      </x:c>
      <x:c r="AK15" s="32" t="n">
        <x:f t="shared" si="19">MAX(AO125:AO130)</x:f>
        <x:v>18</x:v>
      </x:c>
      <x:c r="AL15" s="32" t="n">
        <x:f t="shared" si="19">MAX(AP125:AP130)</x:f>
        <x:v>18</x:v>
      </x:c>
      <x:c r="AM15" s="32" t="n">
        <x:f t="shared" si="19">MAX(AQ125:AQ130)</x:f>
        <x:v>18</x:v>
      </x:c>
      <x:c r="AN15" s="32" t="n">
        <x:f t="shared" si="19">MAX(AR125:AR130)</x:f>
        <x:v>18</x:v>
      </x:c>
      <x:c r="AO15" s="33"/>
      <x:c r="AP15" s="25"/>
      <x:c r="AQ15" s="25"/>
      <x:c r="AR15" s="25"/>
      <x:c r="AS15" s="25"/>
    </x:row>
    <x:row r="16" s="4" customFormat="1" ht="16">
      <x:c r="A16" s="25" t="s">
        <x:v>39</x:v>
      </x:c>
      <x:c r="B16" s="26" t="n">
        <x:f>MAX(F134:F139)</x:f>
        <x:v>6</x:v>
      </x:c>
      <x:c r="C16" s="26" t="n">
        <x:f>MAX(G134:G139)</x:f>
        <x:v>0</x:v>
      </x:c>
      <x:c r="D16" s="26" t="n">
        <x:f>MAX(H134:H139)</x:f>
        <x:v>0</x:v>
      </x:c>
      <x:c r="E16" s="26" t="n">
        <x:f t="shared" ref="E16:Q16" si="20">MAX(I134:I139)</x:f>
        <x:v>0</x:v>
      </x:c>
      <x:c r="F16" s="26" t="n">
        <x:f t="shared" si="20">MAX(J134:J139)</x:f>
        <x:v>6</x:v>
      </x:c>
      <x:c r="G16" s="26" t="n">
        <x:f t="shared" si="20">MAX(K134:K139)</x:f>
        <x:v>6</x:v>
      </x:c>
      <x:c r="H16" s="26" t="n">
        <x:f t="shared" si="20">MAX(L134:L139)</x:f>
        <x:v>6</x:v>
      </x:c>
      <x:c r="I16" s="26" t="n">
        <x:f t="shared" si="20">MAX(M134:M139)</x:f>
        <x:v>6</x:v>
      </x:c>
      <x:c r="J16" s="26" t="n">
        <x:f t="shared" si="20">MAX(N134:N139)</x:f>
        <x:v>0</x:v>
      </x:c>
      <x:c r="K16" s="26" t="n">
        <x:f t="shared" si="20">MAX(O134:O139)</x:f>
        <x:v>6</x:v>
      </x:c>
      <x:c r="L16" s="26" t="n">
        <x:f t="shared" si="20">MAX(P134:P139)</x:f>
        <x:v>0</x:v>
      </x:c>
      <x:c r="M16" s="27" t="n">
        <x:f t="shared" si="20">MAX(Q134:Q139)</x:f>
        <x:v>6</x:v>
      </x:c>
      <x:c r="N16" s="27" t="n">
        <x:f t="shared" si="20">MAX(R134:R139)</x:f>
        <x:v>18</x:v>
      </x:c>
      <x:c r="O16" s="27" t="n">
        <x:f t="shared" si="20">MAX(S134:S139)</x:f>
        <x:v>18</x:v>
      </x:c>
      <x:c r="P16" s="27" t="n">
        <x:f t="shared" si="20">MAX(T134:T139)</x:f>
        <x:v>18</x:v>
      </x:c>
      <x:c r="Q16" s="28" t="n">
        <x:f t="shared" si="20">MAX(U134:U139)</x:f>
        <x:v>18</x:v>
      </x:c>
      <x:c r="R16" s="29"/>
      <x:c r="S16" s="29"/>
      <x:c r="T16" s="29"/>
      <x:c r="U16" s="29"/>
      <x:c r="V16" s="30"/>
      <x:c r="W16" s="9"/>
      <x:c r="X16" s="31" t="s">
        <x:v>40</x:v>
      </x:c>
      <x:c r="Y16" s="25" t="n">
        <x:f>MAX(AC134:AC143)</x:f>
        <x:v>12</x:v>
      </x:c>
      <x:c r="Z16" s="25" t="n">
        <x:f>MAX(AD134:AD143)</x:f>
        <x:v>0</x:v>
      </x:c>
      <x:c r="AA16" s="25" t="n">
        <x:f>MAX(AE134:AE143)</x:f>
        <x:v>3</x:v>
      </x:c>
      <x:c r="AB16" s="25" t="n">
        <x:f t="shared" ref="AB16:AN16" si="21">MAX(AF134:AF143)</x:f>
        <x:v>0</x:v>
      </x:c>
      <x:c r="AC16" s="25" t="n">
        <x:f t="shared" si="21">MAX(AG134:AG143)</x:f>
        <x:v>12</x:v>
      </x:c>
      <x:c r="AD16" s="25" t="n">
        <x:f t="shared" si="21">MAX(AH134:AH143)</x:f>
        <x:v>12</x:v>
      </x:c>
      <x:c r="AE16" s="25" t="n">
        <x:f t="shared" si="21">MAX(AI134:AI143)</x:f>
        <x:v>12</x:v>
      </x:c>
      <x:c r="AF16" s="25" t="n">
        <x:f t="shared" si="21">MAX(AJ134:AJ143)</x:f>
        <x:v>12</x:v>
      </x:c>
      <x:c r="AG16" s="25" t="n">
        <x:f t="shared" si="21">MAX(AK134:AK143)</x:f>
        <x:v>0</x:v>
      </x:c>
      <x:c r="AH16" s="25" t="n">
        <x:f t="shared" si="21">MAX(AL134:AL143)</x:f>
        <x:v>12</x:v>
      </x:c>
      <x:c r="AI16" s="25" t="n">
        <x:f t="shared" si="21">MAX(AM134:AM143)</x:f>
        <x:v>0</x:v>
      </x:c>
      <x:c r="AJ16" s="32" t="n">
        <x:f t="shared" si="21">MAX(AN134:AN143)</x:f>
        <x:v>0</x:v>
      </x:c>
      <x:c r="AK16" s="32" t="n">
        <x:f t="shared" si="21">MAX(AO134:AO143)</x:f>
        <x:v>0</x:v>
      </x:c>
      <x:c r="AL16" s="32" t="n">
        <x:f t="shared" si="21">MAX(AP134:AP143)</x:f>
        <x:v>0</x:v>
      </x:c>
      <x:c r="AM16" s="32" t="n">
        <x:f t="shared" si="21">MAX(AQ134:AQ143)</x:f>
        <x:v>0</x:v>
      </x:c>
      <x:c r="AN16" s="32" t="n">
        <x:f t="shared" si="21">MAX(AR134:AR143)</x:f>
        <x:v>0</x:v>
      </x:c>
      <x:c r="AO16" s="33"/>
      <x:c r="AP16" s="25"/>
      <x:c r="AQ16" s="25"/>
      <x:c r="AR16" s="25"/>
      <x:c r="AS16" s="25"/>
    </x:row>
    <x:row r="17" s="4" customFormat="1" ht="16">
      <x:c r="A17" s="25" t="s">
        <x:v>41</x:v>
      </x:c>
      <x:c r="B17" s="26" t="n">
        <x:f>MAX(F143:F143)</x:f>
        <x:v>1</x:v>
      </x:c>
      <x:c r="C17" s="26" t="n">
        <x:f>MAX(G143:G143)</x:f>
        <x:v>0</x:v>
      </x:c>
      <x:c r="D17" s="26" t="n">
        <x:f>MAX(H143:H143)</x:f>
        <x:v>0</x:v>
      </x:c>
      <x:c r="E17" s="26" t="n">
        <x:f t="shared" ref="E17:Q17" si="22">MAX(I143:I143)</x:f>
        <x:v>0</x:v>
      </x:c>
      <x:c r="F17" s="26" t="n">
        <x:f t="shared" si="22">MAX(J143:J143)</x:f>
        <x:v>0</x:v>
      </x:c>
      <x:c r="G17" s="26" t="n">
        <x:f t="shared" si="22">MAX(K143:K143)</x:f>
        <x:v>0</x:v>
      </x:c>
      <x:c r="H17" s="26" t="n">
        <x:f t="shared" si="22">MAX(L143:L143)</x:f>
        <x:v>0</x:v>
      </x:c>
      <x:c r="I17" s="26" t="n">
        <x:f t="shared" si="22">MAX(M143:M143)</x:f>
        <x:v>0</x:v>
      </x:c>
      <x:c r="J17" s="26" t="n">
        <x:f t="shared" si="22">MAX(N143:N143)</x:f>
        <x:v>0</x:v>
      </x:c>
      <x:c r="K17" s="26" t="n">
        <x:f t="shared" si="22">MAX(O143:O143)</x:f>
        <x:v>0</x:v>
      </x:c>
      <x:c r="L17" s="26" t="n">
        <x:f t="shared" si="22">MAX(P143:P143)</x:f>
        <x:v>0</x:v>
      </x:c>
      <x:c r="M17" s="27" t="n">
        <x:f t="shared" si="22">MAX(Q143:Q143)</x:f>
        <x:v>0</x:v>
      </x:c>
      <x:c r="N17" s="27" t="n">
        <x:f t="shared" si="22">MAX(R143:R143)</x:f>
        <x:v>0</x:v>
      </x:c>
      <x:c r="O17" s="27" t="n">
        <x:f t="shared" si="22">MAX(S143:S143)</x:f>
        <x:v>0</x:v>
      </x:c>
      <x:c r="P17" s="27" t="n">
        <x:f t="shared" si="22">MAX(T143:T143)</x:f>
        <x:v>0</x:v>
      </x:c>
      <x:c r="Q17" s="28" t="n">
        <x:f t="shared" si="22">MAX(U143:U143)</x:f>
        <x:v>0</x:v>
      </x:c>
      <x:c r="R17" s="29" t="s">
        <x:v>42</x:v>
      </x:c>
      <x:c r="S17" s="29"/>
      <x:c r="T17" s="29"/>
      <x:c r="U17" s="29"/>
      <x:c r="V17" s="30"/>
      <x:c r="W17" s="9"/>
      <x:c r="X17" s="31" t="s">
        <x:v>39</x:v>
      </x:c>
      <x:c r="Y17" s="25" t="n">
        <x:f>MAX(AC147:AC152)</x:f>
        <x:v>6</x:v>
      </x:c>
      <x:c r="Z17" s="25" t="n">
        <x:f>MAX(AD147:AD152)</x:f>
        <x:v>0</x:v>
      </x:c>
      <x:c r="AA17" s="25" t="n">
        <x:f>MAX(AE147:AE152)</x:f>
        <x:v>0</x:v>
      </x:c>
      <x:c r="AB17" s="25" t="n">
        <x:f t="shared" ref="AB17:AN17" si="23">MAX(AF147:AF152)</x:f>
        <x:v>0</x:v>
      </x:c>
      <x:c r="AC17" s="25" t="n">
        <x:f t="shared" si="23">MAX(AG147:AG152)</x:f>
        <x:v>6</x:v>
      </x:c>
      <x:c r="AD17" s="25" t="n">
        <x:f t="shared" si="23">MAX(AH147:AH152)</x:f>
        <x:v>6</x:v>
      </x:c>
      <x:c r="AE17" s="25" t="n">
        <x:f t="shared" si="23">MAX(AI147:AI152)</x:f>
        <x:v>6</x:v>
      </x:c>
      <x:c r="AF17" s="25" t="n">
        <x:f t="shared" si="23">MAX(AJ147:AJ152)</x:f>
        <x:v>6</x:v>
      </x:c>
      <x:c r="AG17" s="25" t="n">
        <x:f t="shared" si="23">MAX(AK147:AK152)</x:f>
        <x:v>0</x:v>
      </x:c>
      <x:c r="AH17" s="25" t="n">
        <x:f t="shared" si="23">MAX(AL147:AL152)</x:f>
        <x:v>6</x:v>
      </x:c>
      <x:c r="AI17" s="25" t="n">
        <x:f t="shared" si="23">MAX(AM147:AM152)</x:f>
        <x:v>0</x:v>
      </x:c>
      <x:c r="AJ17" s="32" t="n">
        <x:f t="shared" si="23">MAX(AN147:AN152)</x:f>
        <x:v>6</x:v>
      </x:c>
      <x:c r="AK17" s="32" t="n">
        <x:f t="shared" si="23">MAX(AO147:AO152)</x:f>
        <x:v>18</x:v>
      </x:c>
      <x:c r="AL17" s="32" t="n">
        <x:f t="shared" si="23">MAX(AP147:AP152)</x:f>
        <x:v>18</x:v>
      </x:c>
      <x:c r="AM17" s="32" t="n">
        <x:f t="shared" si="23">MAX(AQ147:AQ152)</x:f>
        <x:v>18</x:v>
      </x:c>
      <x:c r="AN17" s="32" t="n">
        <x:f t="shared" si="23">MAX(AR147:AR152)</x:f>
        <x:v>18</x:v>
      </x:c>
      <x:c r="AO17" s="33"/>
      <x:c r="AP17" s="25"/>
      <x:c r="AQ17" s="25"/>
      <x:c r="AR17" s="25"/>
      <x:c r="AS17" s="25"/>
    </x:row>
    <x:row r="18" s="4" customFormat="1" ht="16">
      <x:c r="A18" s="25" t="s">
        <x:v>43</x:v>
      </x:c>
      <x:c r="B18" s="26" t="n">
        <x:f>MAX(F146:F146)</x:f>
        <x:v>25</x:v>
      </x:c>
      <x:c r="C18" s="26" t="n">
        <x:f>MAX(G146:G146)</x:f>
        <x:v>0</x:v>
      </x:c>
      <x:c r="D18" s="26" t="n">
        <x:f>MAX(H146:H146)</x:f>
        <x:v>0</x:v>
      </x:c>
      <x:c r="E18" s="26" t="n">
        <x:f t="shared" ref="E18:Q18" si="24">MAX(I146:I146)</x:f>
        <x:v>0</x:v>
      </x:c>
      <x:c r="F18" s="26" t="n">
        <x:f t="shared" si="24">MAX(J146:J146)</x:f>
        <x:v>0</x:v>
      </x:c>
      <x:c r="G18" s="26" t="n">
        <x:f t="shared" si="24">MAX(K146:K146)</x:f>
        <x:v>0</x:v>
      </x:c>
      <x:c r="H18" s="26" t="n">
        <x:f t="shared" si="24">MAX(L146:L146)</x:f>
        <x:v>0</x:v>
      </x:c>
      <x:c r="I18" s="26" t="n">
        <x:f t="shared" si="24">MAX(M146:M146)</x:f>
        <x:v>0</x:v>
      </x:c>
      <x:c r="J18" s="26" t="n">
        <x:f t="shared" si="24">MAX(N146:N146)</x:f>
        <x:v>0</x:v>
      </x:c>
      <x:c r="K18" s="26" t="n">
        <x:f t="shared" si="24">MAX(O146:O146)</x:f>
        <x:v>0</x:v>
      </x:c>
      <x:c r="L18" s="26" t="n">
        <x:f t="shared" si="24">MAX(P146:P146)</x:f>
        <x:v>0</x:v>
      </x:c>
      <x:c r="M18" s="27" t="n">
        <x:f t="shared" si="24">MAX(Q146:Q146)</x:f>
        <x:v>0</x:v>
      </x:c>
      <x:c r="N18" s="27" t="n">
        <x:f t="shared" si="24">MAX(R146:R146)</x:f>
        <x:v>0</x:v>
      </x:c>
      <x:c r="O18" s="27" t="n">
        <x:f t="shared" si="24">MAX(S146:S146)</x:f>
        <x:v>0</x:v>
      </x:c>
      <x:c r="P18" s="27" t="n">
        <x:f t="shared" si="24">MAX(T146:T146)</x:f>
        <x:v>0</x:v>
      </x:c>
      <x:c r="Q18" s="28" t="n">
        <x:f t="shared" si="24">MAX(U146:U146)</x:f>
        <x:v>0</x:v>
      </x:c>
      <x:c r="R18" s="29" t="s">
        <x:v>44</x:v>
      </x:c>
      <x:c r="S18" s="29"/>
      <x:c r="T18" s="29"/>
      <x:c r="U18" s="29"/>
      <x:c r="V18" s="30"/>
      <x:c r="W18" s="9"/>
      <x:c r="X18" s="31" t="s">
        <x:v>41</x:v>
      </x:c>
      <x:c r="Y18" s="25" t="n">
        <x:f>MAX(AC156:AC156)</x:f>
        <x:v>1</x:v>
      </x:c>
      <x:c r="Z18" s="25" t="n">
        <x:f>MAX(AD156:AD156)</x:f>
        <x:v>0</x:v>
      </x:c>
      <x:c r="AA18" s="25" t="n">
        <x:f>MAX(AE156:AE156)</x:f>
        <x:v>0</x:v>
      </x:c>
      <x:c r="AB18" s="25" t="n">
        <x:f t="shared" ref="AB18:AN18" si="25">MAX(AF156:AF156)</x:f>
        <x:v>0</x:v>
      </x:c>
      <x:c r="AC18" s="25" t="n">
        <x:f t="shared" si="25">MAX(AG156:AG156)</x:f>
        <x:v>0</x:v>
      </x:c>
      <x:c r="AD18" s="25" t="n">
        <x:f t="shared" si="25">MAX(AH156:AH156)</x:f>
        <x:v>0</x:v>
      </x:c>
      <x:c r="AE18" s="25" t="n">
        <x:f t="shared" si="25">MAX(AI156:AI156)</x:f>
        <x:v>0</x:v>
      </x:c>
      <x:c r="AF18" s="25" t="n">
        <x:f t="shared" si="25">MAX(AJ156:AJ156)</x:f>
        <x:v>0</x:v>
      </x:c>
      <x:c r="AG18" s="25" t="n">
        <x:f t="shared" si="25">MAX(AK156:AK156)</x:f>
        <x:v>0</x:v>
      </x:c>
      <x:c r="AH18" s="25" t="n">
        <x:f t="shared" si="25">MAX(AL156:AL156)</x:f>
        <x:v>0</x:v>
      </x:c>
      <x:c r="AI18" s="25" t="n">
        <x:f t="shared" si="25">MAX(AM156:AM156)</x:f>
        <x:v>0</x:v>
      </x:c>
      <x:c r="AJ18" s="32" t="n">
        <x:f t="shared" si="25">MAX(AN156:AN156)</x:f>
        <x:v>0</x:v>
      </x:c>
      <x:c r="AK18" s="32" t="n">
        <x:f t="shared" si="25">MAX(AO156:AO156)</x:f>
        <x:v>0</x:v>
      </x:c>
      <x:c r="AL18" s="32" t="n">
        <x:f t="shared" si="25">MAX(AP156:AP156)</x:f>
        <x:v>0</x:v>
      </x:c>
      <x:c r="AM18" s="32" t="n">
        <x:f t="shared" si="25">MAX(AQ156:AQ156)</x:f>
        <x:v>0</x:v>
      </x:c>
      <x:c r="AN18" s="32" t="n">
        <x:f t="shared" si="25">MAX(AR156:AR156)</x:f>
        <x:v>0</x:v>
      </x:c>
      <x:c r="AO18" s="33" t="s">
        <x:v>42</x:v>
      </x:c>
      <x:c r="AP18" s="25"/>
      <x:c r="AQ18" s="25"/>
      <x:c r="AR18" s="25"/>
      <x:c r="AS18" s="25"/>
    </x:row>
    <x:row r="19" s="4" customFormat="1" ht="16">
      <x:c r="A19" s="25" t="s">
        <x:v>45</x:v>
      </x:c>
      <x:c r="B19" s="26" t="n">
        <x:f>3</x:f>
        <x:v>3</x:v>
      </x:c>
      <x:c r="C19" s="26">
        <x:v>0</x:v>
      </x:c>
      <x:c r="D19" s="26">
        <x:v>0</x:v>
      </x:c>
      <x:c r="E19" s="26">
        <x:v>0</x:v>
      </x:c>
      <x:c r="F19" s="26">
        <x:v>0</x:v>
      </x:c>
      <x:c r="G19" s="26">
        <x:v>0</x:v>
      </x:c>
      <x:c r="H19" s="26">
        <x:v>0</x:v>
      </x:c>
      <x:c r="I19" s="26">
        <x:v>0</x:v>
      </x:c>
      <x:c r="J19" s="26">
        <x:v>0</x:v>
      </x:c>
      <x:c r="K19" s="26">
        <x:v>0</x:v>
      </x:c>
      <x:c r="L19" s="26">
        <x:v>0</x:v>
      </x:c>
      <x:c r="M19" s="27">
        <x:v>0</x:v>
      </x:c>
      <x:c r="N19" s="27">
        <x:v>0</x:v>
      </x:c>
      <x:c r="O19" s="27">
        <x:v>0</x:v>
      </x:c>
      <x:c r="P19" s="27">
        <x:v>0</x:v>
      </x:c>
      <x:c r="Q19" s="28">
        <x:v>0</x:v>
      </x:c>
      <x:c r="R19" s="29"/>
      <x:c r="S19" s="29"/>
      <x:c r="T19" s="29"/>
      <x:c r="U19" s="29"/>
      <x:c r="V19" s="30"/>
      <x:c r="W19" s="9"/>
      <x:c r="X19" s="34" t="s">
        <x:v>43</x:v>
      </x:c>
      <x:c r="Y19" s="25" t="n">
        <x:f>MAX(AC159:AC159)</x:f>
        <x:v>25</x:v>
      </x:c>
      <x:c r="Z19" s="35" t="n">
        <x:f>MAX(AD159:AD159)</x:f>
        <x:v>0</x:v>
      </x:c>
      <x:c r="AA19" s="36" t="n">
        <x:f>MAX(AE159:AE159)</x:f>
        <x:v>0</x:v>
      </x:c>
      <x:c r="AB19" s="36" t="n">
        <x:f t="shared" ref="AB19:AN19" si="26">MAX(AF159:AF159)</x:f>
        <x:v>0</x:v>
      </x:c>
      <x:c r="AC19" s="35" t="n">
        <x:f t="shared" si="26">MAX(AG159:AG159)</x:f>
        <x:v>0</x:v>
      </x:c>
      <x:c r="AD19" s="35" t="n">
        <x:f t="shared" si="26">MAX(AH159:AH159)</x:f>
        <x:v>0</x:v>
      </x:c>
      <x:c r="AE19" s="35" t="n">
        <x:f t="shared" si="26">MAX(AI159:AI159)</x:f>
        <x:v>0</x:v>
      </x:c>
      <x:c r="AF19" s="35" t="n">
        <x:f t="shared" si="26">MAX(AJ159:AJ159)</x:f>
        <x:v>0</x:v>
      </x:c>
      <x:c r="AG19" s="35" t="n">
        <x:f t="shared" si="26">MAX(AK159:AK159)</x:f>
        <x:v>0</x:v>
      </x:c>
      <x:c r="AH19" s="35" t="n">
        <x:f t="shared" si="26">MAX(AL159:AL159)</x:f>
        <x:v>0</x:v>
      </x:c>
      <x:c r="AI19" s="35" t="n">
        <x:f t="shared" si="26">MAX(AM159:AM159)</x:f>
        <x:v>0</x:v>
      </x:c>
      <x:c r="AJ19" s="35" t="n">
        <x:f t="shared" si="26">MAX(AN159:AN159)</x:f>
        <x:v>0</x:v>
      </x:c>
      <x:c r="AK19" s="35" t="n">
        <x:f t="shared" si="26">MAX(AO159:AO159)</x:f>
        <x:v>0</x:v>
      </x:c>
      <x:c r="AL19" s="35" t="n">
        <x:f t="shared" si="26">MAX(AP159:AP159)</x:f>
        <x:v>0</x:v>
      </x:c>
      <x:c r="AM19" s="35" t="n">
        <x:f t="shared" si="26">MAX(AQ159:AQ159)</x:f>
        <x:v>0</x:v>
      </x:c>
      <x:c r="AN19" s="35" t="n">
        <x:f t="shared" si="26">MAX(AR159:AR159)</x:f>
        <x:v>0</x:v>
      </x:c>
      <x:c r="AO19" s="33" t="s">
        <x:v>44</x:v>
      </x:c>
      <x:c r="AP19" s="25"/>
      <x:c r="AQ19" s="25"/>
      <x:c r="AR19" s="25"/>
      <x:c r="AS19" s="25"/>
    </x:row>
    <x:row r="20" s="2" customFormat="1" ht="18">
      <x:c r="A20" s="37" t="s">
        <x:v>46</x:v>
      </x:c>
      <x:c r="B20" s="38" t="n">
        <x:f>SUM(B6:B19)</x:f>
        <x:v>97</x:v>
      </x:c>
      <x:c r="C20" s="38" t="n">
        <x:f>SUM(C6:C18)</x:f>
        <x:v>14</x:v>
      </x:c>
      <x:c r="D20" s="38" t="n">
        <x:f>MAX(D6:D18)</x:f>
        <x:v>6</x:v>
      </x:c>
      <x:c r="E20" s="38" t="n">
        <x:f>MAX(E6:E18)</x:f>
        <x:v>3</x:v>
      </x:c>
      <x:c r="F20" s="38" t="n">
        <x:f t="shared" ref="F20:Q20" si="27">SUM(F6:F18)</x:f>
        <x:v>82</x:v>
      </x:c>
      <x:c r="G20" s="38" t="n">
        <x:f t="shared" si="27">SUM(G6:G18)</x:f>
        <x:v>82</x:v>
      </x:c>
      <x:c r="H20" s="38" t="n">
        <x:f t="shared" si="27">SUM(H6:H18)</x:f>
        <x:v>82</x:v>
      </x:c>
      <x:c r="I20" s="38" t="n">
        <x:f t="shared" si="27">SUM(I6:I18)</x:f>
        <x:v>94</x:v>
      </x:c>
      <x:c r="J20" s="38" t="n">
        <x:f>MAX(J6:J18)</x:f>
        <x:v>6</x:v>
      </x:c>
      <x:c r="K20" s="38" t="n">
        <x:f t="shared" si="27">SUM(K6:K18)</x:f>
        <x:v>94</x:v>
      </x:c>
      <x:c r="L20" s="38" t="n">
        <x:f>MAX(L6:L18)</x:f>
        <x:v>6</x:v>
      </x:c>
      <x:c r="M20" s="38" t="n">
        <x:f t="shared" si="27">SUM(M6:M18)</x:f>
        <x:v>42</x:v>
      </x:c>
      <x:c r="N20" s="38" t="n">
        <x:f t="shared" si="27">SUM(N6:N18)</x:f>
        <x:v>126</x:v>
      </x:c>
      <x:c r="O20" s="38" t="n">
        <x:f t="shared" si="27">SUM(O6:O18)</x:f>
        <x:v>126</x:v>
      </x:c>
      <x:c r="P20" s="38" t="n">
        <x:f t="shared" si="27">SUM(P6:P18)</x:f>
        <x:v>126</x:v>
      </x:c>
      <x:c r="Q20" s="39" t="n">
        <x:f t="shared" si="27">SUM(Q6:Q18)</x:f>
        <x:v>126</x:v>
      </x:c>
      <x:c r="R20" s="40"/>
      <x:c r="S20" s="40"/>
      <x:c r="T20" s="40"/>
      <x:c r="U20" s="40"/>
      <x:c r="V20" s="41"/>
      <x:c r="W20" s="9"/>
      <x:c r="X20" s="42" t="s">
        <x:v>45</x:v>
      </x:c>
      <x:c r="Y20" s="25" t="n">
        <x:f>3</x:f>
        <x:v>3</x:v>
      </x:c>
      <x:c r="Z20" s="37"/>
      <x:c r="AA20" s="37"/>
      <x:c r="AB20" s="37"/>
      <x:c r="AC20" s="37"/>
      <x:c r="AD20" s="37"/>
      <x:c r="AE20" s="37"/>
      <x:c r="AF20" s="37"/>
      <x:c r="AG20" s="37"/>
      <x:c r="AH20" s="37"/>
      <x:c r="AI20" s="37"/>
      <x:c r="AJ20" s="37"/>
      <x:c r="AK20" s="37"/>
      <x:c r="AL20" s="37"/>
      <x:c r="AM20" s="37"/>
      <x:c r="AN20" s="37"/>
      <x:c r="AO20" s="43"/>
      <x:c r="AP20" s="44"/>
      <x:c r="AQ20" s="44"/>
      <x:c r="AR20" s="44"/>
      <x:c r="AS20" s="44"/>
    </x:row>
    <x:row r="21" ht="18">
      <x:c r="A21" s="45"/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5"/>
      <x:c r="S21" s="45"/>
      <x:c r="T21" s="45"/>
      <x:c r="U21" s="45"/>
      <x:c r="V21" s="48"/>
      <x:c r="W21" s="9"/>
      <x:c r="X21" s="49" t="s">
        <x:v>46</x:v>
      </x:c>
      <x:c r="Y21" s="38" t="n">
        <x:f>SUM(Y6:Y20)</x:f>
        <x:v>109</x:v>
      </x:c>
      <x:c r="Z21" s="38" t="n">
        <x:f>SUM(Z6:Z19)</x:f>
        <x:v>14</x:v>
      </x:c>
      <x:c r="AA21" s="38" t="n">
        <x:f>MAX(AA6:AA19)</x:f>
        <x:v>6</x:v>
      </x:c>
      <x:c r="AB21" s="38" t="n">
        <x:f>MAX(AB6:AB19)</x:f>
        <x:v>3</x:v>
      </x:c>
      <x:c r="AC21" s="38" t="n">
        <x:f>SUM(AC6:AC19)</x:f>
        <x:v>94</x:v>
      </x:c>
      <x:c r="AD21" s="38" t="n">
        <x:f>SUM(AD6:AD19)</x:f>
        <x:v>94</x:v>
      </x:c>
      <x:c r="AE21" s="38" t="n">
        <x:f>SUM(AE6:AE19)</x:f>
        <x:v>94</x:v>
      </x:c>
      <x:c r="AF21" s="38" t="n">
        <x:f>SUM(AF6:AF19)</x:f>
        <x:v>106</x:v>
      </x:c>
      <x:c r="AG21" s="38" t="n">
        <x:f>MAX(AG6:AG19)</x:f>
        <x:v>6</x:v>
      </x:c>
      <x:c r="AH21" s="38" t="n">
        <x:f>SUM(AH6:AH19)</x:f>
        <x:v>106</x:v>
      </x:c>
      <x:c r="AI21" s="38" t="n">
        <x:f>MAX(AI6:AI19)</x:f>
        <x:v>6</x:v>
      </x:c>
      <x:c r="AJ21" s="38" t="n">
        <x:f>SUM(AJ6:AJ19)</x:f>
        <x:v>42</x:v>
      </x:c>
      <x:c r="AK21" s="38" t="n">
        <x:f>SUM(AK6:AK19)</x:f>
        <x:v>126</x:v>
      </x:c>
      <x:c r="AL21" s="38" t="n">
        <x:f>SUM(AL6:AL19)</x:f>
        <x:v>126</x:v>
      </x:c>
      <x:c r="AM21" s="38" t="n">
        <x:f>SUM(AM6:AM19)</x:f>
        <x:v>126</x:v>
      </x:c>
      <x:c r="AN21" s="39" t="n">
        <x:f>SUM(AN6:AN19)</x:f>
        <x:v>126</x:v>
      </x:c>
      <x:c r="AO21" s="40"/>
      <x:c r="AP21" s="40"/>
      <x:c r="AQ21" s="40"/>
      <x:c r="AR21" s="40"/>
      <x:c r="AS21" s="40"/>
    </x:row>
    <x:row r="22" ht="17.600000381469727">
      <x:c r="A22" s="45"/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5"/>
      <x:c r="S22" s="45"/>
      <x:c r="T22" s="45"/>
      <x:c r="U22" s="45"/>
      <x:c r="V22" s="48"/>
      <x:c r="W22" s="9"/>
      <x:c r="X22" s="50"/>
      <x:c r="Y22" s="51"/>
      <x:c r="Z22" s="51"/>
      <x:c r="AA22" s="51"/>
      <x:c r="AB22" s="51"/>
      <x:c r="AC22" s="51"/>
      <x:c r="AD22" s="51"/>
      <x:c r="AE22" s="51"/>
      <x:c r="AF22" s="51"/>
      <x:c r="AG22" s="51"/>
      <x:c r="AH22" s="51"/>
      <x:c r="AI22" s="51"/>
      <x:c r="AJ22" s="51"/>
      <x:c r="AK22" s="51"/>
      <x:c r="AL22" s="51"/>
      <x:c r="AM22" s="51"/>
      <x:c r="AN22" s="51"/>
      <x:c r="AO22" s="50"/>
      <x:c r="AP22" s="50"/>
      <x:c r="AQ22" s="50"/>
      <x:c r="AR22" s="50"/>
      <x:c r="AS22" s="52"/>
    </x:row>
    <x:row r="23" ht="26" customHeight="1">
      <x:c r="A23" s="53" t="s">
        <x:v>47</x:v>
      </x:c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4"/>
      <x:c r="W23" s="9"/>
      <x:c r="X23" s="55" t="s">
        <x:v>47</x:v>
      </x:c>
      <x:c r="Y23" s="56"/>
      <x:c r="Z23" s="56"/>
      <x:c r="AA23" s="56"/>
      <x:c r="AB23" s="56"/>
      <x:c r="AC23" s="56"/>
      <x:c r="AD23" s="56"/>
      <x:c r="AE23" s="56"/>
      <x:c r="AF23" s="56"/>
      <x:c r="AG23" s="56"/>
      <x:c r="AH23" s="56"/>
      <x:c r="AI23" s="56"/>
      <x:c r="AJ23" s="56"/>
      <x:c r="AK23" s="56"/>
      <x:c r="AL23" s="56"/>
      <x:c r="AM23" s="56"/>
      <x:c r="AN23" s="56"/>
      <x:c r="AO23" s="56"/>
      <x:c r="AP23" s="56"/>
      <x:c r="AQ23" s="56"/>
      <x:c r="AR23" s="56"/>
      <x:c r="AS23" s="56"/>
    </x:row>
    <x:row r="24" s="5" customFormat="1">
      <x:c r="A24" s="57" t="s">
        <x:v>48</x:v>
      </x:c>
      <x:c r="B24" s="58"/>
      <x:c r="C24" s="58"/>
      <x:c r="D24" s="58"/>
      <x:c r="E24" s="58"/>
      <x:c r="F24" s="59" t="s">
        <x:v>4</x:v>
      </x:c>
      <x:c r="G24" s="59"/>
      <x:c r="H24" s="60" t="s">
        <x:v>5</x:v>
      </x:c>
      <x:c r="I24" s="61"/>
      <x:c r="J24" s="62" t="s">
        <x:v>6</x:v>
      </x:c>
      <x:c r="K24" s="62"/>
      <x:c r="L24" s="62"/>
      <x:c r="M24" s="63" t="s">
        <x:v>7</x:v>
      </x:c>
      <x:c r="N24" s="63"/>
      <x:c r="O24" s="63"/>
      <x:c r="P24" s="63"/>
      <x:c r="Q24" s="64" t="s">
        <x:v>49</x:v>
      </x:c>
      <x:c r="R24" s="64"/>
      <x:c r="S24" s="64"/>
      <x:c r="T24" s="64"/>
      <x:c r="U24" s="64"/>
      <x:c r="V24" s="65" t="s">
        <x:v>50</x:v>
      </x:c>
      <x:c r="W24" s="9"/>
      <x:c r="X24" s="66" t="s">
        <x:v>48</x:v>
      </x:c>
      <x:c r="Y24" s="67"/>
      <x:c r="Z24" s="67"/>
      <x:c r="AA24" s="67"/>
      <x:c r="AB24" s="67"/>
      <x:c r="AC24" s="68" t="s">
        <x:v>4</x:v>
      </x:c>
      <x:c r="AD24" s="59"/>
      <x:c r="AE24" s="60" t="s">
        <x:v>5</x:v>
      </x:c>
      <x:c r="AF24" s="61"/>
      <x:c r="AG24" s="62" t="s">
        <x:v>6</x:v>
      </x:c>
      <x:c r="AH24" s="62"/>
      <x:c r="AI24" s="62"/>
      <x:c r="AJ24" s="63" t="s">
        <x:v>7</x:v>
      </x:c>
      <x:c r="AK24" s="63"/>
      <x:c r="AL24" s="63"/>
      <x:c r="AM24" s="63"/>
      <x:c r="AN24" s="64" t="s">
        <x:v>49</x:v>
      </x:c>
      <x:c r="AO24" s="64"/>
      <x:c r="AP24" s="64"/>
      <x:c r="AQ24" s="64"/>
      <x:c r="AR24" s="64"/>
      <x:c r="AS24" s="69" t="s">
        <x:v>50</x:v>
      </x:c>
    </x:row>
    <x:row r="25" s="5" customFormat="1" ht="31">
      <x:c r="A25" s="70" t="s">
        <x:v>51</x:v>
      </x:c>
      <x:c r="B25" s="70" t="s">
        <x:v>52</x:v>
      </x:c>
      <x:c r="C25" s="70" t="s">
        <x:v>53</x:v>
      </x:c>
      <x:c r="D25" s="71" t="s">
        <x:v>54</x:v>
      </x:c>
      <x:c r="E25" s="71"/>
      <x:c r="F25" s="72" t="s">
        <x:v>10</x:v>
      </x:c>
      <x:c r="G25" s="73" t="s">
        <x:v>11</x:v>
      </x:c>
      <x:c r="H25" s="74" t="s">
        <x:v>55</x:v>
      </x:c>
      <x:c r="I25" s="75" t="s">
        <x:v>13</x:v>
      </x:c>
      <x:c r="J25" s="76" t="s">
        <x:v>14</x:v>
      </x:c>
      <x:c r="K25" s="76" t="s">
        <x:v>15</x:v>
      </x:c>
      <x:c r="L25" s="76" t="s">
        <x:v>56</x:v>
      </x:c>
      <x:c r="M25" s="77" t="s">
        <x:v>57</x:v>
      </x:c>
      <x:c r="N25" s="77" t="s">
        <x:v>58</x:v>
      </x:c>
      <x:c r="O25" s="77" t="s">
        <x:v>59</x:v>
      </x:c>
      <x:c r="P25" s="77" t="s">
        <x:v>60</x:v>
      </x:c>
      <x:c r="Q25" s="78" t="s">
        <x:v>21</x:v>
      </x:c>
      <x:c r="R25" s="78" t="s">
        <x:v>22</x:v>
      </x:c>
      <x:c r="S25" s="78" t="s">
        <x:v>61</x:v>
      </x:c>
      <x:c r="T25" s="78" t="s">
        <x:v>62</x:v>
      </x:c>
      <x:c r="U25" s="78" t="s">
        <x:v>63</x:v>
      </x:c>
      <x:c r="V25" s="65"/>
      <x:c r="W25" s="9"/>
      <x:c r="X25" s="79" t="s">
        <x:v>51</x:v>
      </x:c>
      <x:c r="Y25" s="70" t="s">
        <x:v>52</x:v>
      </x:c>
      <x:c r="Z25" s="70" t="s">
        <x:v>53</x:v>
      </x:c>
      <x:c r="AA25" s="71" t="s">
        <x:v>54</x:v>
      </x:c>
      <x:c r="AB25" s="71"/>
      <x:c r="AC25" s="72" t="s">
        <x:v>10</x:v>
      </x:c>
      <x:c r="AD25" s="73" t="s">
        <x:v>11</x:v>
      </x:c>
      <x:c r="AE25" s="75" t="s">
        <x:v>12</x:v>
      </x:c>
      <x:c r="AF25" s="75" t="s">
        <x:v>13</x:v>
      </x:c>
      <x:c r="AG25" s="76" t="s">
        <x:v>14</x:v>
      </x:c>
      <x:c r="AH25" s="76" t="s">
        <x:v>15</x:v>
      </x:c>
      <x:c r="AI25" s="76" t="s">
        <x:v>56</x:v>
      </x:c>
      <x:c r="AJ25" s="77" t="s">
        <x:v>57</x:v>
      </x:c>
      <x:c r="AK25" s="77" t="s">
        <x:v>58</x:v>
      </x:c>
      <x:c r="AL25" s="77" t="s">
        <x:v>59</x:v>
      </x:c>
      <x:c r="AM25" s="77" t="s">
        <x:v>60</x:v>
      </x:c>
      <x:c r="AN25" s="78" t="s">
        <x:v>21</x:v>
      </x:c>
      <x:c r="AO25" s="78" t="s">
        <x:v>22</x:v>
      </x:c>
      <x:c r="AP25" s="78" t="s">
        <x:v>61</x:v>
      </x:c>
      <x:c r="AQ25" s="78" t="s">
        <x:v>62</x:v>
      </x:c>
      <x:c r="AR25" s="80" t="s">
        <x:v>63</x:v>
      </x:c>
      <x:c r="AS25" s="81"/>
    </x:row>
    <x:row r="26" s="1" customFormat="1">
      <x:c r="A26" s="82" t="s">
        <x:v>26</x:v>
      </x:c>
      <x:c r="B26" s="83">
        <x:v>1</x:v>
      </x:c>
      <x:c r="C26" s="83" t="s">
        <x:v>64</x:v>
      </x:c>
      <x:c r="D26" s="84" t="s">
        <x:v>65</x:v>
      </x:c>
      <x:c r="E26" s="84"/>
      <x:c r="F26" s="85">
        <x:v>14</x:v>
      </x:c>
      <x:c r="G26" s="73"/>
      <x:c r="H26" s="86"/>
      <x:c r="I26" s="87"/>
      <x:c r="J26" s="76"/>
      <x:c r="K26" s="76"/>
      <x:c r="L26" s="76"/>
      <x:c r="M26" s="77"/>
      <x:c r="N26" s="77"/>
      <x:c r="O26" s="77"/>
      <x:c r="P26" s="77"/>
      <x:c r="Q26" s="78"/>
      <x:c r="R26" s="78"/>
      <x:c r="S26" s="78"/>
      <x:c r="T26" s="78"/>
      <x:c r="U26" s="78"/>
      <x:c r="V26" s="88"/>
      <x:c r="W26" s="9"/>
      <x:c r="X26" s="89" t="s">
        <x:v>26</x:v>
      </x:c>
      <x:c r="Y26" s="83">
        <x:v>1</x:v>
      </x:c>
      <x:c r="Z26" s="83" t="s">
        <x:v>64</x:v>
      </x:c>
      <x:c r="AA26" s="84" t="s">
        <x:v>65</x:v>
      </x:c>
      <x:c r="AB26" s="84"/>
      <x:c r="AC26" s="85">
        <x:v>14</x:v>
      </x:c>
      <x:c r="AD26" s="73"/>
      <x:c r="AE26" s="86"/>
      <x:c r="AF26" s="87"/>
      <x:c r="AG26" s="76"/>
      <x:c r="AH26" s="76"/>
      <x:c r="AI26" s="76"/>
      <x:c r="AJ26" s="77"/>
      <x:c r="AK26" s="77"/>
      <x:c r="AL26" s="77"/>
      <x:c r="AM26" s="77"/>
      <x:c r="AN26" s="78"/>
      <x:c r="AO26" s="78"/>
      <x:c r="AP26" s="78"/>
      <x:c r="AQ26" s="78"/>
      <x:c r="AR26" s="78"/>
      <x:c r="AS26" s="90"/>
    </x:row>
    <x:row r="27" s="1" customFormat="1">
      <x:c r="A27" s="82" t="s">
        <x:v>26</x:v>
      </x:c>
      <x:c r="B27" s="83">
        <x:v>2</x:v>
      </x:c>
      <x:c r="C27" s="83" t="s">
        <x:v>66</x:v>
      </x:c>
      <x:c r="D27" s="84" t="s">
        <x:v>67</x:v>
      </x:c>
      <x:c r="E27" s="84"/>
      <x:c r="F27" s="85">
        <x:v>14</x:v>
      </x:c>
      <x:c r="G27" s="73"/>
      <x:c r="H27" s="86"/>
      <x:c r="I27" s="87"/>
      <x:c r="J27" s="91" t="n">
        <x:f t="shared" ref="J27:J34" si="28">F27</x:f>
        <x:v>14</x:v>
      </x:c>
      <x:c r="K27" s="91" t="n">
        <x:f t="shared" ref="K27:K36" si="29">F27</x:f>
        <x:v>14</x:v>
      </x:c>
      <x:c r="L27" s="91" t="n">
        <x:f t="shared" ref="L27:L36" si="30">F27</x:f>
        <x:v>14</x:v>
      </x:c>
      <x:c r="M27" s="92" t="n">
        <x:f t="shared" ref="M27:M34" si="31">F27</x:f>
        <x:v>14</x:v>
      </x:c>
      <x:c r="N27" s="92"/>
      <x:c r="O27" s="92" t="n">
        <x:f t="shared" ref="O27:O36" si="32">F27</x:f>
        <x:v>14</x:v>
      </x:c>
      <x:c r="P27" s="92"/>
      <x:c r="Q27" s="78"/>
      <x:c r="R27" s="78"/>
      <x:c r="S27" s="78"/>
      <x:c r="T27" s="78"/>
      <x:c r="U27" s="78"/>
      <x:c r="V27" s="88"/>
      <x:c r="W27" s="9"/>
      <x:c r="X27" s="89" t="s">
        <x:v>26</x:v>
      </x:c>
      <x:c r="Y27" s="83">
        <x:v>2</x:v>
      </x:c>
      <x:c r="Z27" s="83" t="s">
        <x:v>66</x:v>
      </x:c>
      <x:c r="AA27" s="84" t="s">
        <x:v>67</x:v>
      </x:c>
      <x:c r="AB27" s="84"/>
      <x:c r="AC27" s="85">
        <x:v>14</x:v>
      </x:c>
      <x:c r="AD27" s="73"/>
      <x:c r="AE27" s="86"/>
      <x:c r="AF27" s="87"/>
      <x:c r="AG27" s="91" t="n">
        <x:f t="shared" ref="AG27:AG34" si="33">AC27</x:f>
        <x:v>14</x:v>
      </x:c>
      <x:c r="AH27" s="91" t="n">
        <x:f t="shared" ref="AH27:AH36" si="34">AC27</x:f>
        <x:v>14</x:v>
      </x:c>
      <x:c r="AI27" s="91" t="n">
        <x:f t="shared" ref="AI27:AI36" si="35">AC27</x:f>
        <x:v>14</x:v>
      </x:c>
      <x:c r="AJ27" s="92" t="n">
        <x:f t="shared" ref="AJ27:AJ34" si="36">AC27</x:f>
        <x:v>14</x:v>
      </x:c>
      <x:c r="AK27" s="92"/>
      <x:c r="AL27" s="92" t="n">
        <x:f t="shared" ref="AL27:AL36" si="37">AC27</x:f>
        <x:v>14</x:v>
      </x:c>
      <x:c r="AM27" s="92"/>
      <x:c r="AN27" s="78"/>
      <x:c r="AO27" s="78"/>
      <x:c r="AP27" s="78"/>
      <x:c r="AQ27" s="78"/>
      <x:c r="AR27" s="78"/>
      <x:c r="AS27" s="90"/>
    </x:row>
    <x:row r="28">
      <x:c r="A28" s="82" t="s">
        <x:v>26</x:v>
      </x:c>
      <x:c r="B28" s="83">
        <x:v>3</x:v>
      </x:c>
      <x:c r="C28" s="93" t="s">
        <x:v>68</x:v>
      </x:c>
      <x:c r="D28" s="94" t="s">
        <x:v>69</x:v>
      </x:c>
      <x:c r="E28" s="94"/>
      <x:c r="F28" s="85">
        <x:v>12</x:v>
      </x:c>
      <x:c r="G28" s="95"/>
      <x:c r="H28" s="86"/>
      <x:c r="I28" s="87" t="n">
        <x:f>MIN(F28,3)</x:f>
        <x:v>3</x:v>
      </x:c>
      <x:c r="J28" s="91" t="n">
        <x:f>I28</x:f>
        <x:v>3</x:v>
      </x:c>
      <x:c r="K28" s="91" t="n">
        <x:f>I28</x:f>
        <x:v>3</x:v>
      </x:c>
      <x:c r="L28" s="91" t="n">
        <x:f>I28</x:f>
        <x:v>3</x:v>
      </x:c>
      <x:c r="M28" s="92" t="n">
        <x:f>I28</x:f>
        <x:v>3</x:v>
      </x:c>
      <x:c r="N28" s="92"/>
      <x:c r="O28" s="92" t="n">
        <x:f>I28</x:f>
        <x:v>3</x:v>
      </x:c>
      <x:c r="P28" s="92"/>
      <x:c r="Q28" s="96"/>
      <x:c r="R28" s="96"/>
      <x:c r="S28" s="96"/>
      <x:c r="T28" s="96"/>
      <x:c r="U28" s="96"/>
      <x:c r="V28" s="88"/>
      <x:c r="W28" s="9"/>
      <x:c r="X28" s="89" t="s">
        <x:v>26</x:v>
      </x:c>
      <x:c r="Y28" s="83">
        <x:v>3</x:v>
      </x:c>
      <x:c r="Z28" s="93" t="s">
        <x:v>68</x:v>
      </x:c>
      <x:c r="AA28" s="94" t="s">
        <x:v>69</x:v>
      </x:c>
      <x:c r="AB28" s="94"/>
      <x:c r="AC28" s="85">
        <x:v>12</x:v>
      </x:c>
      <x:c r="AD28" s="95"/>
      <x:c r="AE28" s="86"/>
      <x:c r="AF28" s="87" t="n">
        <x:f>MIN(AC28,3)</x:f>
        <x:v>3</x:v>
      </x:c>
      <x:c r="AG28" s="91" t="n">
        <x:f>AF28</x:f>
        <x:v>3</x:v>
      </x:c>
      <x:c r="AH28" s="91" t="n">
        <x:f>AF28</x:f>
        <x:v>3</x:v>
      </x:c>
      <x:c r="AI28" s="91" t="n">
        <x:f>AF28</x:f>
        <x:v>3</x:v>
      </x:c>
      <x:c r="AJ28" s="92" t="n">
        <x:f>AF28</x:f>
        <x:v>3</x:v>
      </x:c>
      <x:c r="AK28" s="92"/>
      <x:c r="AL28" s="92" t="n">
        <x:f>AF28</x:f>
        <x:v>3</x:v>
      </x:c>
      <x:c r="AM28" s="92"/>
      <x:c r="AN28" s="96"/>
      <x:c r="AO28" s="96"/>
      <x:c r="AP28" s="96"/>
      <x:c r="AQ28" s="96"/>
      <x:c r="AR28" s="96"/>
      <x:c r="AS28" s="90"/>
    </x:row>
    <x:row r="29">
      <x:c r="A29" s="82" t="s">
        <x:v>26</x:v>
      </x:c>
      <x:c r="B29" s="83">
        <x:v>4</x:v>
      </x:c>
      <x:c r="C29" s="83" t="s">
        <x:v>70</x:v>
      </x:c>
      <x:c r="D29" s="84" t="s">
        <x:v>71</x:v>
      </x:c>
      <x:c r="E29" s="84"/>
      <x:c r="F29" s="85">
        <x:v>12</x:v>
      </x:c>
      <x:c r="G29" s="95"/>
      <x:c r="H29" s="86"/>
      <x:c r="I29" s="87"/>
      <x:c r="J29" s="91">
        <x:f t="shared" si="28"/>
        <x:v>12</x:v>
      </x:c>
      <x:c r="K29" s="91">
        <x:f t="shared" si="29"/>
        <x:v>12</x:v>
      </x:c>
      <x:c r="L29" s="91">
        <x:f t="shared" si="30"/>
        <x:v>12</x:v>
      </x:c>
      <x:c r="M29" s="92">
        <x:f t="shared" si="31"/>
        <x:v>12</x:v>
      </x:c>
      <x:c r="N29" s="92"/>
      <x:c r="O29" s="92">
        <x:f t="shared" si="32"/>
        <x:v>12</x:v>
      </x:c>
      <x:c r="P29" s="92"/>
      <x:c r="Q29" s="96"/>
      <x:c r="R29" s="96"/>
      <x:c r="S29" s="96"/>
      <x:c r="T29" s="96"/>
      <x:c r="U29" s="96"/>
      <x:c r="V29" s="88"/>
      <x:c r="W29" s="9"/>
      <x:c r="X29" s="89" t="s">
        <x:v>26</x:v>
      </x:c>
      <x:c r="Y29" s="83">
        <x:v>4</x:v>
      </x:c>
      <x:c r="Z29" s="83" t="s">
        <x:v>70</x:v>
      </x:c>
      <x:c r="AA29" s="84" t="s">
        <x:v>71</x:v>
      </x:c>
      <x:c r="AB29" s="84"/>
      <x:c r="AC29" s="85">
        <x:v>12</x:v>
      </x:c>
      <x:c r="AD29" s="95"/>
      <x:c r="AE29" s="86"/>
      <x:c r="AF29" s="87"/>
      <x:c r="AG29" s="91">
        <x:f t="shared" si="33"/>
        <x:v>12</x:v>
      </x:c>
      <x:c r="AH29" s="91">
        <x:f t="shared" si="34"/>
        <x:v>12</x:v>
      </x:c>
      <x:c r="AI29" s="91">
        <x:f t="shared" si="35"/>
        <x:v>12</x:v>
      </x:c>
      <x:c r="AJ29" s="92">
        <x:f t="shared" si="36"/>
        <x:v>12</x:v>
      </x:c>
      <x:c r="AK29" s="92"/>
      <x:c r="AL29" s="92">
        <x:f t="shared" si="37"/>
        <x:v>12</x:v>
      </x:c>
      <x:c r="AM29" s="92"/>
      <x:c r="AN29" s="96"/>
      <x:c r="AO29" s="96"/>
      <x:c r="AP29" s="96"/>
      <x:c r="AQ29" s="96"/>
      <x:c r="AR29" s="96"/>
      <x:c r="AS29" s="90"/>
    </x:row>
    <x:row r="30">
      <x:c r="A30" s="82" t="s">
        <x:v>26</x:v>
      </x:c>
      <x:c r="B30" s="83">
        <x:v>5</x:v>
      </x:c>
      <x:c r="C30" s="83" t="s">
        <x:v>72</x:v>
      </x:c>
      <x:c r="D30" s="84" t="s">
        <x:v>73</x:v>
      </x:c>
      <x:c r="E30" s="84"/>
      <x:c r="F30" s="85">
        <x:v>12</x:v>
      </x:c>
      <x:c r="G30" s="95"/>
      <x:c r="H30" s="86"/>
      <x:c r="I30" s="87"/>
      <x:c r="J30" s="91">
        <x:f t="shared" si="28"/>
        <x:v>12</x:v>
      </x:c>
      <x:c r="K30" s="91">
        <x:f t="shared" si="29"/>
        <x:v>12</x:v>
      </x:c>
      <x:c r="L30" s="91">
        <x:f t="shared" si="30"/>
        <x:v>12</x:v>
      </x:c>
      <x:c r="M30" s="92">
        <x:f t="shared" si="31"/>
        <x:v>12</x:v>
      </x:c>
      <x:c r="N30" s="92"/>
      <x:c r="O30" s="92">
        <x:f t="shared" si="32"/>
        <x:v>12</x:v>
      </x:c>
      <x:c r="P30" s="92"/>
      <x:c r="Q30" s="96"/>
      <x:c r="R30" s="96"/>
      <x:c r="S30" s="96"/>
      <x:c r="T30" s="96"/>
      <x:c r="U30" s="96"/>
      <x:c r="V30" s="88"/>
      <x:c r="W30" s="9"/>
      <x:c r="X30" s="89" t="s">
        <x:v>26</x:v>
      </x:c>
      <x:c r="Y30" s="83">
        <x:v>5</x:v>
      </x:c>
      <x:c r="Z30" s="83" t="s">
        <x:v>72</x:v>
      </x:c>
      <x:c r="AA30" s="84" t="s">
        <x:v>73</x:v>
      </x:c>
      <x:c r="AB30" s="84"/>
      <x:c r="AC30" s="85">
        <x:v>12</x:v>
      </x:c>
      <x:c r="AD30" s="95"/>
      <x:c r="AE30" s="86"/>
      <x:c r="AF30" s="87"/>
      <x:c r="AG30" s="91">
        <x:f t="shared" si="33"/>
        <x:v>12</x:v>
      </x:c>
      <x:c r="AH30" s="91">
        <x:f t="shared" si="34"/>
        <x:v>12</x:v>
      </x:c>
      <x:c r="AI30" s="91">
        <x:f t="shared" si="35"/>
        <x:v>12</x:v>
      </x:c>
      <x:c r="AJ30" s="92">
        <x:f t="shared" si="36"/>
        <x:v>12</x:v>
      </x:c>
      <x:c r="AK30" s="92"/>
      <x:c r="AL30" s="92">
        <x:f t="shared" si="37"/>
        <x:v>12</x:v>
      </x:c>
      <x:c r="AM30" s="92"/>
      <x:c r="AN30" s="96"/>
      <x:c r="AO30" s="96"/>
      <x:c r="AP30" s="96"/>
      <x:c r="AQ30" s="96"/>
      <x:c r="AR30" s="96"/>
      <x:c r="AS30" s="90"/>
    </x:row>
    <x:row r="31">
      <x:c r="A31" s="82" t="s">
        <x:v>26</x:v>
      </x:c>
      <x:c r="B31" s="83">
        <x:v>6</x:v>
      </x:c>
      <x:c r="C31" s="83" t="s">
        <x:v>74</x:v>
      </x:c>
      <x:c r="D31" s="97" t="s">
        <x:v>75</x:v>
      </x:c>
      <x:c r="E31" s="97"/>
      <x:c r="F31" s="85">
        <x:v>12</x:v>
      </x:c>
      <x:c r="G31" s="95"/>
      <x:c r="H31" s="86"/>
      <x:c r="I31" s="87"/>
      <x:c r="J31" s="91">
        <x:f t="shared" si="28"/>
        <x:v>12</x:v>
      </x:c>
      <x:c r="K31" s="91">
        <x:f t="shared" si="29"/>
        <x:v>12</x:v>
      </x:c>
      <x:c r="L31" s="91">
        <x:f t="shared" si="30"/>
        <x:v>12</x:v>
      </x:c>
      <x:c r="M31" s="92">
        <x:f t="shared" si="31"/>
        <x:v>12</x:v>
      </x:c>
      <x:c r="N31" s="92"/>
      <x:c r="O31" s="92">
        <x:f t="shared" si="32"/>
        <x:v>12</x:v>
      </x:c>
      <x:c r="P31" s="92"/>
      <x:c r="Q31" s="96" t="n">
        <x:f>F31</x:f>
        <x:v>12</x:v>
      </x:c>
      <x:c r="R31" s="96" t="n">
        <x:f>F31*3</x:f>
        <x:v>36</x:v>
      </x:c>
      <x:c r="S31" s="96" t="n">
        <x:f>F31*3</x:f>
        <x:v>36</x:v>
      </x:c>
      <x:c r="T31" s="96" t="n">
        <x:f>F31*3</x:f>
        <x:v>36</x:v>
      </x:c>
      <x:c r="U31" s="96" t="n">
        <x:f>F31*3</x:f>
        <x:v>36</x:v>
      </x:c>
      <x:c r="V31" s="88"/>
      <x:c r="W31" s="9"/>
      <x:c r="X31" s="89" t="s">
        <x:v>26</x:v>
      </x:c>
      <x:c r="Y31" s="83">
        <x:v>6</x:v>
      </x:c>
      <x:c r="Z31" s="83" t="s">
        <x:v>74</x:v>
      </x:c>
      <x:c r="AA31" s="97" t="s">
        <x:v>75</x:v>
      </x:c>
      <x:c r="AB31" s="97"/>
      <x:c r="AC31" s="85">
        <x:v>12</x:v>
      </x:c>
      <x:c r="AD31" s="95"/>
      <x:c r="AE31" s="86"/>
      <x:c r="AF31" s="87"/>
      <x:c r="AG31" s="91">
        <x:f t="shared" si="33"/>
        <x:v>12</x:v>
      </x:c>
      <x:c r="AH31" s="91">
        <x:f t="shared" si="34"/>
        <x:v>12</x:v>
      </x:c>
      <x:c r="AI31" s="91">
        <x:f t="shared" si="35"/>
        <x:v>12</x:v>
      </x:c>
      <x:c r="AJ31" s="92">
        <x:f t="shared" si="36"/>
        <x:v>12</x:v>
      </x:c>
      <x:c r="AK31" s="92"/>
      <x:c r="AL31" s="92">
        <x:f t="shared" si="37"/>
        <x:v>12</x:v>
      </x:c>
      <x:c r="AM31" s="92"/>
      <x:c r="AN31" s="96" t="n">
        <x:f t="shared" ref="AN31:AN33" si="38">AC31</x:f>
        <x:v>12</x:v>
      </x:c>
      <x:c r="AO31" s="96" t="n">
        <x:f t="shared" ref="AO31:AO33" si="39">AC31*3</x:f>
        <x:v>36</x:v>
      </x:c>
      <x:c r="AP31" s="96" t="n">
        <x:f t="shared" ref="AP31:AP33" si="40">AC31*3</x:f>
        <x:v>36</x:v>
      </x:c>
      <x:c r="AQ31" s="96" t="n">
        <x:f t="shared" ref="AQ31:AQ33" si="41">AC31*3</x:f>
        <x:v>36</x:v>
      </x:c>
      <x:c r="AR31" s="96" t="n">
        <x:f t="shared" ref="AR31:AR33" si="42">AC31*3</x:f>
        <x:v>36</x:v>
      </x:c>
      <x:c r="AS31" s="90"/>
    </x:row>
    <x:row r="32">
      <x:c r="A32" s="82" t="s">
        <x:v>26</x:v>
      </x:c>
      <x:c r="B32" s="83">
        <x:v>7</x:v>
      </x:c>
      <x:c r="C32" s="83" t="s">
        <x:v>76</x:v>
      </x:c>
      <x:c r="D32" s="97" t="s">
        <x:v>77</x:v>
      </x:c>
      <x:c r="E32" s="97"/>
      <x:c r="F32" s="85">
        <x:v>12</x:v>
      </x:c>
      <x:c r="G32" s="95"/>
      <x:c r="H32" s="86"/>
      <x:c r="I32" s="87"/>
      <x:c r="J32" s="91">
        <x:f t="shared" si="28"/>
        <x:v>12</x:v>
      </x:c>
      <x:c r="K32" s="91">
        <x:f t="shared" si="29"/>
        <x:v>12</x:v>
      </x:c>
      <x:c r="L32" s="91">
        <x:f t="shared" si="30"/>
        <x:v>12</x:v>
      </x:c>
      <x:c r="M32" s="92">
        <x:f t="shared" si="31"/>
        <x:v>12</x:v>
      </x:c>
      <x:c r="N32" s="92"/>
      <x:c r="O32" s="92">
        <x:f t="shared" si="32"/>
        <x:v>12</x:v>
      </x:c>
      <x:c r="P32" s="92"/>
      <x:c r="Q32" s="96" t="n">
        <x:f>F32</x:f>
        <x:v>12</x:v>
      </x:c>
      <x:c r="R32" s="96" t="n">
        <x:f>F32*3</x:f>
        <x:v>36</x:v>
      </x:c>
      <x:c r="S32" s="96" t="n">
        <x:f>F32*3</x:f>
        <x:v>36</x:v>
      </x:c>
      <x:c r="T32" s="96" t="n">
        <x:f>F32*3</x:f>
        <x:v>36</x:v>
      </x:c>
      <x:c r="U32" s="96" t="n">
        <x:f>F32*3</x:f>
        <x:v>36</x:v>
      </x:c>
      <x:c r="V32" s="88"/>
      <x:c r="W32" s="9"/>
      <x:c r="X32" s="89" t="s">
        <x:v>26</x:v>
      </x:c>
      <x:c r="Y32" s="83">
        <x:v>7</x:v>
      </x:c>
      <x:c r="Z32" s="83" t="s">
        <x:v>76</x:v>
      </x:c>
      <x:c r="AA32" s="97" t="s">
        <x:v>77</x:v>
      </x:c>
      <x:c r="AB32" s="97"/>
      <x:c r="AC32" s="85">
        <x:v>12</x:v>
      </x:c>
      <x:c r="AD32" s="95"/>
      <x:c r="AE32" s="86"/>
      <x:c r="AF32" s="87"/>
      <x:c r="AG32" s="91">
        <x:f t="shared" si="33"/>
        <x:v>12</x:v>
      </x:c>
      <x:c r="AH32" s="91">
        <x:f t="shared" si="34"/>
        <x:v>12</x:v>
      </x:c>
      <x:c r="AI32" s="91">
        <x:f t="shared" si="35"/>
        <x:v>12</x:v>
      </x:c>
      <x:c r="AJ32" s="92">
        <x:f t="shared" si="36"/>
        <x:v>12</x:v>
      </x:c>
      <x:c r="AK32" s="92"/>
      <x:c r="AL32" s="92">
        <x:f t="shared" si="37"/>
        <x:v>12</x:v>
      </x:c>
      <x:c r="AM32" s="92"/>
      <x:c r="AN32" s="96">
        <x:f t="shared" si="38"/>
        <x:v>12</x:v>
      </x:c>
      <x:c r="AO32" s="96">
        <x:f t="shared" si="39"/>
        <x:v>36</x:v>
      </x:c>
      <x:c r="AP32" s="96">
        <x:f t="shared" si="40"/>
        <x:v>36</x:v>
      </x:c>
      <x:c r="AQ32" s="96">
        <x:f t="shared" si="41"/>
        <x:v>36</x:v>
      </x:c>
      <x:c r="AR32" s="96">
        <x:f t="shared" si="42"/>
        <x:v>36</x:v>
      </x:c>
      <x:c r="AS32" s="90"/>
    </x:row>
    <x:row r="33">
      <x:c r="A33" s="83" t="s">
        <x:v>26</x:v>
      </x:c>
      <x:c r="B33" s="83">
        <x:v>8</x:v>
      </x:c>
      <x:c r="C33" s="83" t="s">
        <x:v>78</x:v>
      </x:c>
      <x:c r="D33" s="97" t="s">
        <x:v>79</x:v>
      </x:c>
      <x:c r="E33" s="97"/>
      <x:c r="F33" s="85">
        <x:v>12</x:v>
      </x:c>
      <x:c r="G33" s="95"/>
      <x:c r="H33" s="86"/>
      <x:c r="I33" s="87"/>
      <x:c r="J33" s="91">
        <x:f t="shared" si="28"/>
        <x:v>12</x:v>
      </x:c>
      <x:c r="K33" s="91">
        <x:f t="shared" si="29"/>
        <x:v>12</x:v>
      </x:c>
      <x:c r="L33" s="91">
        <x:f t="shared" si="30"/>
        <x:v>12</x:v>
      </x:c>
      <x:c r="M33" s="92">
        <x:f t="shared" si="31"/>
        <x:v>12</x:v>
      </x:c>
      <x:c r="N33" s="92"/>
      <x:c r="O33" s="92">
        <x:f t="shared" si="32"/>
        <x:v>12</x:v>
      </x:c>
      <x:c r="P33" s="92"/>
      <x:c r="Q33" s="96" t="n">
        <x:f>F33</x:f>
        <x:v>12</x:v>
      </x:c>
      <x:c r="R33" s="96" t="n">
        <x:f>F33*3</x:f>
        <x:v>36</x:v>
      </x:c>
      <x:c r="S33" s="96" t="n">
        <x:f>F33*3</x:f>
        <x:v>36</x:v>
      </x:c>
      <x:c r="T33" s="96" t="n">
        <x:f>F33*3</x:f>
        <x:v>36</x:v>
      </x:c>
      <x:c r="U33" s="96" t="n">
        <x:f>F33*3</x:f>
        <x:v>36</x:v>
      </x:c>
      <x:c r="V33" s="88"/>
      <x:c r="W33" s="9"/>
      <x:c r="X33" s="89" t="s">
        <x:v>26</x:v>
      </x:c>
      <x:c r="Y33" s="83">
        <x:v>8</x:v>
      </x:c>
      <x:c r="Z33" s="83" t="s">
        <x:v>78</x:v>
      </x:c>
      <x:c r="AA33" s="97" t="s">
        <x:v>79</x:v>
      </x:c>
      <x:c r="AB33" s="97"/>
      <x:c r="AC33" s="85">
        <x:v>12</x:v>
      </x:c>
      <x:c r="AD33" s="95"/>
      <x:c r="AE33" s="86"/>
      <x:c r="AF33" s="87"/>
      <x:c r="AG33" s="91">
        <x:f t="shared" si="33"/>
        <x:v>12</x:v>
      </x:c>
      <x:c r="AH33" s="91">
        <x:f t="shared" si="34"/>
        <x:v>12</x:v>
      </x:c>
      <x:c r="AI33" s="91">
        <x:f t="shared" si="35"/>
        <x:v>12</x:v>
      </x:c>
      <x:c r="AJ33" s="92">
        <x:f t="shared" si="36"/>
        <x:v>12</x:v>
      </x:c>
      <x:c r="AK33" s="92"/>
      <x:c r="AL33" s="92">
        <x:f t="shared" si="37"/>
        <x:v>12</x:v>
      </x:c>
      <x:c r="AM33" s="92"/>
      <x:c r="AN33" s="96">
        <x:f t="shared" si="38"/>
        <x:v>12</x:v>
      </x:c>
      <x:c r="AO33" s="96">
        <x:f t="shared" si="39"/>
        <x:v>36</x:v>
      </x:c>
      <x:c r="AP33" s="96">
        <x:f t="shared" si="40"/>
        <x:v>36</x:v>
      </x:c>
      <x:c r="AQ33" s="96">
        <x:f t="shared" si="41"/>
        <x:v>36</x:v>
      </x:c>
      <x:c r="AR33" s="96">
        <x:f t="shared" si="42"/>
        <x:v>36</x:v>
      </x:c>
      <x:c r="AS33" s="90"/>
    </x:row>
    <x:row r="34">
      <x:c r="A34" s="83" t="s">
        <x:v>26</x:v>
      </x:c>
      <x:c r="B34" s="83">
        <x:v>9</x:v>
      </x:c>
      <x:c r="C34" s="83" t="s">
        <x:v>80</x:v>
      </x:c>
      <x:c r="D34" s="84" t="s">
        <x:v>81</x:v>
      </x:c>
      <x:c r="E34" s="84"/>
      <x:c r="F34" s="85">
        <x:v>12</x:v>
      </x:c>
      <x:c r="G34" s="95"/>
      <x:c r="H34" s="86"/>
      <x:c r="I34" s="87"/>
      <x:c r="J34" s="91">
        <x:f t="shared" si="28"/>
        <x:v>12</x:v>
      </x:c>
      <x:c r="K34" s="91">
        <x:f t="shared" si="29"/>
        <x:v>12</x:v>
      </x:c>
      <x:c r="L34" s="91">
        <x:f t="shared" si="30"/>
        <x:v>12</x:v>
      </x:c>
      <x:c r="M34" s="92">
        <x:f t="shared" si="31"/>
        <x:v>12</x:v>
      </x:c>
      <x:c r="N34" s="92"/>
      <x:c r="O34" s="92">
        <x:f t="shared" si="32"/>
        <x:v>12</x:v>
      </x:c>
      <x:c r="P34" s="92"/>
      <x:c r="Q34" s="96"/>
      <x:c r="R34" s="96"/>
      <x:c r="S34" s="96"/>
      <x:c r="T34" s="96"/>
      <x:c r="U34" s="96"/>
      <x:c r="V34" s="88"/>
      <x:c r="W34" s="9"/>
      <x:c r="X34" s="89" t="s">
        <x:v>26</x:v>
      </x:c>
      <x:c r="Y34" s="83">
        <x:v>9</x:v>
      </x:c>
      <x:c r="Z34" s="83" t="s">
        <x:v>80</x:v>
      </x:c>
      <x:c r="AA34" s="84" t="s">
        <x:v>81</x:v>
      </x:c>
      <x:c r="AB34" s="84"/>
      <x:c r="AC34" s="85">
        <x:v>12</x:v>
      </x:c>
      <x:c r="AD34" s="95"/>
      <x:c r="AE34" s="86"/>
      <x:c r="AF34" s="87"/>
      <x:c r="AG34" s="91">
        <x:f t="shared" si="33"/>
        <x:v>12</x:v>
      </x:c>
      <x:c r="AH34" s="91">
        <x:f t="shared" si="34"/>
        <x:v>12</x:v>
      </x:c>
      <x:c r="AI34" s="91">
        <x:f t="shared" si="35"/>
        <x:v>12</x:v>
      </x:c>
      <x:c r="AJ34" s="92">
        <x:f t="shared" si="36"/>
        <x:v>12</x:v>
      </x:c>
      <x:c r="AK34" s="92"/>
      <x:c r="AL34" s="92">
        <x:f t="shared" si="37"/>
        <x:v>12</x:v>
      </x:c>
      <x:c r="AM34" s="92"/>
      <x:c r="AN34" s="96"/>
      <x:c r="AO34" s="96"/>
      <x:c r="AP34" s="96"/>
      <x:c r="AQ34" s="96"/>
      <x:c r="AR34" s="96"/>
      <x:c r="AS34" s="90"/>
    </x:row>
    <x:row r="35">
      <x:c r="A35" s="98" t="s">
        <x:v>26</x:v>
      </x:c>
      <x:c r="B35" s="98">
        <x:v>10</x:v>
      </x:c>
      <x:c r="C35" s="93" t="s">
        <x:v>82</x:v>
      </x:c>
      <x:c r="D35" s="94" t="s">
        <x:v>83</x:v>
      </x:c>
      <x:c r="E35" s="94"/>
      <x:c r="F35" s="85">
        <x:v>12</x:v>
      </x:c>
      <x:c r="G35" s="95"/>
      <x:c r="H35" s="86"/>
      <x:c r="I35" s="87"/>
      <x:c r="J35" s="91" t="n">
        <x:f t="shared" ref="J35" si="43">IF(F35&gt;0,1,0)</x:f>
        <x:v>1</x:v>
      </x:c>
      <x:c r="K35" s="91" t="n">
        <x:f>IF(F35&gt;0,1,0)</x:f>
        <x:v>1</x:v>
      </x:c>
      <x:c r="L35" s="91" t="n">
        <x:f>IF(F35&gt;0,1,0)</x:f>
        <x:v>1</x:v>
      </x:c>
      <x:c r="M35" s="92" t="n">
        <x:f>IF(F35&gt;0,1,0)</x:f>
        <x:v>1</x:v>
      </x:c>
      <x:c r="N35" s="92"/>
      <x:c r="O35" s="92" t="n">
        <x:f>IF(F35&gt;0,1,0)</x:f>
        <x:v>1</x:v>
      </x:c>
      <x:c r="P35" s="92"/>
      <x:c r="Q35" s="96"/>
      <x:c r="R35" s="96"/>
      <x:c r="S35" s="96"/>
      <x:c r="T35" s="96"/>
      <x:c r="U35" s="96"/>
      <x:c r="V35" s="88"/>
      <x:c r="W35" s="9"/>
      <x:c r="X35" s="99" t="s">
        <x:v>26</x:v>
      </x:c>
      <x:c r="Y35" s="98">
        <x:v>10</x:v>
      </x:c>
      <x:c r="Z35" s="93" t="s">
        <x:v>82</x:v>
      </x:c>
      <x:c r="AA35" s="94" t="s">
        <x:v>83</x:v>
      </x:c>
      <x:c r="AB35" s="94"/>
      <x:c r="AC35" s="85">
        <x:v>12</x:v>
      </x:c>
      <x:c r="AD35" s="95"/>
      <x:c r="AE35" s="86"/>
      <x:c r="AF35" s="87"/>
      <x:c r="AG35" s="91" t="n">
        <x:f t="shared" ref="AG35:AG40" si="44">IF(AC35&gt;0,1,0)</x:f>
        <x:v>1</x:v>
      </x:c>
      <x:c r="AH35" s="91" t="n">
        <x:f t="shared" si="34">IF(AC35&gt;0,1,0)</x:f>
        <x:v>1</x:v>
      </x:c>
      <x:c r="AI35" s="91" t="n">
        <x:f t="shared" si="35">IF(AC35&gt;0,1,0)</x:f>
        <x:v>1</x:v>
      </x:c>
      <x:c r="AJ35" s="92" t="n">
        <x:f t="shared" ref="AJ35:AJ40" si="45">IF(AC35&gt;0,1,0)</x:f>
        <x:v>1</x:v>
      </x:c>
      <x:c r="AK35" s="92"/>
      <x:c r="AL35" s="92" t="n">
        <x:f t="shared" si="37">IF(AC35&gt;0,1,0)</x:f>
        <x:v>1</x:v>
      </x:c>
      <x:c r="AM35" s="92"/>
      <x:c r="AN35" s="96"/>
      <x:c r="AO35" s="96"/>
      <x:c r="AP35" s="96"/>
      <x:c r="AQ35" s="96"/>
      <x:c r="AR35" s="96"/>
      <x:c r="AS35" s="90"/>
    </x:row>
    <x:row r="36">
      <x:c r="A36" s="98" t="s">
        <x:v>26</x:v>
      </x:c>
      <x:c r="B36" s="98">
        <x:v>11</x:v>
      </x:c>
      <x:c r="C36" s="83" t="s">
        <x:v>66</x:v>
      </x:c>
      <x:c r="D36" s="84" t="s">
        <x:v>67</x:v>
      </x:c>
      <x:c r="E36" s="84"/>
      <x:c r="F36" s="85">
        <x:v>12</x:v>
      </x:c>
      <x:c r="G36" s="95"/>
      <x:c r="H36" s="86"/>
      <x:c r="I36" s="87"/>
      <x:c r="J36" s="91" t="n">
        <x:f>F36</x:f>
        <x:v>12</x:v>
      </x:c>
      <x:c r="K36" s="91" t="n">
        <x:f t="shared" si="29">F36</x:f>
        <x:v>12</x:v>
      </x:c>
      <x:c r="L36" s="91" t="n">
        <x:f t="shared" si="30">F36</x:f>
        <x:v>12</x:v>
      </x:c>
      <x:c r="M36" s="92" t="n">
        <x:f>F36</x:f>
        <x:v>12</x:v>
      </x:c>
      <x:c r="N36" s="92"/>
      <x:c r="O36" s="92" t="n">
        <x:f t="shared" si="32">F36</x:f>
        <x:v>12</x:v>
      </x:c>
      <x:c r="P36" s="92"/>
      <x:c r="Q36" s="96"/>
      <x:c r="R36" s="96"/>
      <x:c r="S36" s="96"/>
      <x:c r="T36" s="96"/>
      <x:c r="U36" s="96"/>
      <x:c r="V36" s="88"/>
      <x:c r="W36" s="9"/>
      <x:c r="X36" s="99" t="s">
        <x:v>26</x:v>
      </x:c>
      <x:c r="Y36" s="98">
        <x:v>11</x:v>
      </x:c>
      <x:c r="Z36" s="83" t="s">
        <x:v>66</x:v>
      </x:c>
      <x:c r="AA36" s="84" t="s">
        <x:v>67</x:v>
      </x:c>
      <x:c r="AB36" s="84"/>
      <x:c r="AC36" s="85">
        <x:v>12</x:v>
      </x:c>
      <x:c r="AD36" s="95"/>
      <x:c r="AE36" s="86"/>
      <x:c r="AF36" s="87"/>
      <x:c r="AG36" s="91" t="n">
        <x:f>AC36</x:f>
        <x:v>12</x:v>
      </x:c>
      <x:c r="AH36" s="91" t="n">
        <x:f t="shared" si="34">AC36</x:f>
        <x:v>12</x:v>
      </x:c>
      <x:c r="AI36" s="91" t="n">
        <x:f t="shared" si="35">AC36</x:f>
        <x:v>12</x:v>
      </x:c>
      <x:c r="AJ36" s="92" t="n">
        <x:f>AC36</x:f>
        <x:v>12</x:v>
      </x:c>
      <x:c r="AK36" s="92"/>
      <x:c r="AL36" s="92" t="n">
        <x:f t="shared" si="37">AC36</x:f>
        <x:v>12</x:v>
      </x:c>
      <x:c r="AM36" s="92"/>
      <x:c r="AN36" s="96"/>
      <x:c r="AO36" s="96"/>
      <x:c r="AP36" s="96"/>
      <x:c r="AQ36" s="96"/>
      <x:c r="AR36" s="96"/>
      <x:c r="AS36" s="90"/>
    </x:row>
    <x:row r="37">
      <x:c r="A37" s="98" t="s">
        <x:v>26</x:v>
      </x:c>
      <x:c r="B37" s="98">
        <x:v>12</x:v>
      </x:c>
      <x:c r="C37" s="93" t="s">
        <x:v>84</x:v>
      </x:c>
      <x:c r="D37" s="94" t="s">
        <x:v>85</x:v>
      </x:c>
      <x:c r="E37" s="94"/>
      <x:c r="F37" s="85">
        <x:v>12</x:v>
      </x:c>
      <x:c r="G37" s="95"/>
      <x:c r="H37" s="86" t="n">
        <x:f>IF(F37=0,0,IF(F37&lt;6,3,6))</x:f>
        <x:v>6</x:v>
      </x:c>
      <x:c r="I37" s="87"/>
      <x:c r="J37" s="91" t="n">
        <x:f>H37</x:f>
        <x:v>6</x:v>
      </x:c>
      <x:c r="K37" s="91" t="n">
        <x:f>H37</x:f>
        <x:v>6</x:v>
      </x:c>
      <x:c r="L37" s="91" t="n">
        <x:f>H37</x:f>
        <x:v>6</x:v>
      </x:c>
      <x:c r="M37" s="92"/>
      <x:c r="N37" s="92" t="n">
        <x:f>H37</x:f>
        <x:v>6</x:v>
      </x:c>
      <x:c r="O37" s="92"/>
      <x:c r="P37" s="92" t="n">
        <x:f>H37</x:f>
        <x:v>6</x:v>
      </x:c>
      <x:c r="Q37" s="96"/>
      <x:c r="R37" s="96"/>
      <x:c r="S37" s="96"/>
      <x:c r="T37" s="96"/>
      <x:c r="U37" s="96"/>
      <x:c r="V37" s="88"/>
      <x:c r="W37" s="9"/>
      <x:c r="X37" s="99" t="s">
        <x:v>26</x:v>
      </x:c>
      <x:c r="Y37" s="98">
        <x:v>12</x:v>
      </x:c>
      <x:c r="Z37" s="93" t="s">
        <x:v>84</x:v>
      </x:c>
      <x:c r="AA37" s="94" t="s">
        <x:v>85</x:v>
      </x:c>
      <x:c r="AB37" s="94"/>
      <x:c r="AC37" s="85">
        <x:v>12</x:v>
      </x:c>
      <x:c r="AD37" s="95"/>
      <x:c r="AE37" s="86" t="n">
        <x:f>IF(AC37=0,0,IF(AC37&lt;6,3,6))</x:f>
        <x:v>6</x:v>
      </x:c>
      <x:c r="AF37" s="87"/>
      <x:c r="AG37" s="91" t="n">
        <x:f>AE37</x:f>
        <x:v>6</x:v>
      </x:c>
      <x:c r="AH37" s="91" t="n">
        <x:f t="shared" ref="AH37:AH40" si="46">AE37</x:f>
        <x:v>6</x:v>
      </x:c>
      <x:c r="AI37" s="91" t="n">
        <x:f t="shared" ref="AI37:AI40" si="47">AE37</x:f>
        <x:v>6</x:v>
      </x:c>
      <x:c r="AJ37" s="92"/>
      <x:c r="AK37" s="92" t="n">
        <x:f>AE37</x:f>
        <x:v>6</x:v>
      </x:c>
      <x:c r="AL37" s="92"/>
      <x:c r="AM37" s="92" t="n">
        <x:f>AE37</x:f>
        <x:v>6</x:v>
      </x:c>
      <x:c r="AN37" s="96"/>
      <x:c r="AO37" s="96"/>
      <x:c r="AP37" s="96"/>
      <x:c r="AQ37" s="96"/>
      <x:c r="AR37" s="96"/>
      <x:c r="AS37" s="90"/>
    </x:row>
    <x:row r="38">
      <x:c r="A38" s="98" t="s">
        <x:v>26</x:v>
      </x:c>
      <x:c r="B38" s="98">
        <x:v>13</x:v>
      </x:c>
      <x:c r="C38" s="93" t="s">
        <x:v>86</x:v>
      </x:c>
      <x:c r="D38" s="94" t="s">
        <x:v>87</x:v>
      </x:c>
      <x:c r="E38" s="94"/>
      <x:c r="F38" s="85">
        <x:v>14</x:v>
      </x:c>
      <x:c r="G38" s="95"/>
      <x:c r="H38" s="86"/>
      <x:c r="I38" s="87"/>
      <x:c r="J38" s="91" t="n">
        <x:f>IF(F38&gt;0,1,0)</x:f>
        <x:v>1</x:v>
      </x:c>
      <x:c r="K38" s="91" t="n">
        <x:f>J38</x:f>
        <x:v>1</x:v>
      </x:c>
      <x:c r="L38" s="91" t="n">
        <x:f>J38</x:f>
        <x:v>1</x:v>
      </x:c>
      <x:c r="M38" s="92" t="n">
        <x:f>IF(F38&gt;0,1,0)</x:f>
        <x:v>1</x:v>
      </x:c>
      <x:c r="N38" s="92"/>
      <x:c r="O38" s="92" t="n">
        <x:f t="shared" ref="O38:O42" si="48">IF(F38&gt;0,1,0)</x:f>
        <x:v>1</x:v>
      </x:c>
      <x:c r="P38" s="92"/>
      <x:c r="Q38" s="96"/>
      <x:c r="R38" s="96"/>
      <x:c r="S38" s="96"/>
      <x:c r="T38" s="96"/>
      <x:c r="U38" s="96"/>
      <x:c r="V38" s="88"/>
      <x:c r="W38" s="9"/>
      <x:c r="X38" s="99" t="s">
        <x:v>26</x:v>
      </x:c>
      <x:c r="Y38" s="98">
        <x:v>13</x:v>
      </x:c>
      <x:c r="Z38" s="93" t="s">
        <x:v>86</x:v>
      </x:c>
      <x:c r="AA38" s="94" t="s">
        <x:v>87</x:v>
      </x:c>
      <x:c r="AB38" s="94"/>
      <x:c r="AC38" s="85">
        <x:v>14</x:v>
      </x:c>
      <x:c r="AD38" s="95"/>
      <x:c r="AE38" s="86"/>
      <x:c r="AF38" s="87"/>
      <x:c r="AG38" s="91">
        <x:f t="shared" si="44"/>
        <x:v>1</x:v>
      </x:c>
      <x:c r="AH38" s="91" t="n">
        <x:f t="shared" ref="AH38:AH42" si="49">AG38</x:f>
        <x:v>1</x:v>
      </x:c>
      <x:c r="AI38" s="91" t="n">
        <x:f t="shared" ref="AI38:AI42" si="50">AG38</x:f>
        <x:v>1</x:v>
      </x:c>
      <x:c r="AJ38" s="92">
        <x:f t="shared" si="45"/>
        <x:v>1</x:v>
      </x:c>
      <x:c r="AK38" s="92"/>
      <x:c r="AL38" s="92" t="n">
        <x:f t="shared" ref="AL38:AL42" si="51">IF(AC38&gt;0,1,0)</x:f>
        <x:v>1</x:v>
      </x:c>
      <x:c r="AM38" s="92"/>
      <x:c r="AN38" s="96"/>
      <x:c r="AO38" s="96"/>
      <x:c r="AP38" s="96"/>
      <x:c r="AQ38" s="96"/>
      <x:c r="AR38" s="96"/>
      <x:c r="AS38" s="90"/>
    </x:row>
    <x:row r="39">
      <x:c r="A39" s="98" t="s">
        <x:v>26</x:v>
      </x:c>
      <x:c r="B39" s="98">
        <x:v>14</x:v>
      </x:c>
      <x:c r="C39" s="93" t="s">
        <x:v>88</x:v>
      </x:c>
      <x:c r="D39" s="94" t="s">
        <x:v>89</x:v>
      </x:c>
      <x:c r="E39" s="94"/>
      <x:c r="F39" s="85">
        <x:v>12</x:v>
      </x:c>
      <x:c r="G39" s="95"/>
      <x:c r="H39" s="86" t="n">
        <x:f>IF(F39=0,0,IF(F39&lt;6,3,6))</x:f>
        <x:v>6</x:v>
      </x:c>
      <x:c r="I39" s="87"/>
      <x:c r="J39" s="91" t="n">
        <x:f>H39</x:f>
        <x:v>6</x:v>
      </x:c>
      <x:c r="K39" s="91" t="n">
        <x:f>H39</x:f>
        <x:v>6</x:v>
      </x:c>
      <x:c r="L39" s="91" t="n">
        <x:f>H39</x:f>
        <x:v>6</x:v>
      </x:c>
      <x:c r="M39" s="92"/>
      <x:c r="N39" s="92" t="n">
        <x:f>H39</x:f>
        <x:v>6</x:v>
      </x:c>
      <x:c r="O39" s="92"/>
      <x:c r="P39" s="92" t="n">
        <x:f>H39</x:f>
        <x:v>6</x:v>
      </x:c>
      <x:c r="Q39" s="96"/>
      <x:c r="R39" s="96"/>
      <x:c r="S39" s="96"/>
      <x:c r="T39" s="96"/>
      <x:c r="U39" s="96"/>
      <x:c r="V39" s="88"/>
      <x:c r="W39" s="9"/>
      <x:c r="X39" s="99" t="s">
        <x:v>26</x:v>
      </x:c>
      <x:c r="Y39" s="98">
        <x:v>14</x:v>
      </x:c>
      <x:c r="Z39" s="93" t="s">
        <x:v>88</x:v>
      </x:c>
      <x:c r="AA39" s="94" t="s">
        <x:v>89</x:v>
      </x:c>
      <x:c r="AB39" s="94"/>
      <x:c r="AC39" s="85">
        <x:v>12</x:v>
      </x:c>
      <x:c r="AD39" s="95"/>
      <x:c r="AE39" s="86" t="n">
        <x:f>IF(AC39=0,0,IF(AC39&lt;6,3,6))</x:f>
        <x:v>6</x:v>
      </x:c>
      <x:c r="AF39" s="87"/>
      <x:c r="AG39" s="91" t="n">
        <x:f>AE39</x:f>
        <x:v>6</x:v>
      </x:c>
      <x:c r="AH39" s="91">
        <x:f t="shared" si="46"/>
        <x:v>6</x:v>
      </x:c>
      <x:c r="AI39" s="91">
        <x:f t="shared" si="47"/>
        <x:v>6</x:v>
      </x:c>
      <x:c r="AJ39" s="92"/>
      <x:c r="AK39" s="92" t="n">
        <x:f>AE39</x:f>
        <x:v>6</x:v>
      </x:c>
      <x:c r="AL39" s="92"/>
      <x:c r="AM39" s="92" t="n">
        <x:f>AE39</x:f>
        <x:v>6</x:v>
      </x:c>
      <x:c r="AN39" s="96"/>
      <x:c r="AO39" s="96"/>
      <x:c r="AP39" s="96"/>
      <x:c r="AQ39" s="96"/>
      <x:c r="AR39" s="96"/>
      <x:c r="AS39" s="90"/>
    </x:row>
    <x:row r="40">
      <x:c r="A40" s="98" t="s">
        <x:v>26</x:v>
      </x:c>
      <x:c r="B40" s="98">
        <x:v>15</x:v>
      </x:c>
      <x:c r="C40" s="93" t="s">
        <x:v>90</x:v>
      </x:c>
      <x:c r="D40" s="94" t="s">
        <x:v>91</x:v>
      </x:c>
      <x:c r="E40" s="94"/>
      <x:c r="F40" s="85">
        <x:v>12</x:v>
      </x:c>
      <x:c r="G40" s="95"/>
      <x:c r="H40" s="86">
        <x:v>1</x:v>
      </x:c>
      <x:c r="I40" s="87"/>
      <x:c r="J40" s="91" t="n">
        <x:f>IF(F40&gt;0,1,0)</x:f>
        <x:v>1</x:v>
      </x:c>
      <x:c r="K40" s="91" t="n">
        <x:f>H40</x:f>
        <x:v>1</x:v>
      </x:c>
      <x:c r="L40" s="91" t="n">
        <x:f>H40</x:f>
        <x:v>1</x:v>
      </x:c>
      <x:c r="M40" s="92" t="n">
        <x:f>IF(F40&gt;0,1,0)</x:f>
        <x:v>1</x:v>
      </x:c>
      <x:c r="N40" s="92"/>
      <x:c r="O40" s="92">
        <x:f t="shared" si="48"/>
        <x:v>1</x:v>
      </x:c>
      <x:c r="P40" s="92"/>
      <x:c r="Q40" s="96"/>
      <x:c r="R40" s="96"/>
      <x:c r="S40" s="96"/>
      <x:c r="T40" s="96"/>
      <x:c r="U40" s="96"/>
      <x:c r="V40" s="88"/>
      <x:c r="W40" s="9"/>
      <x:c r="X40" s="99" t="s">
        <x:v>26</x:v>
      </x:c>
      <x:c r="Y40" s="98">
        <x:v>15</x:v>
      </x:c>
      <x:c r="Z40" s="93" t="s">
        <x:v>90</x:v>
      </x:c>
      <x:c r="AA40" s="94" t="s">
        <x:v>91</x:v>
      </x:c>
      <x:c r="AB40" s="94"/>
      <x:c r="AC40" s="85">
        <x:v>12</x:v>
      </x:c>
      <x:c r="AD40" s="95"/>
      <x:c r="AE40" s="86">
        <x:v>1</x:v>
      </x:c>
      <x:c r="AF40" s="87"/>
      <x:c r="AG40" s="91">
        <x:f t="shared" si="44"/>
        <x:v>1</x:v>
      </x:c>
      <x:c r="AH40" s="91">
        <x:f t="shared" si="46"/>
        <x:v>1</x:v>
      </x:c>
      <x:c r="AI40" s="91">
        <x:f t="shared" si="47"/>
        <x:v>1</x:v>
      </x:c>
      <x:c r="AJ40" s="92">
        <x:f t="shared" si="45"/>
        <x:v>1</x:v>
      </x:c>
      <x:c r="AK40" s="92"/>
      <x:c r="AL40" s="92">
        <x:f t="shared" si="51"/>
        <x:v>1</x:v>
      </x:c>
      <x:c r="AM40" s="92"/>
      <x:c r="AN40" s="96"/>
      <x:c r="AO40" s="96"/>
      <x:c r="AP40" s="96"/>
      <x:c r="AQ40" s="96"/>
      <x:c r="AR40" s="96"/>
      <x:c r="AS40" s="90"/>
    </x:row>
    <x:row r="41">
      <x:c r="A41" s="98" t="s">
        <x:v>26</x:v>
      </x:c>
      <x:c r="B41" s="98">
        <x:v>16</x:v>
      </x:c>
      <x:c r="C41" s="83" t="s">
        <x:v>92</x:v>
      </x:c>
      <x:c r="D41" s="97" t="s">
        <x:v>93</x:v>
      </x:c>
      <x:c r="E41" s="97"/>
      <x:c r="F41" s="85">
        <x:v>12</x:v>
      </x:c>
      <x:c r="G41" s="95"/>
      <x:c r="H41" s="86"/>
      <x:c r="I41" s="87"/>
      <x:c r="J41" s="91" t="n">
        <x:f t="shared" ref="J41" si="52">F41</x:f>
        <x:v>12</x:v>
      </x:c>
      <x:c r="K41" s="91" t="n">
        <x:f>J41</x:f>
        <x:v>12</x:v>
      </x:c>
      <x:c r="L41" s="91" t="n">
        <x:f>J41</x:f>
        <x:v>12</x:v>
      </x:c>
      <x:c r="M41" s="92" t="n">
        <x:f t="shared" ref="M41" si="53">F41</x:f>
        <x:v>12</x:v>
      </x:c>
      <x:c r="N41" s="92"/>
      <x:c r="O41" s="92" t="n">
        <x:f t="shared" ref="O41:O44" si="54">M41</x:f>
        <x:v>12</x:v>
      </x:c>
      <x:c r="P41" s="92"/>
      <x:c r="Q41" s="96" t="n">
        <x:f>F41</x:f>
        <x:v>12</x:v>
      </x:c>
      <x:c r="R41" s="96" t="n">
        <x:f>F41*3</x:f>
        <x:v>36</x:v>
      </x:c>
      <x:c r="S41" s="96" t="n">
        <x:f>F41*3</x:f>
        <x:v>36</x:v>
      </x:c>
      <x:c r="T41" s="96" t="n">
        <x:f>F41*3</x:f>
        <x:v>36</x:v>
      </x:c>
      <x:c r="U41" s="96" t="n">
        <x:f>F41*3</x:f>
        <x:v>36</x:v>
      </x:c>
      <x:c r="V41" s="88"/>
      <x:c r="W41" s="9"/>
      <x:c r="X41" s="99" t="s">
        <x:v>26</x:v>
      </x:c>
      <x:c r="Y41" s="98">
        <x:v>16</x:v>
      </x:c>
      <x:c r="Z41" s="83" t="s">
        <x:v>92</x:v>
      </x:c>
      <x:c r="AA41" s="97" t="s">
        <x:v>93</x:v>
      </x:c>
      <x:c r="AB41" s="97"/>
      <x:c r="AC41" s="85">
        <x:v>12</x:v>
      </x:c>
      <x:c r="AD41" s="95"/>
      <x:c r="AE41" s="86"/>
      <x:c r="AF41" s="87"/>
      <x:c r="AG41" s="91" t="n">
        <x:f>AC41</x:f>
        <x:v>12</x:v>
      </x:c>
      <x:c r="AH41" s="91">
        <x:f t="shared" si="49"/>
        <x:v>12</x:v>
      </x:c>
      <x:c r="AI41" s="91">
        <x:f t="shared" si="50"/>
        <x:v>12</x:v>
      </x:c>
      <x:c r="AJ41" s="92" t="n">
        <x:f>AC41</x:f>
        <x:v>12</x:v>
      </x:c>
      <x:c r="AK41" s="92"/>
      <x:c r="AL41" s="92" t="n">
        <x:f t="shared" ref="AL41:AL44" si="55">AJ41</x:f>
        <x:v>12</x:v>
      </x:c>
      <x:c r="AM41" s="92"/>
      <x:c r="AN41" s="96" t="n">
        <x:f>AC41</x:f>
        <x:v>12</x:v>
      </x:c>
      <x:c r="AO41" s="96" t="n">
        <x:f>AC41*3</x:f>
        <x:v>36</x:v>
      </x:c>
      <x:c r="AP41" s="96" t="n">
        <x:f>AC41*3</x:f>
        <x:v>36</x:v>
      </x:c>
      <x:c r="AQ41" s="96" t="n">
        <x:f>AC41*3</x:f>
        <x:v>36</x:v>
      </x:c>
      <x:c r="AR41" s="96" t="n">
        <x:f>AC41*3</x:f>
        <x:v>36</x:v>
      </x:c>
      <x:c r="AS41" s="90"/>
    </x:row>
    <x:row r="42">
      <x:c r="A42" s="98" t="s">
        <x:v>26</x:v>
      </x:c>
      <x:c r="B42" s="98">
        <x:v>17</x:v>
      </x:c>
      <x:c r="C42" s="93" t="s">
        <x:v>94</x:v>
      </x:c>
      <x:c r="D42" s="94" t="s">
        <x:v>95</x:v>
      </x:c>
      <x:c r="E42" s="94"/>
      <x:c r="F42" s="85">
        <x:v>12</x:v>
      </x:c>
      <x:c r="G42" s="95"/>
      <x:c r="H42" s="86"/>
      <x:c r="I42" s="87" t="n">
        <x:f>MIN(F42,3)</x:f>
        <x:v>3</x:v>
      </x:c>
      <x:c r="J42" s="91" t="n">
        <x:f>IF(F42&gt;0,1,0)</x:f>
        <x:v>1</x:v>
      </x:c>
      <x:c r="K42" s="91" t="n">
        <x:f>J42</x:f>
        <x:v>1</x:v>
      </x:c>
      <x:c r="L42" s="91" t="n">
        <x:f>J42</x:f>
        <x:v>1</x:v>
      </x:c>
      <x:c r="M42" s="92" t="n">
        <x:f>IF(F42&gt;0,1,0)</x:f>
        <x:v>1</x:v>
      </x:c>
      <x:c r="N42" s="92"/>
      <x:c r="O42" s="92">
        <x:f t="shared" si="48"/>
        <x:v>1</x:v>
      </x:c>
      <x:c r="P42" s="92"/>
      <x:c r="Q42" s="96"/>
      <x:c r="R42" s="96"/>
      <x:c r="S42" s="96"/>
      <x:c r="T42" s="96"/>
      <x:c r="U42" s="96"/>
      <x:c r="V42" s="88"/>
      <x:c r="W42" s="9"/>
      <x:c r="X42" s="99" t="s">
        <x:v>26</x:v>
      </x:c>
      <x:c r="Y42" s="98">
        <x:v>17</x:v>
      </x:c>
      <x:c r="Z42" s="93" t="s">
        <x:v>94</x:v>
      </x:c>
      <x:c r="AA42" s="94" t="s">
        <x:v>95</x:v>
      </x:c>
      <x:c r="AB42" s="94"/>
      <x:c r="AC42" s="85">
        <x:v>12</x:v>
      </x:c>
      <x:c r="AD42" s="95"/>
      <x:c r="AE42" s="86"/>
      <x:c r="AF42" s="87" t="n">
        <x:f t="shared" ref="AF42:AF44" si="56">MIN(AC42,3)</x:f>
        <x:v>3</x:v>
      </x:c>
      <x:c r="AG42" s="91" t="n">
        <x:f>IF(AC42&gt;0,1,0)</x:f>
        <x:v>1</x:v>
      </x:c>
      <x:c r="AH42" s="91">
        <x:f t="shared" si="49"/>
        <x:v>1</x:v>
      </x:c>
      <x:c r="AI42" s="91">
        <x:f t="shared" si="50"/>
        <x:v>1</x:v>
      </x:c>
      <x:c r="AJ42" s="92" t="n">
        <x:f>IF(AC42&gt;0,1,0)</x:f>
        <x:v>1</x:v>
      </x:c>
      <x:c r="AK42" s="92"/>
      <x:c r="AL42" s="92">
        <x:f t="shared" si="51"/>
        <x:v>1</x:v>
      </x:c>
      <x:c r="AM42" s="92"/>
      <x:c r="AN42" s="96"/>
      <x:c r="AO42" s="96"/>
      <x:c r="AP42" s="96"/>
      <x:c r="AQ42" s="96"/>
      <x:c r="AR42" s="96"/>
      <x:c r="AS42" s="90"/>
    </x:row>
    <x:row r="43">
      <x:c r="A43" s="98" t="s">
        <x:v>26</x:v>
      </x:c>
      <x:c r="B43" s="98">
        <x:v>18</x:v>
      </x:c>
      <x:c r="C43" s="93" t="s">
        <x:v>96</x:v>
      </x:c>
      <x:c r="D43" s="94" t="s">
        <x:v>97</x:v>
      </x:c>
      <x:c r="E43" s="94"/>
      <x:c r="F43" s="85">
        <x:v>12</x:v>
      </x:c>
      <x:c r="G43" s="95"/>
      <x:c r="H43" s="86"/>
      <x:c r="I43" s="87" t="n">
        <x:f>MIN(F43,3)</x:f>
        <x:v>3</x:v>
      </x:c>
      <x:c r="J43" s="91" t="n">
        <x:f>I43</x:f>
        <x:v>3</x:v>
      </x:c>
      <x:c r="K43" s="91" t="n">
        <x:f>I43</x:f>
        <x:v>3</x:v>
      </x:c>
      <x:c r="L43" s="91" t="n">
        <x:f>I43</x:f>
        <x:v>3</x:v>
      </x:c>
      <x:c r="M43" s="92" t="n">
        <x:f>I43</x:f>
        <x:v>3</x:v>
      </x:c>
      <x:c r="N43" s="92"/>
      <x:c r="O43" s="92">
        <x:f t="shared" si="54"/>
        <x:v>3</x:v>
      </x:c>
      <x:c r="P43" s="92"/>
      <x:c r="Q43" s="96"/>
      <x:c r="R43" s="96"/>
      <x:c r="S43" s="96"/>
      <x:c r="T43" s="96"/>
      <x:c r="U43" s="96"/>
      <x:c r="V43" s="88"/>
      <x:c r="W43" s="9"/>
      <x:c r="X43" s="99" t="s">
        <x:v>26</x:v>
      </x:c>
      <x:c r="Y43" s="98">
        <x:v>18</x:v>
      </x:c>
      <x:c r="Z43" s="93" t="s">
        <x:v>96</x:v>
      </x:c>
      <x:c r="AA43" s="94" t="s">
        <x:v>97</x:v>
      </x:c>
      <x:c r="AB43" s="94"/>
      <x:c r="AC43" s="85">
        <x:v>12</x:v>
      </x:c>
      <x:c r="AD43" s="95"/>
      <x:c r="AE43" s="86"/>
      <x:c r="AF43" s="87">
        <x:f t="shared" si="56"/>
        <x:v>3</x:v>
      </x:c>
      <x:c r="AG43" s="91" t="n">
        <x:f>AF43</x:f>
        <x:v>3</x:v>
      </x:c>
      <x:c r="AH43" s="91" t="n">
        <x:f>AF43</x:f>
        <x:v>3</x:v>
      </x:c>
      <x:c r="AI43" s="91" t="n">
        <x:f>AF43</x:f>
        <x:v>3</x:v>
      </x:c>
      <x:c r="AJ43" s="92" t="n">
        <x:f>AF43</x:f>
        <x:v>3</x:v>
      </x:c>
      <x:c r="AK43" s="92"/>
      <x:c r="AL43" s="92">
        <x:f t="shared" si="55"/>
        <x:v>3</x:v>
      </x:c>
      <x:c r="AM43" s="92"/>
      <x:c r="AN43" s="96"/>
      <x:c r="AO43" s="96"/>
      <x:c r="AP43" s="96"/>
      <x:c r="AQ43" s="96"/>
      <x:c r="AR43" s="96"/>
      <x:c r="AS43" s="90"/>
    </x:row>
    <x:row r="44">
      <x:c r="A44" s="98" t="s">
        <x:v>26</x:v>
      </x:c>
      <x:c r="B44" s="98">
        <x:v>19</x:v>
      </x:c>
      <x:c r="C44" s="93" t="s">
        <x:v>98</x:v>
      </x:c>
      <x:c r="D44" s="94" t="s">
        <x:v>99</x:v>
      </x:c>
      <x:c r="E44" s="94"/>
      <x:c r="F44" s="85">
        <x:v>12</x:v>
      </x:c>
      <x:c r="G44" s="95"/>
      <x:c r="H44" s="86"/>
      <x:c r="I44" s="87" t="n">
        <x:f>MIN(F44,3)</x:f>
        <x:v>3</x:v>
      </x:c>
      <x:c r="J44" s="91" t="n">
        <x:f>I44</x:f>
        <x:v>3</x:v>
      </x:c>
      <x:c r="K44" s="91" t="n">
        <x:f>I44</x:f>
        <x:v>3</x:v>
      </x:c>
      <x:c r="L44" s="91" t="n">
        <x:f>I44</x:f>
        <x:v>3</x:v>
      </x:c>
      <x:c r="M44" s="92" t="n">
        <x:f>I44</x:f>
        <x:v>3</x:v>
      </x:c>
      <x:c r="N44" s="92"/>
      <x:c r="O44" s="92">
        <x:f t="shared" si="54"/>
        <x:v>3</x:v>
      </x:c>
      <x:c r="P44" s="92"/>
      <x:c r="Q44" s="96"/>
      <x:c r="R44" s="96"/>
      <x:c r="S44" s="96"/>
      <x:c r="T44" s="96"/>
      <x:c r="U44" s="96"/>
      <x:c r="V44" s="88"/>
      <x:c r="W44" s="9"/>
      <x:c r="X44" s="99" t="s">
        <x:v>26</x:v>
      </x:c>
      <x:c r="Y44" s="98">
        <x:v>19</x:v>
      </x:c>
      <x:c r="Z44" s="93" t="s">
        <x:v>98</x:v>
      </x:c>
      <x:c r="AA44" s="94" t="s">
        <x:v>99</x:v>
      </x:c>
      <x:c r="AB44" s="94"/>
      <x:c r="AC44" s="85">
        <x:v>12</x:v>
      </x:c>
      <x:c r="AD44" s="95"/>
      <x:c r="AE44" s="86"/>
      <x:c r="AF44" s="87">
        <x:f t="shared" si="56"/>
        <x:v>3</x:v>
      </x:c>
      <x:c r="AG44" s="91" t="n">
        <x:f>AF44</x:f>
        <x:v>3</x:v>
      </x:c>
      <x:c r="AH44" s="91" t="n">
        <x:f>AF44</x:f>
        <x:v>3</x:v>
      </x:c>
      <x:c r="AI44" s="91" t="n">
        <x:f>AF44</x:f>
        <x:v>3</x:v>
      </x:c>
      <x:c r="AJ44" s="92" t="n">
        <x:f>AF44</x:f>
        <x:v>3</x:v>
      </x:c>
      <x:c r="AK44" s="92"/>
      <x:c r="AL44" s="92">
        <x:f t="shared" si="55"/>
        <x:v>3</x:v>
      </x:c>
      <x:c r="AM44" s="92"/>
      <x:c r="AN44" s="96"/>
      <x:c r="AO44" s="96"/>
      <x:c r="AP44" s="96"/>
      <x:c r="AQ44" s="96"/>
      <x:c r="AR44" s="96"/>
      <x:c r="AS44" s="90"/>
    </x:row>
    <x:row r="45" ht="17.600000381469727">
      <x:c r="A45" s="98" t="s">
        <x:v>26</x:v>
      </x:c>
      <x:c r="B45" s="98">
        <x:v>20</x:v>
      </x:c>
      <x:c r="C45" s="83" t="s">
        <x:v>66</x:v>
      </x:c>
      <x:c r="D45" s="84" t="s">
        <x:v>67</x:v>
      </x:c>
      <x:c r="E45" s="84"/>
      <x:c r="F45" s="85">
        <x:v>12</x:v>
      </x:c>
      <x:c r="G45" s="95"/>
      <x:c r="H45" s="86"/>
      <x:c r="I45" s="87"/>
      <x:c r="J45" s="91" t="n">
        <x:f>F45</x:f>
        <x:v>12</x:v>
      </x:c>
      <x:c r="K45" s="91" t="n">
        <x:f>F45</x:f>
        <x:v>12</x:v>
      </x:c>
      <x:c r="L45" s="91" t="n">
        <x:f>F45</x:f>
        <x:v>12</x:v>
      </x:c>
      <x:c r="M45" s="92" t="n">
        <x:f>F45</x:f>
        <x:v>12</x:v>
      </x:c>
      <x:c r="N45" s="92"/>
      <x:c r="O45" s="92" t="n">
        <x:f>F45</x:f>
        <x:v>12</x:v>
      </x:c>
      <x:c r="P45" s="92"/>
      <x:c r="Q45" s="96"/>
      <x:c r="R45" s="96"/>
      <x:c r="S45" s="96"/>
      <x:c r="T45" s="96"/>
      <x:c r="U45" s="96"/>
      <x:c r="V45" s="100"/>
      <x:c r="W45" s="9"/>
      <x:c r="X45" s="99" t="s">
        <x:v>26</x:v>
      </x:c>
      <x:c r="Y45" s="98">
        <x:v>20</x:v>
      </x:c>
      <x:c r="Z45" s="83" t="s">
        <x:v>66</x:v>
      </x:c>
      <x:c r="AA45" s="84" t="s">
        <x:v>67</x:v>
      </x:c>
      <x:c r="AB45" s="84"/>
      <x:c r="AC45" s="85">
        <x:v>12</x:v>
      </x:c>
      <x:c r="AD45" s="95"/>
      <x:c r="AE45" s="86"/>
      <x:c r="AF45" s="87"/>
      <x:c r="AG45" s="91" t="n">
        <x:f>AC45</x:f>
        <x:v>12</x:v>
      </x:c>
      <x:c r="AH45" s="91" t="n">
        <x:f>AC45</x:f>
        <x:v>12</x:v>
      </x:c>
      <x:c r="AI45" s="91" t="n">
        <x:f>AC45</x:f>
        <x:v>12</x:v>
      </x:c>
      <x:c r="AJ45" s="92" t="n">
        <x:f>AC45</x:f>
        <x:v>12</x:v>
      </x:c>
      <x:c r="AK45" s="92"/>
      <x:c r="AL45" s="92" t="n">
        <x:f>AC45</x:f>
        <x:v>12</x:v>
      </x:c>
      <x:c r="AM45" s="92"/>
      <x:c r="AN45" s="96"/>
      <x:c r="AO45" s="96"/>
      <x:c r="AP45" s="96"/>
      <x:c r="AQ45" s="96"/>
      <x:c r="AR45" s="96"/>
      <x:c r="AS45" s="90"/>
    </x:row>
    <x:row r="46" ht="17.600000381469727">
      <x:c r="A46" s="98" t="s">
        <x:v>26</x:v>
      </x:c>
      <x:c r="B46" s="98">
        <x:v>21</x:v>
      </x:c>
      <x:c r="C46" s="83" t="s">
        <x:v>64</x:v>
      </x:c>
      <x:c r="D46" s="84" t="s">
        <x:v>65</x:v>
      </x:c>
      <x:c r="E46" s="84"/>
      <x:c r="F46" s="85">
        <x:v>12</x:v>
      </x:c>
      <x:c r="G46" s="95"/>
      <x:c r="H46" s="86"/>
      <x:c r="I46" s="87"/>
      <x:c r="J46" s="91"/>
      <x:c r="K46" s="91"/>
      <x:c r="L46" s="91"/>
      <x:c r="M46" s="92"/>
      <x:c r="N46" s="92"/>
      <x:c r="O46" s="92"/>
      <x:c r="P46" s="92"/>
      <x:c r="Q46" s="96"/>
      <x:c r="R46" s="96"/>
      <x:c r="S46" s="96"/>
      <x:c r="T46" s="96"/>
      <x:c r="U46" s="96"/>
      <x:c r="V46" s="100"/>
      <x:c r="W46" s="9"/>
      <x:c r="X46" s="99" t="s">
        <x:v>26</x:v>
      </x:c>
      <x:c r="Y46" s="98">
        <x:v>21</x:v>
      </x:c>
      <x:c r="Z46" s="83" t="s">
        <x:v>64</x:v>
      </x:c>
      <x:c r="AA46" s="84" t="s">
        <x:v>65</x:v>
      </x:c>
      <x:c r="AB46" s="84"/>
      <x:c r="AC46" s="85">
        <x:v>12</x:v>
      </x:c>
      <x:c r="AD46" s="95"/>
      <x:c r="AE46" s="86"/>
      <x:c r="AF46" s="87"/>
      <x:c r="AG46" s="91"/>
      <x:c r="AH46" s="91"/>
      <x:c r="AI46" s="91"/>
      <x:c r="AJ46" s="92"/>
      <x:c r="AK46" s="92"/>
      <x:c r="AL46" s="92"/>
      <x:c r="AM46" s="92"/>
      <x:c r="AN46" s="96"/>
      <x:c r="AO46" s="96"/>
      <x:c r="AP46" s="96"/>
      <x:c r="AQ46" s="96"/>
      <x:c r="AR46" s="96"/>
      <x:c r="AS46" s="90"/>
    </x:row>
    <x:row r="47" ht="17.600000381469727">
      <x:c r="A47" s="98" t="s">
        <x:v>26</x:v>
      </x:c>
      <x:c r="B47" s="98">
        <x:v>22</x:v>
      </x:c>
      <x:c r="C47" s="83" t="s">
        <x:v>100</x:v>
      </x:c>
      <x:c r="D47" s="84" t="s">
        <x:v>100</x:v>
      </x:c>
      <x:c r="E47" s="84"/>
      <x:c r="F47" s="85">
        <x:v>12</x:v>
      </x:c>
      <x:c r="G47" s="95"/>
      <x:c r="H47" s="86"/>
      <x:c r="I47" s="87"/>
      <x:c r="J47" s="91"/>
      <x:c r="K47" s="91"/>
      <x:c r="L47" s="91"/>
      <x:c r="M47" s="92"/>
      <x:c r="N47" s="92"/>
      <x:c r="O47" s="92"/>
      <x:c r="P47" s="92"/>
      <x:c r="Q47" s="96"/>
      <x:c r="R47" s="96"/>
      <x:c r="S47" s="96"/>
      <x:c r="T47" s="96"/>
      <x:c r="U47" s="96"/>
      <x:c r="V47" s="100"/>
      <x:c r="W47" s="9"/>
      <x:c r="X47" s="99" t="s">
        <x:v>26</x:v>
      </x:c>
      <x:c r="Y47" s="98">
        <x:v>22</x:v>
      </x:c>
      <x:c r="Z47" s="83" t="s">
        <x:v>100</x:v>
      </x:c>
      <x:c r="AA47" s="84" t="s">
        <x:v>100</x:v>
      </x:c>
      <x:c r="AB47" s="84"/>
      <x:c r="AC47" s="85">
        <x:v>12</x:v>
      </x:c>
      <x:c r="AD47" s="95"/>
      <x:c r="AE47" s="86"/>
      <x:c r="AF47" s="87"/>
      <x:c r="AG47" s="91"/>
      <x:c r="AH47" s="91"/>
      <x:c r="AI47" s="91"/>
      <x:c r="AJ47" s="92"/>
      <x:c r="AK47" s="92"/>
      <x:c r="AL47" s="92"/>
      <x:c r="AM47" s="92"/>
      <x:c r="AN47" s="96"/>
      <x:c r="AO47" s="96"/>
      <x:c r="AP47" s="96"/>
      <x:c r="AQ47" s="96"/>
      <x:c r="AR47" s="96"/>
      <x:c r="AS47" s="90"/>
    </x:row>
    <x:row r="48" s="5" customFormat="1">
      <x:c r="A48" s="101" t="s">
        <x:v>101</x:v>
      </x:c>
      <x:c r="B48" s="101"/>
      <x:c r="C48" s="101"/>
      <x:c r="D48" s="101"/>
      <x:c r="E48" s="101"/>
      <x:c r="F48" s="102" t="n">
        <x:f>MAX(F26:F47)</x:f>
        <x:v>14</x:v>
      </x:c>
      <x:c r="G48" s="103" t="n">
        <x:f t="shared" ref="G48:U48" si="57">MAX(G26:G47)</x:f>
        <x:v>0</x:v>
      </x:c>
      <x:c r="H48" s="104">
        <x:f t="shared" si="57"/>
        <x:v>6</x:v>
      </x:c>
      <x:c r="I48" s="104">
        <x:f t="shared" si="57"/>
        <x:v>3</x:v>
      </x:c>
      <x:c r="J48" s="105">
        <x:f t="shared" si="57"/>
        <x:v>14</x:v>
      </x:c>
      <x:c r="K48" s="105">
        <x:f t="shared" si="57"/>
        <x:v>14</x:v>
      </x:c>
      <x:c r="L48" s="105">
        <x:f t="shared" si="57"/>
        <x:v>14</x:v>
      </x:c>
      <x:c r="M48" s="106">
        <x:f t="shared" si="57"/>
        <x:v>14</x:v>
      </x:c>
      <x:c r="N48" s="106">
        <x:f t="shared" si="57"/>
        <x:v>6</x:v>
      </x:c>
      <x:c r="O48" s="106">
        <x:f t="shared" si="57"/>
        <x:v>14</x:v>
      </x:c>
      <x:c r="P48" s="106">
        <x:f t="shared" si="57"/>
        <x:v>6</x:v>
      </x:c>
      <x:c r="Q48" s="107">
        <x:f t="shared" si="57"/>
        <x:v>12</x:v>
      </x:c>
      <x:c r="R48" s="107">
        <x:f t="shared" si="57"/>
        <x:v>36</x:v>
      </x:c>
      <x:c r="S48" s="107">
        <x:f t="shared" si="57"/>
        <x:v>36</x:v>
      </x:c>
      <x:c r="T48" s="107">
        <x:f t="shared" si="57"/>
        <x:v>36</x:v>
      </x:c>
      <x:c r="U48" s="107">
        <x:f t="shared" si="57"/>
        <x:v>36</x:v>
      </x:c>
      <x:c r="V48" s="108"/>
      <x:c r="W48" s="9"/>
      <x:c r="X48" s="109" t="s">
        <x:v>101</x:v>
      </x:c>
      <x:c r="Y48" s="101"/>
      <x:c r="Z48" s="101"/>
      <x:c r="AA48" s="110"/>
      <x:c r="AB48" s="110"/>
      <x:c r="AC48" s="111" t="n">
        <x:f>MAX(AC26:AC47)</x:f>
        <x:v>14</x:v>
      </x:c>
      <x:c r="AD48" s="112" t="n">
        <x:f>MAX(AD26:AD47)</x:f>
        <x:v>0</x:v>
      </x:c>
      <x:c r="AE48" s="113">
        <x:v>6</x:v>
      </x:c>
      <x:c r="AF48" s="114">
        <x:v>3</x:v>
      </x:c>
      <x:c r="AG48" s="115">
        <x:v>14</x:v>
      </x:c>
      <x:c r="AH48" s="116">
        <x:v>14</x:v>
      </x:c>
      <x:c r="AI48" s="117">
        <x:v>14</x:v>
      </x:c>
      <x:c r="AJ48" s="118">
        <x:v>14</x:v>
      </x:c>
      <x:c r="AK48" s="119">
        <x:v>6</x:v>
      </x:c>
      <x:c r="AL48" s="119">
        <x:v>14</x:v>
      </x:c>
      <x:c r="AM48" s="120">
        <x:v>6</x:v>
      </x:c>
      <x:c r="AN48" s="121">
        <x:v>12</x:v>
      </x:c>
      <x:c r="AO48" s="122">
        <x:v>36</x:v>
      </x:c>
      <x:c r="AP48" s="122">
        <x:v>36</x:v>
      </x:c>
      <x:c r="AQ48" s="122">
        <x:v>36</x:v>
      </x:c>
      <x:c r="AR48" s="122">
        <x:v>36</x:v>
      </x:c>
      <x:c r="AS48" s="123"/>
    </x:row>
    <x:row r="49" s="5" customFormat="1">
      <x:c r="A49" s="57" t="s">
        <x:v>102</x:v>
      </x:c>
      <x:c r="B49" s="58"/>
      <x:c r="C49" s="58"/>
      <x:c r="D49" s="58"/>
      <x:c r="E49" s="58"/>
      <x:c r="F49" s="73" t="s">
        <x:v>4</x:v>
      </x:c>
      <x:c r="G49" s="73"/>
      <x:c r="H49" s="74" t="s">
        <x:v>5</x:v>
      </x:c>
      <x:c r="I49" s="75"/>
      <x:c r="J49" s="124" t="s">
        <x:v>6</x:v>
      </x:c>
      <x:c r="K49" s="124"/>
      <x:c r="L49" s="124"/>
      <x:c r="M49" s="125" t="s">
        <x:v>7</x:v>
      </x:c>
      <x:c r="N49" s="125"/>
      <x:c r="O49" s="125"/>
      <x:c r="P49" s="125"/>
      <x:c r="Q49" s="126" t="s">
        <x:v>49</x:v>
      </x:c>
      <x:c r="R49" s="126"/>
      <x:c r="S49" s="126"/>
      <x:c r="T49" s="126"/>
      <x:c r="U49" s="126"/>
      <x:c r="V49" s="65" t="s">
        <x:v>50</x:v>
      </x:c>
      <x:c r="W49" s="9"/>
      <x:c r="X49" s="127" t="s">
        <x:v>102</x:v>
      </x:c>
      <x:c r="Y49" s="58"/>
      <x:c r="Z49" s="58"/>
      <x:c r="AA49" s="58"/>
      <x:c r="AB49" s="58"/>
      <x:c r="AC49" s="128" t="s">
        <x:v>4</x:v>
      </x:c>
      <x:c r="AD49" s="129"/>
      <x:c r="AE49" s="130" t="s">
        <x:v>5</x:v>
      </x:c>
      <x:c r="AF49" s="131"/>
      <x:c r="AG49" s="132" t="s">
        <x:v>6</x:v>
      </x:c>
      <x:c r="AH49" s="133"/>
      <x:c r="AI49" s="133"/>
      <x:c r="AJ49" s="134" t="s">
        <x:v>7</x:v>
      </x:c>
      <x:c r="AK49" s="135"/>
      <x:c r="AL49" s="135"/>
      <x:c r="AM49" s="135"/>
      <x:c r="AN49" s="136" t="s">
        <x:v>49</x:v>
      </x:c>
      <x:c r="AO49" s="137"/>
      <x:c r="AP49" s="137"/>
      <x:c r="AQ49" s="137"/>
      <x:c r="AR49" s="137"/>
      <x:c r="AS49" s="81" t="s">
        <x:v>50</x:v>
      </x:c>
    </x:row>
    <x:row r="50" s="5" customFormat="1" ht="31">
      <x:c r="A50" s="70" t="s">
        <x:v>51</x:v>
      </x:c>
      <x:c r="B50" s="70" t="s">
        <x:v>52</x:v>
      </x:c>
      <x:c r="C50" s="70" t="s">
        <x:v>53</x:v>
      </x:c>
      <x:c r="D50" s="71" t="s">
        <x:v>54</x:v>
      </x:c>
      <x:c r="E50" s="71"/>
      <x:c r="F50" s="72" t="s">
        <x:v>10</x:v>
      </x:c>
      <x:c r="G50" s="73" t="s">
        <x:v>11</x:v>
      </x:c>
      <x:c r="H50" s="74" t="s">
        <x:v>55</x:v>
      </x:c>
      <x:c r="I50" s="75" t="s">
        <x:v>13</x:v>
      </x:c>
      <x:c r="J50" s="76" t="s">
        <x:v>14</x:v>
      </x:c>
      <x:c r="K50" s="76" t="s">
        <x:v>15</x:v>
      </x:c>
      <x:c r="L50" s="76" t="s">
        <x:v>56</x:v>
      </x:c>
      <x:c r="M50" s="77" t="s">
        <x:v>57</x:v>
      </x:c>
      <x:c r="N50" s="77" t="s">
        <x:v>58</x:v>
      </x:c>
      <x:c r="O50" s="77" t="s">
        <x:v>59</x:v>
      </x:c>
      <x:c r="P50" s="77" t="s">
        <x:v>60</x:v>
      </x:c>
      <x:c r="Q50" s="78" t="s">
        <x:v>21</x:v>
      </x:c>
      <x:c r="R50" s="78" t="s">
        <x:v>22</x:v>
      </x:c>
      <x:c r="S50" s="78" t="s">
        <x:v>61</x:v>
      </x:c>
      <x:c r="T50" s="78" t="s">
        <x:v>62</x:v>
      </x:c>
      <x:c r="U50" s="78" t="s">
        <x:v>63</x:v>
      </x:c>
      <x:c r="V50" s="65"/>
      <x:c r="W50" s="9"/>
      <x:c r="X50" s="79" t="s">
        <x:v>51</x:v>
      </x:c>
      <x:c r="Y50" s="70" t="s">
        <x:v>52</x:v>
      </x:c>
      <x:c r="Z50" s="70" t="s">
        <x:v>53</x:v>
      </x:c>
      <x:c r="AA50" s="71" t="s">
        <x:v>54</x:v>
      </x:c>
      <x:c r="AB50" s="71"/>
      <x:c r="AC50" s="138" t="s">
        <x:v>10</x:v>
      </x:c>
      <x:c r="AD50" s="139" t="s">
        <x:v>11</x:v>
      </x:c>
      <x:c r="AE50" s="130" t="s">
        <x:v>55</x:v>
      </x:c>
      <x:c r="AF50" s="140" t="s">
        <x:v>13</x:v>
      </x:c>
      <x:c r="AG50" s="141" t="s">
        <x:v>14</x:v>
      </x:c>
      <x:c r="AH50" s="142" t="s">
        <x:v>15</x:v>
      </x:c>
      <x:c r="AI50" s="143" t="s">
        <x:v>56</x:v>
      </x:c>
      <x:c r="AJ50" s="144" t="s">
        <x:v>57</x:v>
      </x:c>
      <x:c r="AK50" s="145" t="s">
        <x:v>58</x:v>
      </x:c>
      <x:c r="AL50" s="145" t="s">
        <x:v>59</x:v>
      </x:c>
      <x:c r="AM50" s="146" t="s">
        <x:v>60</x:v>
      </x:c>
      <x:c r="AN50" s="147" t="s">
        <x:v>21</x:v>
      </x:c>
      <x:c r="AO50" s="148" t="s">
        <x:v>22</x:v>
      </x:c>
      <x:c r="AP50" s="148" t="s">
        <x:v>61</x:v>
      </x:c>
      <x:c r="AQ50" s="148" t="s">
        <x:v>62</x:v>
      </x:c>
      <x:c r="AR50" s="148" t="s">
        <x:v>63</x:v>
      </x:c>
      <x:c r="AS50" s="81"/>
    </x:row>
    <x:row r="51">
      <x:c r="A51" s="83" t="s">
        <x:v>27</x:v>
      </x:c>
      <x:c r="B51" s="83">
        <x:v>1</x:v>
      </x:c>
      <x:c r="C51" s="83" t="s">
        <x:v>64</x:v>
      </x:c>
      <x:c r="D51" s="84" t="s">
        <x:v>65</x:v>
      </x:c>
      <x:c r="E51" s="84"/>
      <x:c r="F51" s="85">
        <x:v>12</x:v>
      </x:c>
      <x:c r="G51" s="73"/>
      <x:c r="H51" s="74"/>
      <x:c r="I51" s="75"/>
      <x:c r="J51" s="76"/>
      <x:c r="K51" s="76"/>
      <x:c r="L51" s="76"/>
      <x:c r="M51" s="77"/>
      <x:c r="N51" s="77"/>
      <x:c r="O51" s="77"/>
      <x:c r="P51" s="77"/>
      <x:c r="Q51" s="78"/>
      <x:c r="R51" s="78"/>
      <x:c r="S51" s="78"/>
      <x:c r="T51" s="78"/>
      <x:c r="U51" s="78"/>
      <x:c r="V51" s="149"/>
      <x:c r="W51" s="9"/>
      <x:c r="X51" s="89" t="s">
        <x:v>27</x:v>
      </x:c>
      <x:c r="Y51" s="83">
        <x:v>1</x:v>
      </x:c>
      <x:c r="Z51" s="83" t="s">
        <x:v>64</x:v>
      </x:c>
      <x:c r="AA51" s="84" t="s">
        <x:v>65</x:v>
      </x:c>
      <x:c r="AB51" s="84"/>
      <x:c r="AC51" s="150">
        <x:v>12</x:v>
      </x:c>
      <x:c r="AD51" s="151"/>
      <x:c r="AE51" s="152"/>
      <x:c r="AF51" s="152"/>
      <x:c r="AG51" s="153"/>
      <x:c r="AH51" s="153"/>
      <x:c r="AI51" s="153"/>
      <x:c r="AJ51" s="154"/>
      <x:c r="AK51" s="154"/>
      <x:c r="AL51" s="154"/>
      <x:c r="AM51" s="154"/>
      <x:c r="AN51" s="155"/>
      <x:c r="AO51" s="155"/>
      <x:c r="AP51" s="155"/>
      <x:c r="AQ51" s="155"/>
      <x:c r="AR51" s="156"/>
      <x:c r="AS51" s="90"/>
    </x:row>
    <x:row r="52">
      <x:c r="A52" s="83" t="s">
        <x:v>27</x:v>
      </x:c>
      <x:c r="B52" s="83">
        <x:v>2</x:v>
      </x:c>
      <x:c r="C52" s="83" t="s">
        <x:v>66</x:v>
      </x:c>
      <x:c r="D52" s="84" t="s">
        <x:v>67</x:v>
      </x:c>
      <x:c r="E52" s="84"/>
      <x:c r="F52" s="85">
        <x:v>12</x:v>
      </x:c>
      <x:c r="G52" s="73"/>
      <x:c r="H52" s="74"/>
      <x:c r="I52" s="75"/>
      <x:c r="J52" s="91" t="n">
        <x:f>F52</x:f>
        <x:v>12</x:v>
      </x:c>
      <x:c r="K52" s="91" t="n">
        <x:f t="shared" ref="K52:K55" si="58">F52</x:f>
        <x:v>12</x:v>
      </x:c>
      <x:c r="L52" s="91" t="n">
        <x:f t="shared" ref="L52:L55" si="59">F52</x:f>
        <x:v>12</x:v>
      </x:c>
      <x:c r="M52" s="92" t="n">
        <x:f>F52</x:f>
        <x:v>12</x:v>
      </x:c>
      <x:c r="N52" s="92"/>
      <x:c r="O52" s="92" t="n">
        <x:f>F52</x:f>
        <x:v>12</x:v>
      </x:c>
      <x:c r="P52" s="92"/>
      <x:c r="Q52" s="78"/>
      <x:c r="R52" s="78"/>
      <x:c r="S52" s="78"/>
      <x:c r="T52" s="78"/>
      <x:c r="U52" s="78"/>
      <x:c r="V52" s="149"/>
      <x:c r="W52" s="9"/>
      <x:c r="X52" s="89" t="s">
        <x:v>27</x:v>
      </x:c>
      <x:c r="Y52" s="83">
        <x:v>2</x:v>
      </x:c>
      <x:c r="Z52" s="83" t="s">
        <x:v>66</x:v>
      </x:c>
      <x:c r="AA52" s="84" t="s">
        <x:v>67</x:v>
      </x:c>
      <x:c r="AB52" s="84"/>
      <x:c r="AC52" s="150">
        <x:v>12</x:v>
      </x:c>
      <x:c r="AD52" s="157"/>
      <x:c r="AE52" s="158"/>
      <x:c r="AF52" s="158"/>
      <x:c r="AG52" s="159" t="n">
        <x:f>AC52</x:f>
        <x:v>12</x:v>
      </x:c>
      <x:c r="AH52" s="159" t="n">
        <x:f>AC52</x:f>
        <x:v>12</x:v>
      </x:c>
      <x:c r="AI52" s="159" t="n">
        <x:f>AC52</x:f>
        <x:v>12</x:v>
      </x:c>
      <x:c r="AJ52" s="160" t="n">
        <x:f>AC52</x:f>
        <x:v>12</x:v>
      </x:c>
      <x:c r="AK52" s="161"/>
      <x:c r="AL52" s="160" t="n">
        <x:f>AC52</x:f>
        <x:v>12</x:v>
      </x:c>
      <x:c r="AM52" s="161"/>
      <x:c r="AN52" s="162"/>
      <x:c r="AO52" s="162"/>
      <x:c r="AP52" s="162"/>
      <x:c r="AQ52" s="162"/>
      <x:c r="AR52" s="163"/>
      <x:c r="AS52" s="90"/>
    </x:row>
    <x:row r="53" ht="31">
      <x:c r="A53" s="83" t="s">
        <x:v>27</x:v>
      </x:c>
      <x:c r="B53" s="83">
        <x:v>3</x:v>
      </x:c>
      <x:c r="C53" s="93" t="s">
        <x:v>103</x:v>
      </x:c>
      <x:c r="D53" s="94" t="s">
        <x:v>104</x:v>
      </x:c>
      <x:c r="E53" s="94"/>
      <x:c r="F53" s="85">
        <x:v>12</x:v>
      </x:c>
      <x:c r="G53" s="95"/>
      <x:c r="H53" s="86"/>
      <x:c r="I53" s="87"/>
      <x:c r="J53" s="91" t="n">
        <x:f>IF(F53&gt;0,1,0)</x:f>
        <x:v>1</x:v>
      </x:c>
      <x:c r="K53" s="91" t="n">
        <x:f>IF(F53&gt;0,1,0)</x:f>
        <x:v>1</x:v>
      </x:c>
      <x:c r="L53" s="91" t="n">
        <x:f>IF(F53&gt;0,1,0)</x:f>
        <x:v>1</x:v>
      </x:c>
      <x:c r="M53" s="92" t="n">
        <x:f>IF(F53&gt;0,1,0)</x:f>
        <x:v>1</x:v>
      </x:c>
      <x:c r="N53" s="92"/>
      <x:c r="O53" s="92" t="n">
        <x:f>IF(F53&gt;0,1,0)</x:f>
        <x:v>1</x:v>
      </x:c>
      <x:c r="P53" s="92"/>
      <x:c r="Q53" s="96"/>
      <x:c r="R53" s="96"/>
      <x:c r="S53" s="96"/>
      <x:c r="T53" s="96"/>
      <x:c r="U53" s="96"/>
      <x:c r="V53" s="88" t="s">
        <x:v>105</x:v>
      </x:c>
      <x:c r="W53" s="9"/>
      <x:c r="X53" s="89" t="s">
        <x:v>27</x:v>
      </x:c>
      <x:c r="Y53" s="83">
        <x:v>3</x:v>
      </x:c>
      <x:c r="Z53" s="93" t="s">
        <x:v>103</x:v>
      </x:c>
      <x:c r="AA53" s="94" t="s">
        <x:v>104</x:v>
      </x:c>
      <x:c r="AB53" s="94"/>
      <x:c r="AC53" s="150">
        <x:v>12</x:v>
      </x:c>
      <x:c r="AD53" s="157"/>
      <x:c r="AE53" s="158"/>
      <x:c r="AF53" s="158"/>
      <x:c r="AG53" s="159" t="n">
        <x:f>IF(AC53&gt;0,1,0)</x:f>
        <x:v>1</x:v>
      </x:c>
      <x:c r="AH53" s="159" t="n">
        <x:f>IF(AC53&gt;0,1,0)</x:f>
        <x:v>1</x:v>
      </x:c>
      <x:c r="AI53" s="159" t="n">
        <x:f>IF(AC53&gt;0,1,0)</x:f>
        <x:v>1</x:v>
      </x:c>
      <x:c r="AJ53" s="160" t="n">
        <x:f>IF(AC53&gt;0,1,0)</x:f>
        <x:v>1</x:v>
      </x:c>
      <x:c r="AK53" s="161"/>
      <x:c r="AL53" s="160" t="n">
        <x:f>IF(AC53&gt;0,1,0)</x:f>
        <x:v>1</x:v>
      </x:c>
      <x:c r="AM53" s="161"/>
      <x:c r="AN53" s="162"/>
      <x:c r="AO53" s="162"/>
      <x:c r="AP53" s="162"/>
      <x:c r="AQ53" s="162"/>
      <x:c r="AR53" s="163"/>
      <x:c r="AS53" s="25" t="s">
        <x:v>105</x:v>
      </x:c>
    </x:row>
    <x:row r="54" ht="16">
      <x:c r="A54" s="83" t="s">
        <x:v>27</x:v>
      </x:c>
      <x:c r="B54" s="83">
        <x:v>4</x:v>
      </x:c>
      <x:c r="C54" s="93" t="s">
        <x:v>106</x:v>
      </x:c>
      <x:c r="D54" s="94" t="s">
        <x:v>107</x:v>
      </x:c>
      <x:c r="E54" s="94"/>
      <x:c r="F54" s="85">
        <x:v>12</x:v>
      </x:c>
      <x:c r="G54" s="95"/>
      <x:c r="H54" s="86"/>
      <x:c r="I54" s="87"/>
      <x:c r="J54" s="91" t="n">
        <x:f t="shared" ref="J54" si="60">IF(F54&gt;0,1,0)</x:f>
        <x:v>1</x:v>
      </x:c>
      <x:c r="K54" s="91" t="n">
        <x:f>IF(F54&gt;0,1,0)</x:f>
        <x:v>1</x:v>
      </x:c>
      <x:c r="L54" s="91" t="n">
        <x:f>IF(F54&gt;0,1,0)</x:f>
        <x:v>1</x:v>
      </x:c>
      <x:c r="M54" s="92" t="n">
        <x:f>F54*2</x:f>
        <x:v>24</x:v>
      </x:c>
      <x:c r="N54" s="92"/>
      <x:c r="O54" s="92" t="n">
        <x:f>F54*2</x:f>
        <x:v>24</x:v>
      </x:c>
      <x:c r="P54" s="92"/>
      <x:c r="Q54" s="96"/>
      <x:c r="R54" s="96"/>
      <x:c r="S54" s="96"/>
      <x:c r="T54" s="96"/>
      <x:c r="U54" s="96"/>
      <x:c r="V54" s="88" t="s">
        <x:v>108</x:v>
      </x:c>
      <x:c r="W54" s="9"/>
      <x:c r="X54" s="89" t="s">
        <x:v>27</x:v>
      </x:c>
      <x:c r="Y54" s="83">
        <x:v>4</x:v>
      </x:c>
      <x:c r="Z54" s="93" t="s">
        <x:v>106</x:v>
      </x:c>
      <x:c r="AA54" s="94" t="s">
        <x:v>107</x:v>
      </x:c>
      <x:c r="AB54" s="94"/>
      <x:c r="AC54" s="150">
        <x:v>12</x:v>
      </x:c>
      <x:c r="AD54" s="157"/>
      <x:c r="AE54" s="158"/>
      <x:c r="AF54" s="158"/>
      <x:c r="AG54" s="159" t="n">
        <x:f>IF(AC54&gt;0,1,0)</x:f>
        <x:v>1</x:v>
      </x:c>
      <x:c r="AH54" s="159" t="n">
        <x:f>IF(AC54&gt;0,1,0)</x:f>
        <x:v>1</x:v>
      </x:c>
      <x:c r="AI54" s="159" t="n">
        <x:f>IF(AC54&gt;0,1,0)</x:f>
        <x:v>1</x:v>
      </x:c>
      <x:c r="AJ54" s="160" t="n">
        <x:f>AC54*2</x:f>
        <x:v>24</x:v>
      </x:c>
      <x:c r="AK54" s="161"/>
      <x:c r="AL54" s="160" t="n">
        <x:f>AC54*2</x:f>
        <x:v>24</x:v>
      </x:c>
      <x:c r="AM54" s="161"/>
      <x:c r="AN54" s="162"/>
      <x:c r="AO54" s="162"/>
      <x:c r="AP54" s="162"/>
      <x:c r="AQ54" s="162"/>
      <x:c r="AR54" s="163"/>
      <x:c r="AS54" s="25" t="s">
        <x:v>108</x:v>
      </x:c>
    </x:row>
    <x:row r="55">
      <x:c r="A55" s="83" t="s">
        <x:v>27</x:v>
      </x:c>
      <x:c r="B55" s="83">
        <x:v>5</x:v>
      </x:c>
      <x:c r="C55" s="83" t="s">
        <x:v>66</x:v>
      </x:c>
      <x:c r="D55" s="84" t="s">
        <x:v>67</x:v>
      </x:c>
      <x:c r="E55" s="84"/>
      <x:c r="F55" s="85">
        <x:v>12</x:v>
      </x:c>
      <x:c r="G55" s="73"/>
      <x:c r="H55" s="74"/>
      <x:c r="I55" s="75"/>
      <x:c r="J55" s="91" t="n">
        <x:f>F55</x:f>
        <x:v>12</x:v>
      </x:c>
      <x:c r="K55" s="91">
        <x:f t="shared" si="58"/>
        <x:v>12</x:v>
      </x:c>
      <x:c r="L55" s="91">
        <x:f t="shared" si="59"/>
        <x:v>12</x:v>
      </x:c>
      <x:c r="M55" s="92" t="n">
        <x:f>F55</x:f>
        <x:v>12</x:v>
      </x:c>
      <x:c r="N55" s="92"/>
      <x:c r="O55" s="92" t="n">
        <x:f>F55</x:f>
        <x:v>12</x:v>
      </x:c>
      <x:c r="P55" s="92"/>
      <x:c r="Q55" s="78"/>
      <x:c r="R55" s="78"/>
      <x:c r="S55" s="78"/>
      <x:c r="T55" s="78"/>
      <x:c r="U55" s="78"/>
      <x:c r="V55" s="149"/>
      <x:c r="W55" s="9"/>
      <x:c r="X55" s="89" t="s">
        <x:v>27</x:v>
      </x:c>
      <x:c r="Y55" s="83">
        <x:v>5</x:v>
      </x:c>
      <x:c r="Z55" s="83" t="s">
        <x:v>66</x:v>
      </x:c>
      <x:c r="AA55" s="84" t="s">
        <x:v>67</x:v>
      </x:c>
      <x:c r="AB55" s="84"/>
      <x:c r="AC55" s="150">
        <x:v>12</x:v>
      </x:c>
      <x:c r="AD55" s="157"/>
      <x:c r="AE55" s="158"/>
      <x:c r="AF55" s="158"/>
      <x:c r="AG55" s="159" t="n">
        <x:f>AC55</x:f>
        <x:v>12</x:v>
      </x:c>
      <x:c r="AH55" s="159" t="n">
        <x:f>AC55</x:f>
        <x:v>12</x:v>
      </x:c>
      <x:c r="AI55" s="159" t="n">
        <x:f>AC55</x:f>
        <x:v>12</x:v>
      </x:c>
      <x:c r="AJ55" s="160" t="n">
        <x:f>AC55</x:f>
        <x:v>12</x:v>
      </x:c>
      <x:c r="AK55" s="161"/>
      <x:c r="AL55" s="160" t="n">
        <x:f>AC55</x:f>
        <x:v>12</x:v>
      </x:c>
      <x:c r="AM55" s="161"/>
      <x:c r="AN55" s="162"/>
      <x:c r="AO55" s="162"/>
      <x:c r="AP55" s="162"/>
      <x:c r="AQ55" s="162"/>
      <x:c r="AR55" s="163"/>
      <x:c r="AS55" s="90"/>
    </x:row>
    <x:row r="56">
      <x:c r="A56" s="83" t="s">
        <x:v>27</x:v>
      </x:c>
      <x:c r="B56" s="83">
        <x:v>6</x:v>
      </x:c>
      <x:c r="C56" s="83" t="s">
        <x:v>64</x:v>
      </x:c>
      <x:c r="D56" s="84" t="s">
        <x:v>65</x:v>
      </x:c>
      <x:c r="E56" s="84"/>
      <x:c r="F56" s="85">
        <x:v>12</x:v>
      </x:c>
      <x:c r="G56" s="95"/>
      <x:c r="H56" s="86"/>
      <x:c r="I56" s="87"/>
      <x:c r="J56" s="91"/>
      <x:c r="K56" s="91"/>
      <x:c r="L56" s="91"/>
      <x:c r="M56" s="92"/>
      <x:c r="N56" s="92"/>
      <x:c r="O56" s="92"/>
      <x:c r="P56" s="92"/>
      <x:c r="Q56" s="96"/>
      <x:c r="R56" s="96"/>
      <x:c r="S56" s="96"/>
      <x:c r="T56" s="96"/>
      <x:c r="U56" s="96"/>
      <x:c r="V56" s="88"/>
      <x:c r="W56" s="9"/>
      <x:c r="X56" s="89" t="s">
        <x:v>27</x:v>
      </x:c>
      <x:c r="Y56" s="83">
        <x:v>6</x:v>
      </x:c>
      <x:c r="Z56" s="83" t="s">
        <x:v>64</x:v>
      </x:c>
      <x:c r="AA56" s="84" t="s">
        <x:v>65</x:v>
      </x:c>
      <x:c r="AB56" s="84"/>
      <x:c r="AC56" s="150">
        <x:v>12</x:v>
      </x:c>
      <x:c r="AD56" s="157"/>
      <x:c r="AE56" s="158"/>
      <x:c r="AF56" s="158"/>
      <x:c r="AG56" s="164"/>
      <x:c r="AH56" s="164"/>
      <x:c r="AI56" s="164"/>
      <x:c r="AJ56" s="161"/>
      <x:c r="AK56" s="161"/>
      <x:c r="AL56" s="161"/>
      <x:c r="AM56" s="161"/>
      <x:c r="AN56" s="162"/>
      <x:c r="AO56" s="162"/>
      <x:c r="AP56" s="162"/>
      <x:c r="AQ56" s="162"/>
      <x:c r="AR56" s="163"/>
      <x:c r="AS56" s="90"/>
    </x:row>
    <x:row r="57">
      <x:c r="A57" s="83" t="s">
        <x:v>27</x:v>
      </x:c>
      <x:c r="B57" s="83">
        <x:v>7</x:v>
      </x:c>
      <x:c r="C57" s="83" t="s">
        <x:v>100</x:v>
      </x:c>
      <x:c r="D57" s="84" t="s">
        <x:v>100</x:v>
      </x:c>
      <x:c r="E57" s="84"/>
      <x:c r="F57" s="85">
        <x:v>12</x:v>
      </x:c>
      <x:c r="G57" s="95"/>
      <x:c r="H57" s="86"/>
      <x:c r="I57" s="87"/>
      <x:c r="J57" s="91"/>
      <x:c r="K57" s="91"/>
      <x:c r="L57" s="91"/>
      <x:c r="M57" s="92"/>
      <x:c r="N57" s="92"/>
      <x:c r="O57" s="92"/>
      <x:c r="P57" s="92"/>
      <x:c r="Q57" s="96"/>
      <x:c r="R57" s="96"/>
      <x:c r="S57" s="96"/>
      <x:c r="T57" s="96"/>
      <x:c r="U57" s="96"/>
      <x:c r="V57" s="88"/>
      <x:c r="W57" s="9"/>
      <x:c r="X57" s="89" t="s">
        <x:v>27</x:v>
      </x:c>
      <x:c r="Y57" s="83">
        <x:v>7</x:v>
      </x:c>
      <x:c r="Z57" s="83" t="s">
        <x:v>100</x:v>
      </x:c>
      <x:c r="AA57" s="84" t="s">
        <x:v>100</x:v>
      </x:c>
      <x:c r="AB57" s="84"/>
      <x:c r="AC57" s="150">
        <x:v>12</x:v>
      </x:c>
      <x:c r="AD57" s="165"/>
      <x:c r="AE57" s="166"/>
      <x:c r="AF57" s="166"/>
      <x:c r="AG57" s="167"/>
      <x:c r="AH57" s="167"/>
      <x:c r="AI57" s="167"/>
      <x:c r="AJ57" s="168"/>
      <x:c r="AK57" s="168"/>
      <x:c r="AL57" s="168"/>
      <x:c r="AM57" s="168"/>
      <x:c r="AN57" s="169"/>
      <x:c r="AO57" s="169"/>
      <x:c r="AP57" s="169"/>
      <x:c r="AQ57" s="169"/>
      <x:c r="AR57" s="170"/>
      <x:c r="AS57" s="90"/>
    </x:row>
    <x:row r="58" s="6" customFormat="1">
      <x:c r="A58" s="101" t="s">
        <x:v>101</x:v>
      </x:c>
      <x:c r="B58" s="101"/>
      <x:c r="C58" s="101"/>
      <x:c r="D58" s="101"/>
      <x:c r="E58" s="101"/>
      <x:c r="F58" s="102" t="n">
        <x:f>MAX(F51:F57)</x:f>
        <x:v>12</x:v>
      </x:c>
      <x:c r="G58" s="103" t="n">
        <x:f t="shared" ref="G58:U58" si="61">MAX(G51:G57)</x:f>
        <x:v>0</x:v>
      </x:c>
      <x:c r="H58" s="104">
        <x:f t="shared" si="61"/>
        <x:v>0</x:v>
      </x:c>
      <x:c r="I58" s="104">
        <x:f t="shared" si="61"/>
        <x:v>0</x:v>
      </x:c>
      <x:c r="J58" s="105">
        <x:f t="shared" si="61"/>
        <x:v>12</x:v>
      </x:c>
      <x:c r="K58" s="105">
        <x:f t="shared" si="61"/>
        <x:v>12</x:v>
      </x:c>
      <x:c r="L58" s="105">
        <x:f t="shared" si="61"/>
        <x:v>12</x:v>
      </x:c>
      <x:c r="M58" s="106">
        <x:f t="shared" si="61"/>
        <x:v>24</x:v>
      </x:c>
      <x:c r="N58" s="106">
        <x:f t="shared" si="61"/>
        <x:v>0</x:v>
      </x:c>
      <x:c r="O58" s="106">
        <x:f t="shared" si="61"/>
        <x:v>24</x:v>
      </x:c>
      <x:c r="P58" s="106">
        <x:f t="shared" si="61"/>
        <x:v>0</x:v>
      </x:c>
      <x:c r="Q58" s="107">
        <x:f t="shared" si="61"/>
        <x:v>0</x:v>
      </x:c>
      <x:c r="R58" s="107">
        <x:f t="shared" si="61"/>
        <x:v>0</x:v>
      </x:c>
      <x:c r="S58" s="107">
        <x:f t="shared" si="61"/>
        <x:v>0</x:v>
      </x:c>
      <x:c r="T58" s="107">
        <x:f t="shared" si="61"/>
        <x:v>0</x:v>
      </x:c>
      <x:c r="U58" s="107">
        <x:f t="shared" si="61"/>
        <x:v>0</x:v>
      </x:c>
      <x:c r="V58" s="171"/>
      <x:c r="W58" s="9"/>
      <x:c r="X58" s="109" t="s">
        <x:v>101</x:v>
      </x:c>
      <x:c r="Y58" s="101"/>
      <x:c r="Z58" s="101"/>
      <x:c r="AA58" s="101"/>
      <x:c r="AB58" s="101"/>
      <x:c r="AC58" s="111" t="n">
        <x:f>MAX(AC51:AC57)</x:f>
        <x:v>12</x:v>
      </x:c>
      <x:c r="AD58" s="112" t="n">
        <x:f>MAX(AD51:AD57)</x:f>
        <x:v>0</x:v>
      </x:c>
      <x:c r="AE58" s="113">
        <x:v>0</x:v>
      </x:c>
      <x:c r="AF58" s="114">
        <x:v>0</x:v>
      </x:c>
      <x:c r="AG58" s="115">
        <x:v>12</x:v>
      </x:c>
      <x:c r="AH58" s="116">
        <x:v>12</x:v>
      </x:c>
      <x:c r="AI58" s="117">
        <x:v>12</x:v>
      </x:c>
      <x:c r="AJ58" s="118">
        <x:v>24</x:v>
      </x:c>
      <x:c r="AK58" s="119">
        <x:v>0</x:v>
      </x:c>
      <x:c r="AL58" s="119">
        <x:v>24</x:v>
      </x:c>
      <x:c r="AM58" s="120">
        <x:v>0</x:v>
      </x:c>
      <x:c r="AN58" s="121">
        <x:v>0</x:v>
      </x:c>
      <x:c r="AO58" s="122">
        <x:v>0</x:v>
      </x:c>
      <x:c r="AP58" s="122">
        <x:v>0</x:v>
      </x:c>
      <x:c r="AQ58" s="122">
        <x:v>0</x:v>
      </x:c>
      <x:c r="AR58" s="122">
        <x:v>0</x:v>
      </x:c>
      <x:c r="AS58" s="123"/>
    </x:row>
    <x:row r="59" s="5" customFormat="1">
      <x:c r="A59" s="57" t="s">
        <x:v>109</x:v>
      </x:c>
      <x:c r="B59" s="58"/>
      <x:c r="C59" s="58"/>
      <x:c r="D59" s="58"/>
      <x:c r="E59" s="58"/>
      <x:c r="F59" s="73" t="s">
        <x:v>4</x:v>
      </x:c>
      <x:c r="G59" s="73"/>
      <x:c r="H59" s="74" t="s">
        <x:v>5</x:v>
      </x:c>
      <x:c r="I59" s="75"/>
      <x:c r="J59" s="124" t="s">
        <x:v>6</x:v>
      </x:c>
      <x:c r="K59" s="124"/>
      <x:c r="L59" s="124"/>
      <x:c r="M59" s="125" t="s">
        <x:v>7</x:v>
      </x:c>
      <x:c r="N59" s="125"/>
      <x:c r="O59" s="125"/>
      <x:c r="P59" s="125"/>
      <x:c r="Q59" s="126" t="s">
        <x:v>49</x:v>
      </x:c>
      <x:c r="R59" s="126"/>
      <x:c r="S59" s="126"/>
      <x:c r="T59" s="126"/>
      <x:c r="U59" s="126"/>
      <x:c r="V59" s="65" t="s">
        <x:v>50</x:v>
      </x:c>
      <x:c r="W59" s="9"/>
      <x:c r="X59" s="127" t="s">
        <x:v>109</x:v>
      </x:c>
      <x:c r="Y59" s="58"/>
      <x:c r="Z59" s="58"/>
      <x:c r="AA59" s="58"/>
      <x:c r="AB59" s="58"/>
      <x:c r="AC59" s="128" t="s">
        <x:v>4</x:v>
      </x:c>
      <x:c r="AD59" s="129"/>
      <x:c r="AE59" s="130" t="s">
        <x:v>5</x:v>
      </x:c>
      <x:c r="AF59" s="131"/>
      <x:c r="AG59" s="132" t="s">
        <x:v>6</x:v>
      </x:c>
      <x:c r="AH59" s="133"/>
      <x:c r="AI59" s="133"/>
      <x:c r="AJ59" s="134" t="s">
        <x:v>7</x:v>
      </x:c>
      <x:c r="AK59" s="135"/>
      <x:c r="AL59" s="135"/>
      <x:c r="AM59" s="135"/>
      <x:c r="AN59" s="136" t="s">
        <x:v>49</x:v>
      </x:c>
      <x:c r="AO59" s="137"/>
      <x:c r="AP59" s="137"/>
      <x:c r="AQ59" s="137"/>
      <x:c r="AR59" s="137"/>
      <x:c r="AS59" s="81" t="s">
        <x:v>50</x:v>
      </x:c>
    </x:row>
    <x:row r="60" s="5" customFormat="1" ht="31">
      <x:c r="A60" s="172" t="s">
        <x:v>51</x:v>
      </x:c>
      <x:c r="B60" s="173" t="s">
        <x:v>52</x:v>
      </x:c>
      <x:c r="C60" s="173" t="s">
        <x:v>53</x:v>
      </x:c>
      <x:c r="D60" s="174" t="s">
        <x:v>54</x:v>
      </x:c>
      <x:c r="E60" s="175"/>
      <x:c r="F60" s="72" t="s">
        <x:v>10</x:v>
      </x:c>
      <x:c r="G60" s="73" t="s">
        <x:v>11</x:v>
      </x:c>
      <x:c r="H60" s="74" t="s">
        <x:v>55</x:v>
      </x:c>
      <x:c r="I60" s="75" t="s">
        <x:v>13</x:v>
      </x:c>
      <x:c r="J60" s="76" t="s">
        <x:v>14</x:v>
      </x:c>
      <x:c r="K60" s="76" t="s">
        <x:v>15</x:v>
      </x:c>
      <x:c r="L60" s="76" t="s">
        <x:v>56</x:v>
      </x:c>
      <x:c r="M60" s="77" t="s">
        <x:v>57</x:v>
      </x:c>
      <x:c r="N60" s="77" t="s">
        <x:v>58</x:v>
      </x:c>
      <x:c r="O60" s="77" t="s">
        <x:v>59</x:v>
      </x:c>
      <x:c r="P60" s="77" t="s">
        <x:v>60</x:v>
      </x:c>
      <x:c r="Q60" s="78" t="s">
        <x:v>21</x:v>
      </x:c>
      <x:c r="R60" s="78" t="s">
        <x:v>22</x:v>
      </x:c>
      <x:c r="S60" s="78" t="s">
        <x:v>61</x:v>
      </x:c>
      <x:c r="T60" s="78" t="s">
        <x:v>62</x:v>
      </x:c>
      <x:c r="U60" s="78" t="s">
        <x:v>63</x:v>
      </x:c>
      <x:c r="V60" s="65"/>
      <x:c r="W60" s="9"/>
      <x:c r="X60" s="176" t="s">
        <x:v>51</x:v>
      </x:c>
      <x:c r="Y60" s="173" t="s">
        <x:v>52</x:v>
      </x:c>
      <x:c r="Z60" s="70" t="s">
        <x:v>53</x:v>
      </x:c>
      <x:c r="AA60" s="71" t="s">
        <x:v>54</x:v>
      </x:c>
      <x:c r="AB60" s="71"/>
      <x:c r="AC60" s="177" t="s">
        <x:v>10</x:v>
      </x:c>
      <x:c r="AD60" s="139" t="s">
        <x:v>11</x:v>
      </x:c>
      <x:c r="AE60" s="130" t="s">
        <x:v>55</x:v>
      </x:c>
      <x:c r="AF60" s="140" t="s">
        <x:v>13</x:v>
      </x:c>
      <x:c r="AG60" s="141" t="s">
        <x:v>14</x:v>
      </x:c>
      <x:c r="AH60" s="142" t="s">
        <x:v>15</x:v>
      </x:c>
      <x:c r="AI60" s="143" t="s">
        <x:v>56</x:v>
      </x:c>
      <x:c r="AJ60" s="144" t="s">
        <x:v>57</x:v>
      </x:c>
      <x:c r="AK60" s="145" t="s">
        <x:v>58</x:v>
      </x:c>
      <x:c r="AL60" s="145" t="s">
        <x:v>59</x:v>
      </x:c>
      <x:c r="AM60" s="146" t="s">
        <x:v>60</x:v>
      </x:c>
      <x:c r="AN60" s="147" t="s">
        <x:v>21</x:v>
      </x:c>
      <x:c r="AO60" s="148" t="s">
        <x:v>22</x:v>
      </x:c>
      <x:c r="AP60" s="148" t="s">
        <x:v>61</x:v>
      </x:c>
      <x:c r="AQ60" s="148" t="s">
        <x:v>62</x:v>
      </x:c>
      <x:c r="AR60" s="148" t="s">
        <x:v>63</x:v>
      </x:c>
      <x:c r="AS60" s="81"/>
    </x:row>
    <x:row r="61">
      <x:c r="A61" s="82" t="s">
        <x:v>29</x:v>
      </x:c>
      <x:c r="B61" s="83">
        <x:v>1</x:v>
      </x:c>
      <x:c r="C61" s="83" t="s">
        <x:v>64</x:v>
      </x:c>
      <x:c r="D61" s="178" t="s">
        <x:v>65</x:v>
      </x:c>
      <x:c r="E61" s="179"/>
      <x:c r="F61" s="85">
        <x:v>6</x:v>
      </x:c>
      <x:c r="G61" s="73"/>
      <x:c r="H61" s="74"/>
      <x:c r="I61" s="75"/>
      <x:c r="J61" s="76"/>
      <x:c r="K61" s="76"/>
      <x:c r="L61" s="76"/>
      <x:c r="M61" s="77"/>
      <x:c r="N61" s="77"/>
      <x:c r="O61" s="77"/>
      <x:c r="P61" s="77"/>
      <x:c r="Q61" s="78"/>
      <x:c r="R61" s="78"/>
      <x:c r="S61" s="78"/>
      <x:c r="T61" s="78"/>
      <x:c r="U61" s="78"/>
      <x:c r="V61" s="149"/>
      <x:c r="W61" s="9"/>
      <x:c r="X61" s="89" t="s">
        <x:v>29</x:v>
      </x:c>
      <x:c r="Y61" s="83">
        <x:v>1</x:v>
      </x:c>
      <x:c r="Z61" s="83" t="s">
        <x:v>64</x:v>
      </x:c>
      <x:c r="AA61" s="84" t="s">
        <x:v>65</x:v>
      </x:c>
      <x:c r="AB61" s="84"/>
      <x:c r="AC61" s="180">
        <x:v>6</x:v>
      </x:c>
      <x:c r="AD61" s="181"/>
      <x:c r="AE61" s="152"/>
      <x:c r="AF61" s="152"/>
      <x:c r="AG61" s="153"/>
      <x:c r="AH61" s="153"/>
      <x:c r="AI61" s="153"/>
      <x:c r="AJ61" s="154"/>
      <x:c r="AK61" s="154"/>
      <x:c r="AL61" s="154"/>
      <x:c r="AM61" s="154"/>
      <x:c r="AN61" s="155"/>
      <x:c r="AO61" s="155"/>
      <x:c r="AP61" s="155"/>
      <x:c r="AQ61" s="155"/>
      <x:c r="AR61" s="156"/>
      <x:c r="AS61" s="90"/>
    </x:row>
    <x:row r="62">
      <x:c r="A62" s="82" t="s">
        <x:v>29</x:v>
      </x:c>
      <x:c r="B62" s="83">
        <x:v>2</x:v>
      </x:c>
      <x:c r="C62" s="83" t="s">
        <x:v>66</x:v>
      </x:c>
      <x:c r="D62" s="182" t="s">
        <x:v>67</x:v>
      </x:c>
      <x:c r="E62" s="84"/>
      <x:c r="F62" s="85">
        <x:v>6</x:v>
      </x:c>
      <x:c r="G62" s="73"/>
      <x:c r="H62" s="74"/>
      <x:c r="I62" s="75"/>
      <x:c r="J62" s="91" t="n">
        <x:f>F62</x:f>
        <x:v>6</x:v>
      </x:c>
      <x:c r="K62" s="91" t="n">
        <x:f>F62</x:f>
        <x:v>6</x:v>
      </x:c>
      <x:c r="L62" s="91" t="n">
        <x:f>F62</x:f>
        <x:v>6</x:v>
      </x:c>
      <x:c r="M62" s="92" t="n">
        <x:f>F62</x:f>
        <x:v>6</x:v>
      </x:c>
      <x:c r="N62" s="92"/>
      <x:c r="O62" s="92" t="n">
        <x:f>F62</x:f>
        <x:v>6</x:v>
      </x:c>
      <x:c r="P62" s="92"/>
      <x:c r="Q62" s="78"/>
      <x:c r="R62" s="78"/>
      <x:c r="S62" s="78"/>
      <x:c r="T62" s="78"/>
      <x:c r="U62" s="78"/>
      <x:c r="V62" s="149"/>
      <x:c r="W62" s="9"/>
      <x:c r="X62" s="89" t="s">
        <x:v>29</x:v>
      </x:c>
      <x:c r="Y62" s="83">
        <x:v>2</x:v>
      </x:c>
      <x:c r="Z62" s="83" t="s">
        <x:v>66</x:v>
      </x:c>
      <x:c r="AA62" s="84" t="s">
        <x:v>67</x:v>
      </x:c>
      <x:c r="AB62" s="84"/>
      <x:c r="AC62" s="180">
        <x:v>6</x:v>
      </x:c>
      <x:c r="AD62" s="183"/>
      <x:c r="AE62" s="158"/>
      <x:c r="AF62" s="158"/>
      <x:c r="AG62" s="159" t="n">
        <x:f>AC62</x:f>
        <x:v>6</x:v>
      </x:c>
      <x:c r="AH62" s="159" t="n">
        <x:f>AC62</x:f>
        <x:v>6</x:v>
      </x:c>
      <x:c r="AI62" s="159" t="n">
        <x:f>AC62</x:f>
        <x:v>6</x:v>
      </x:c>
      <x:c r="AJ62" s="160" t="n">
        <x:f>AC62</x:f>
        <x:v>6</x:v>
      </x:c>
      <x:c r="AK62" s="161"/>
      <x:c r="AL62" s="160" t="n">
        <x:f>AC62</x:f>
        <x:v>6</x:v>
      </x:c>
      <x:c r="AM62" s="161"/>
      <x:c r="AN62" s="162"/>
      <x:c r="AO62" s="162"/>
      <x:c r="AP62" s="162"/>
      <x:c r="AQ62" s="162"/>
      <x:c r="AR62" s="163"/>
      <x:c r="AS62" s="90"/>
    </x:row>
    <x:row r="63">
      <x:c r="A63" s="83" t="s">
        <x:v>29</x:v>
      </x:c>
      <x:c r="B63" s="83">
        <x:v>3</x:v>
      </x:c>
      <x:c r="C63" s="93" t="s">
        <x:v>82</x:v>
      </x:c>
      <x:c r="D63" s="94" t="s">
        <x:v>83</x:v>
      </x:c>
      <x:c r="E63" s="94"/>
      <x:c r="F63" s="85">
        <x:v>6</x:v>
      </x:c>
      <x:c r="G63" s="95"/>
      <x:c r="H63" s="86"/>
      <x:c r="I63" s="87"/>
      <x:c r="J63" s="91" t="n">
        <x:f>IF(F63&gt;0,1,0)</x:f>
        <x:v>1</x:v>
      </x:c>
      <x:c r="K63" s="91" t="n">
        <x:f>IF(F63&gt;0,1,0)</x:f>
        <x:v>1</x:v>
      </x:c>
      <x:c r="L63" s="91" t="n">
        <x:f>IF(F63&gt;0,1,0)</x:f>
        <x:v>1</x:v>
      </x:c>
      <x:c r="M63" s="92" t="n">
        <x:f>IF(F63&gt;0,1,0)</x:f>
        <x:v>1</x:v>
      </x:c>
      <x:c r="N63" s="92"/>
      <x:c r="O63" s="92" t="n">
        <x:f>IF(F63&gt;0,1,0)</x:f>
        <x:v>1</x:v>
      </x:c>
      <x:c r="P63" s="92"/>
      <x:c r="Q63" s="96"/>
      <x:c r="R63" s="96"/>
      <x:c r="S63" s="96"/>
      <x:c r="T63" s="96"/>
      <x:c r="U63" s="96"/>
      <x:c r="V63" s="88"/>
      <x:c r="W63" s="9"/>
      <x:c r="X63" s="89" t="s">
        <x:v>29</x:v>
      </x:c>
      <x:c r="Y63" s="83">
        <x:v>3</x:v>
      </x:c>
      <x:c r="Z63" s="93" t="s">
        <x:v>82</x:v>
      </x:c>
      <x:c r="AA63" s="94" t="s">
        <x:v>83</x:v>
      </x:c>
      <x:c r="AB63" s="94"/>
      <x:c r="AC63" s="180">
        <x:v>6</x:v>
      </x:c>
      <x:c r="AD63" s="183"/>
      <x:c r="AE63" s="158"/>
      <x:c r="AF63" s="158"/>
      <x:c r="AG63" s="159" t="n">
        <x:f>IF(AC63&gt;0,1,0)</x:f>
        <x:v>1</x:v>
      </x:c>
      <x:c r="AH63" s="159" t="n">
        <x:f>IF(AC63&gt;0,1,0)</x:f>
        <x:v>1</x:v>
      </x:c>
      <x:c r="AI63" s="159" t="n">
        <x:f>IF(AC63&gt;0,1,0)</x:f>
        <x:v>1</x:v>
      </x:c>
      <x:c r="AJ63" s="160" t="n">
        <x:f>IF(AC63&gt;0,1,0)</x:f>
        <x:v>1</x:v>
      </x:c>
      <x:c r="AK63" s="161"/>
      <x:c r="AL63" s="160" t="n">
        <x:f>IF(AC63&gt;0,1,0)</x:f>
        <x:v>1</x:v>
      </x:c>
      <x:c r="AM63" s="161"/>
      <x:c r="AN63" s="162"/>
      <x:c r="AO63" s="162"/>
      <x:c r="AP63" s="162"/>
      <x:c r="AQ63" s="162"/>
      <x:c r="AR63" s="163"/>
      <x:c r="AS63" s="90"/>
    </x:row>
    <x:row r="64">
      <x:c r="A64" s="83" t="s">
        <x:v>29</x:v>
      </x:c>
      <x:c r="B64" s="83">
        <x:v>4</x:v>
      </x:c>
      <x:c r="C64" s="93" t="s">
        <x:v>68</x:v>
      </x:c>
      <x:c r="D64" s="94" t="s">
        <x:v>69</x:v>
      </x:c>
      <x:c r="E64" s="94"/>
      <x:c r="F64" s="85">
        <x:v>6</x:v>
      </x:c>
      <x:c r="G64" s="95"/>
      <x:c r="H64" s="86"/>
      <x:c r="I64" s="87" t="n">
        <x:f>MIN(F64,3)</x:f>
        <x:v>3</x:v>
      </x:c>
      <x:c r="J64" s="91" t="n">
        <x:f t="shared" ref="J64:J67" si="62">I64</x:f>
        <x:v>3</x:v>
      </x:c>
      <x:c r="K64" s="91" t="n">
        <x:f t="shared" ref="K64:K67" si="63">I64</x:f>
        <x:v>3</x:v>
      </x:c>
      <x:c r="L64" s="91" t="n">
        <x:f t="shared" ref="L64:L67" si="64">I64</x:f>
        <x:v>3</x:v>
      </x:c>
      <x:c r="M64" s="92" t="n">
        <x:f>I64</x:f>
        <x:v>3</x:v>
      </x:c>
      <x:c r="N64" s="92"/>
      <x:c r="O64" s="92" t="n">
        <x:f t="shared" ref="O64:O67" si="65">I64</x:f>
        <x:v>3</x:v>
      </x:c>
      <x:c r="P64" s="92"/>
      <x:c r="Q64" s="96"/>
      <x:c r="R64" s="96"/>
      <x:c r="S64" s="96"/>
      <x:c r="T64" s="96"/>
      <x:c r="U64" s="96"/>
      <x:c r="V64" s="88"/>
      <x:c r="W64" s="9"/>
      <x:c r="X64" s="89" t="s">
        <x:v>29</x:v>
      </x:c>
      <x:c r="Y64" s="83">
        <x:v>4</x:v>
      </x:c>
      <x:c r="Z64" s="93" t="s">
        <x:v>68</x:v>
      </x:c>
      <x:c r="AA64" s="94" t="s">
        <x:v>69</x:v>
      </x:c>
      <x:c r="AB64" s="94"/>
      <x:c r="AC64" s="180">
        <x:v>6</x:v>
      </x:c>
      <x:c r="AD64" s="183"/>
      <x:c r="AE64" s="158"/>
      <x:c r="AF64" s="184" t="n">
        <x:f>MIN(AC64,3)</x:f>
        <x:v>3</x:v>
      </x:c>
      <x:c r="AG64" s="159" t="n">
        <x:f>AF64</x:f>
        <x:v>3</x:v>
      </x:c>
      <x:c r="AH64" s="159" t="n">
        <x:f>AF64</x:f>
        <x:v>3</x:v>
      </x:c>
      <x:c r="AI64" s="159" t="n">
        <x:f>AF64</x:f>
        <x:v>3</x:v>
      </x:c>
      <x:c r="AJ64" s="160" t="n">
        <x:f>AF64</x:f>
        <x:v>3</x:v>
      </x:c>
      <x:c r="AK64" s="161"/>
      <x:c r="AL64" s="160" t="n">
        <x:f>AF64</x:f>
        <x:v>3</x:v>
      </x:c>
      <x:c r="AM64" s="161"/>
      <x:c r="AN64" s="162"/>
      <x:c r="AO64" s="162"/>
      <x:c r="AP64" s="162"/>
      <x:c r="AQ64" s="162"/>
      <x:c r="AR64" s="163"/>
      <x:c r="AS64" s="90"/>
    </x:row>
    <x:row r="65">
      <x:c r="A65" s="83" t="s">
        <x:v>29</x:v>
      </x:c>
      <x:c r="B65" s="83">
        <x:v>5</x:v>
      </x:c>
      <x:c r="C65" s="93" t="s">
        <x:v>84</x:v>
      </x:c>
      <x:c r="D65" s="94" t="s">
        <x:v>110</x:v>
      </x:c>
      <x:c r="E65" s="94"/>
      <x:c r="F65" s="85">
        <x:v>6</x:v>
      </x:c>
      <x:c r="G65" s="95"/>
      <x:c r="H65" s="86" t="n">
        <x:f>IF(F65=0,0,IF(F65&lt;6,3,6))</x:f>
        <x:v>6</x:v>
      </x:c>
      <x:c r="I65" s="87"/>
      <x:c r="J65" s="91" t="n">
        <x:f>H65</x:f>
        <x:v>6</x:v>
      </x:c>
      <x:c r="K65" s="91" t="n">
        <x:f>H65</x:f>
        <x:v>6</x:v>
      </x:c>
      <x:c r="L65" s="91" t="n">
        <x:f>H65</x:f>
        <x:v>6</x:v>
      </x:c>
      <x:c r="M65" s="92"/>
      <x:c r="N65" s="92" t="n">
        <x:f>H65</x:f>
        <x:v>6</x:v>
      </x:c>
      <x:c r="O65" s="92"/>
      <x:c r="P65" s="92" t="n">
        <x:f>H65</x:f>
        <x:v>6</x:v>
      </x:c>
      <x:c r="Q65" s="96"/>
      <x:c r="R65" s="96"/>
      <x:c r="S65" s="96"/>
      <x:c r="T65" s="96"/>
      <x:c r="U65" s="96"/>
      <x:c r="V65" s="88"/>
      <x:c r="W65" s="9"/>
      <x:c r="X65" s="89" t="s">
        <x:v>29</x:v>
      </x:c>
      <x:c r="Y65" s="83">
        <x:v>5</x:v>
      </x:c>
      <x:c r="Z65" s="93" t="s">
        <x:v>84</x:v>
      </x:c>
      <x:c r="AA65" s="94" t="s">
        <x:v>110</x:v>
      </x:c>
      <x:c r="AB65" s="94"/>
      <x:c r="AC65" s="180">
        <x:v>6</x:v>
      </x:c>
      <x:c r="AD65" s="183"/>
      <x:c r="AE65" s="185" t="n">
        <x:f>IF(AC65=0,0,IF(AC65&lt;6,3,6))</x:f>
        <x:v>6</x:v>
      </x:c>
      <x:c r="AF65" s="158"/>
      <x:c r="AG65" s="159" t="n">
        <x:f>AE65</x:f>
        <x:v>6</x:v>
      </x:c>
      <x:c r="AH65" s="159" t="n">
        <x:f>AE65</x:f>
        <x:v>6</x:v>
      </x:c>
      <x:c r="AI65" s="159" t="n">
        <x:f>AE65</x:f>
        <x:v>6</x:v>
      </x:c>
      <x:c r="AJ65" s="161"/>
      <x:c r="AK65" s="160" t="n">
        <x:f>AE65</x:f>
        <x:v>6</x:v>
      </x:c>
      <x:c r="AL65" s="161"/>
      <x:c r="AM65" s="160" t="n">
        <x:f>AE65</x:f>
        <x:v>6</x:v>
      </x:c>
      <x:c r="AN65" s="162"/>
      <x:c r="AO65" s="162"/>
      <x:c r="AP65" s="162"/>
      <x:c r="AQ65" s="162"/>
      <x:c r="AR65" s="163"/>
      <x:c r="AS65" s="90"/>
    </x:row>
    <x:row r="66">
      <x:c r="A66" s="83" t="s">
        <x:v>29</x:v>
      </x:c>
      <x:c r="B66" s="83">
        <x:v>6</x:v>
      </x:c>
      <x:c r="C66" s="93" t="s">
        <x:v>96</x:v>
      </x:c>
      <x:c r="D66" s="94" t="s">
        <x:v>97</x:v>
      </x:c>
      <x:c r="E66" s="94"/>
      <x:c r="F66" s="85">
        <x:v>6</x:v>
      </x:c>
      <x:c r="G66" s="95"/>
      <x:c r="H66" s="86"/>
      <x:c r="I66" s="87" t="n">
        <x:f>MIN(F66,3)</x:f>
        <x:v>3</x:v>
      </x:c>
      <x:c r="J66" s="91">
        <x:f t="shared" si="62"/>
        <x:v>3</x:v>
      </x:c>
      <x:c r="K66" s="91">
        <x:f t="shared" si="63"/>
        <x:v>3</x:v>
      </x:c>
      <x:c r="L66" s="91">
        <x:f t="shared" si="64"/>
        <x:v>3</x:v>
      </x:c>
      <x:c r="M66" s="92" t="n">
        <x:f t="shared" ref="M66:M67" si="66">I66</x:f>
        <x:v>3</x:v>
      </x:c>
      <x:c r="N66" s="92"/>
      <x:c r="O66" s="92">
        <x:f t="shared" si="65"/>
        <x:v>3</x:v>
      </x:c>
      <x:c r="P66" s="92"/>
      <x:c r="Q66" s="96"/>
      <x:c r="R66" s="96"/>
      <x:c r="S66" s="96"/>
      <x:c r="T66" s="96"/>
      <x:c r="U66" s="96"/>
      <x:c r="V66" s="88"/>
      <x:c r="W66" s="9"/>
      <x:c r="X66" s="89" t="s">
        <x:v>29</x:v>
      </x:c>
      <x:c r="Y66" s="83">
        <x:v>6</x:v>
      </x:c>
      <x:c r="Z66" s="93" t="s">
        <x:v>96</x:v>
      </x:c>
      <x:c r="AA66" s="94" t="s">
        <x:v>97</x:v>
      </x:c>
      <x:c r="AB66" s="94"/>
      <x:c r="AC66" s="180">
        <x:v>6</x:v>
      </x:c>
      <x:c r="AD66" s="183"/>
      <x:c r="AE66" s="158"/>
      <x:c r="AF66" s="184" t="n">
        <x:f>MIN(AC66,3)</x:f>
        <x:v>3</x:v>
      </x:c>
      <x:c r="AG66" s="159" t="n">
        <x:f>AF66</x:f>
        <x:v>3</x:v>
      </x:c>
      <x:c r="AH66" s="159" t="n">
        <x:f>AF66</x:f>
        <x:v>3</x:v>
      </x:c>
      <x:c r="AI66" s="159" t="n">
        <x:f>AF66</x:f>
        <x:v>3</x:v>
      </x:c>
      <x:c r="AJ66" s="160" t="n">
        <x:f>AF66</x:f>
        <x:v>3</x:v>
      </x:c>
      <x:c r="AK66" s="161"/>
      <x:c r="AL66" s="160" t="n">
        <x:f>AF66</x:f>
        <x:v>3</x:v>
      </x:c>
      <x:c r="AM66" s="161"/>
      <x:c r="AN66" s="162"/>
      <x:c r="AO66" s="162"/>
      <x:c r="AP66" s="162"/>
      <x:c r="AQ66" s="162"/>
      <x:c r="AR66" s="163"/>
      <x:c r="AS66" s="90"/>
    </x:row>
    <x:row r="67">
      <x:c r="A67" s="98" t="s">
        <x:v>29</x:v>
      </x:c>
      <x:c r="B67" s="98">
        <x:v>7</x:v>
      </x:c>
      <x:c r="C67" s="93" t="s">
        <x:v>98</x:v>
      </x:c>
      <x:c r="D67" s="94" t="s">
        <x:v>99</x:v>
      </x:c>
      <x:c r="E67" s="94"/>
      <x:c r="F67" s="85">
        <x:v>6</x:v>
      </x:c>
      <x:c r="G67" s="95"/>
      <x:c r="H67" s="86"/>
      <x:c r="I67" s="87" t="n">
        <x:f>MIN(F67,3)</x:f>
        <x:v>3</x:v>
      </x:c>
      <x:c r="J67" s="91">
        <x:f t="shared" si="62"/>
        <x:v>3</x:v>
      </x:c>
      <x:c r="K67" s="91">
        <x:f t="shared" si="63"/>
        <x:v>3</x:v>
      </x:c>
      <x:c r="L67" s="91">
        <x:f t="shared" si="64"/>
        <x:v>3</x:v>
      </x:c>
      <x:c r="M67" s="92">
        <x:f t="shared" si="66"/>
        <x:v>3</x:v>
      </x:c>
      <x:c r="N67" s="92"/>
      <x:c r="O67" s="92">
        <x:f t="shared" si="65"/>
        <x:v>3</x:v>
      </x:c>
      <x:c r="P67" s="92"/>
      <x:c r="Q67" s="96"/>
      <x:c r="R67" s="96"/>
      <x:c r="S67" s="96"/>
      <x:c r="T67" s="96"/>
      <x:c r="U67" s="96"/>
      <x:c r="V67" s="88"/>
      <x:c r="W67" s="9"/>
      <x:c r="X67" s="99" t="s">
        <x:v>29</x:v>
      </x:c>
      <x:c r="Y67" s="98">
        <x:v>7</x:v>
      </x:c>
      <x:c r="Z67" s="93" t="s">
        <x:v>98</x:v>
      </x:c>
      <x:c r="AA67" s="94" t="s">
        <x:v>99</x:v>
      </x:c>
      <x:c r="AB67" s="94"/>
      <x:c r="AC67" s="180">
        <x:v>6</x:v>
      </x:c>
      <x:c r="AD67" s="183"/>
      <x:c r="AE67" s="158"/>
      <x:c r="AF67" s="184" t="n">
        <x:f>MIN(AC67,3)</x:f>
        <x:v>3</x:v>
      </x:c>
      <x:c r="AG67" s="159" t="n">
        <x:f>AF67</x:f>
        <x:v>3</x:v>
      </x:c>
      <x:c r="AH67" s="159" t="n">
        <x:f>AF67</x:f>
        <x:v>3</x:v>
      </x:c>
      <x:c r="AI67" s="159" t="n">
        <x:f>AF67</x:f>
        <x:v>3</x:v>
      </x:c>
      <x:c r="AJ67" s="160" t="n">
        <x:f>AF67</x:f>
        <x:v>3</x:v>
      </x:c>
      <x:c r="AK67" s="161"/>
      <x:c r="AL67" s="160" t="n">
        <x:f>AF67</x:f>
        <x:v>3</x:v>
      </x:c>
      <x:c r="AM67" s="161"/>
      <x:c r="AN67" s="162"/>
      <x:c r="AO67" s="162"/>
      <x:c r="AP67" s="162"/>
      <x:c r="AQ67" s="162"/>
      <x:c r="AR67" s="163"/>
      <x:c r="AS67" s="90"/>
    </x:row>
    <x:row r="68">
      <x:c r="A68" s="83" t="s">
        <x:v>29</x:v>
      </x:c>
      <x:c r="B68" s="83">
        <x:v>8</x:v>
      </x:c>
      <x:c r="C68" s="83" t="s">
        <x:v>111</x:v>
      </x:c>
      <x:c r="D68" s="97" t="s">
        <x:v>112</x:v>
      </x:c>
      <x:c r="E68" s="97"/>
      <x:c r="F68" s="85">
        <x:v>6</x:v>
      </x:c>
      <x:c r="G68" s="95"/>
      <x:c r="H68" s="86"/>
      <x:c r="I68" s="87"/>
      <x:c r="J68" s="91" t="n">
        <x:f>F68</x:f>
        <x:v>6</x:v>
      </x:c>
      <x:c r="K68" s="91" t="n">
        <x:f>F68</x:f>
        <x:v>6</x:v>
      </x:c>
      <x:c r="L68" s="91" t="n">
        <x:f>F68</x:f>
        <x:v>6</x:v>
      </x:c>
      <x:c r="M68" s="92" t="n">
        <x:f>F68</x:f>
        <x:v>6</x:v>
      </x:c>
      <x:c r="N68" s="92"/>
      <x:c r="O68" s="92" t="n">
        <x:f>F68</x:f>
        <x:v>6</x:v>
      </x:c>
      <x:c r="P68" s="92"/>
      <x:c r="Q68" s="96" t="n">
        <x:f>F68</x:f>
        <x:v>6</x:v>
      </x:c>
      <x:c r="R68" s="96" t="n">
        <x:f>F68*3</x:f>
        <x:v>18</x:v>
      </x:c>
      <x:c r="S68" s="96" t="n">
        <x:f>F68*3</x:f>
        <x:v>18</x:v>
      </x:c>
      <x:c r="T68" s="96" t="n">
        <x:f>F68*3</x:f>
        <x:v>18</x:v>
      </x:c>
      <x:c r="U68" s="96" t="n">
        <x:f>F68*3</x:f>
        <x:v>18</x:v>
      </x:c>
      <x:c r="V68" s="88"/>
      <x:c r="W68" s="9"/>
      <x:c r="X68" s="89" t="s">
        <x:v>29</x:v>
      </x:c>
      <x:c r="Y68" s="83">
        <x:v>8</x:v>
      </x:c>
      <x:c r="Z68" s="83" t="s">
        <x:v>111</x:v>
      </x:c>
      <x:c r="AA68" s="97" t="s">
        <x:v>112</x:v>
      </x:c>
      <x:c r="AB68" s="97"/>
      <x:c r="AC68" s="186">
        <x:v>6</x:v>
      </x:c>
      <x:c r="AD68" s="183"/>
      <x:c r="AE68" s="158"/>
      <x:c r="AF68" s="158"/>
      <x:c r="AG68" s="159" t="n">
        <x:f>AC68</x:f>
        <x:v>6</x:v>
      </x:c>
      <x:c r="AH68" s="159" t="n">
        <x:f>AC68</x:f>
        <x:v>6</x:v>
      </x:c>
      <x:c r="AI68" s="159" t="n">
        <x:f>AC68</x:f>
        <x:v>6</x:v>
      </x:c>
      <x:c r="AJ68" s="160" t="n">
        <x:f>AC68</x:f>
        <x:v>6</x:v>
      </x:c>
      <x:c r="AK68" s="161"/>
      <x:c r="AL68" s="160" t="n">
        <x:f>AC68</x:f>
        <x:v>6</x:v>
      </x:c>
      <x:c r="AM68" s="161"/>
      <x:c r="AN68" s="187" t="n">
        <x:f>AC68</x:f>
        <x:v>6</x:v>
      </x:c>
      <x:c r="AO68" s="187" t="n">
        <x:f>AC68*3</x:f>
        <x:v>18</x:v>
      </x:c>
      <x:c r="AP68" s="187" t="n">
        <x:f>AC68*3</x:f>
        <x:v>18</x:v>
      </x:c>
      <x:c r="AQ68" s="187" t="n">
        <x:f>AC68*3</x:f>
        <x:v>18</x:v>
      </x:c>
      <x:c r="AR68" s="188" t="n">
        <x:f>AC68*3</x:f>
        <x:v>18</x:v>
      </x:c>
      <x:c r="AS68" s="90"/>
    </x:row>
    <x:row r="69" s="1" customFormat="1">
      <x:c r="A69" s="83" t="s">
        <x:v>29</x:v>
      </x:c>
      <x:c r="B69" s="83">
        <x:v>9</x:v>
      </x:c>
      <x:c r="C69" s="83" t="s">
        <x:v>66</x:v>
      </x:c>
      <x:c r="D69" s="84" t="s">
        <x:v>67</x:v>
      </x:c>
      <x:c r="E69" s="84"/>
      <x:c r="F69" s="85">
        <x:v>6</x:v>
      </x:c>
      <x:c r="G69" s="73"/>
      <x:c r="H69" s="74"/>
      <x:c r="I69" s="75"/>
      <x:c r="J69" s="91" t="n">
        <x:f>F69</x:f>
        <x:v>6</x:v>
      </x:c>
      <x:c r="K69" s="91" t="n">
        <x:f>F69</x:f>
        <x:v>6</x:v>
      </x:c>
      <x:c r="L69" s="91" t="n">
        <x:f>F69</x:f>
        <x:v>6</x:v>
      </x:c>
      <x:c r="M69" s="92" t="n">
        <x:f>F69</x:f>
        <x:v>6</x:v>
      </x:c>
      <x:c r="N69" s="92"/>
      <x:c r="O69" s="92" t="n">
        <x:f>F69</x:f>
        <x:v>6</x:v>
      </x:c>
      <x:c r="P69" s="92"/>
      <x:c r="Q69" s="78"/>
      <x:c r="R69" s="78"/>
      <x:c r="S69" s="78"/>
      <x:c r="T69" s="78"/>
      <x:c r="U69" s="78"/>
      <x:c r="V69" s="149"/>
      <x:c r="W69" s="9"/>
      <x:c r="X69" s="89" t="s">
        <x:v>29</x:v>
      </x:c>
      <x:c r="Y69" s="83">
        <x:v>9</x:v>
      </x:c>
      <x:c r="Z69" s="83" t="s">
        <x:v>66</x:v>
      </x:c>
      <x:c r="AA69" s="84" t="s">
        <x:v>67</x:v>
      </x:c>
      <x:c r="AB69" s="84"/>
      <x:c r="AC69" s="186">
        <x:v>6</x:v>
      </x:c>
      <x:c r="AD69" s="183"/>
      <x:c r="AE69" s="158"/>
      <x:c r="AF69" s="158"/>
      <x:c r="AG69" s="159" t="n">
        <x:f>AC69</x:f>
        <x:v>6</x:v>
      </x:c>
      <x:c r="AH69" s="159" t="n">
        <x:f>AC69</x:f>
        <x:v>6</x:v>
      </x:c>
      <x:c r="AI69" s="159" t="n">
        <x:f>AC69</x:f>
        <x:v>6</x:v>
      </x:c>
      <x:c r="AJ69" s="160" t="n">
        <x:f>AC69</x:f>
        <x:v>6</x:v>
      </x:c>
      <x:c r="AK69" s="161"/>
      <x:c r="AL69" s="160" t="n">
        <x:f>AC69</x:f>
        <x:v>6</x:v>
      </x:c>
      <x:c r="AM69" s="161"/>
      <x:c r="AN69" s="162"/>
      <x:c r="AO69" s="162"/>
      <x:c r="AP69" s="162"/>
      <x:c r="AQ69" s="162"/>
      <x:c r="AR69" s="163"/>
      <x:c r="AS69" s="90"/>
    </x:row>
    <x:row r="70" s="1" customFormat="1">
      <x:c r="A70" s="83" t="s">
        <x:v>29</x:v>
      </x:c>
      <x:c r="B70" s="83">
        <x:v>10</x:v>
      </x:c>
      <x:c r="C70" s="83" t="s">
        <x:v>64</x:v>
      </x:c>
      <x:c r="D70" s="84" t="s">
        <x:v>65</x:v>
      </x:c>
      <x:c r="E70" s="84"/>
      <x:c r="F70" s="85">
        <x:v>6</x:v>
      </x:c>
      <x:c r="G70" s="73"/>
      <x:c r="H70" s="74"/>
      <x:c r="I70" s="74"/>
      <x:c r="J70" s="124"/>
      <x:c r="K70" s="124"/>
      <x:c r="L70" s="124"/>
      <x:c r="M70" s="125"/>
      <x:c r="N70" s="125"/>
      <x:c r="O70" s="125"/>
      <x:c r="P70" s="125"/>
      <x:c r="Q70" s="126"/>
      <x:c r="R70" s="126"/>
      <x:c r="S70" s="126"/>
      <x:c r="T70" s="126"/>
      <x:c r="U70" s="126"/>
      <x:c r="V70" s="88"/>
      <x:c r="W70" s="9"/>
      <x:c r="X70" s="89" t="s">
        <x:v>29</x:v>
      </x:c>
      <x:c r="Y70" s="83">
        <x:v>10</x:v>
      </x:c>
      <x:c r="Z70" s="83" t="s">
        <x:v>64</x:v>
      </x:c>
      <x:c r="AA70" s="84" t="s">
        <x:v>65</x:v>
      </x:c>
      <x:c r="AB70" s="84"/>
      <x:c r="AC70" s="186">
        <x:v>6</x:v>
      </x:c>
      <x:c r="AD70" s="183"/>
      <x:c r="AE70" s="158"/>
      <x:c r="AF70" s="158"/>
      <x:c r="AG70" s="164"/>
      <x:c r="AH70" s="164"/>
      <x:c r="AI70" s="164"/>
      <x:c r="AJ70" s="161"/>
      <x:c r="AK70" s="161"/>
      <x:c r="AL70" s="161"/>
      <x:c r="AM70" s="161"/>
      <x:c r="AN70" s="162"/>
      <x:c r="AO70" s="162"/>
      <x:c r="AP70" s="162"/>
      <x:c r="AQ70" s="162"/>
      <x:c r="AR70" s="163"/>
      <x:c r="AS70" s="90"/>
    </x:row>
    <x:row r="71" s="1" customFormat="1">
      <x:c r="A71" s="83" t="s">
        <x:v>29</x:v>
      </x:c>
      <x:c r="B71" s="83">
        <x:v>11</x:v>
      </x:c>
      <x:c r="C71" s="83" t="s">
        <x:v>100</x:v>
      </x:c>
      <x:c r="D71" s="84" t="s">
        <x:v>100</x:v>
      </x:c>
      <x:c r="E71" s="84"/>
      <x:c r="F71" s="85">
        <x:v>6</x:v>
      </x:c>
      <x:c r="G71" s="73"/>
      <x:c r="H71" s="74"/>
      <x:c r="I71" s="74"/>
      <x:c r="J71" s="124"/>
      <x:c r="K71" s="124"/>
      <x:c r="L71" s="124"/>
      <x:c r="M71" s="125"/>
      <x:c r="N71" s="125"/>
      <x:c r="O71" s="125"/>
      <x:c r="P71" s="125"/>
      <x:c r="Q71" s="126"/>
      <x:c r="R71" s="126"/>
      <x:c r="S71" s="126"/>
      <x:c r="T71" s="126"/>
      <x:c r="U71" s="126"/>
      <x:c r="V71" s="88"/>
      <x:c r="W71" s="9"/>
      <x:c r="X71" s="89" t="s">
        <x:v>29</x:v>
      </x:c>
      <x:c r="Y71" s="83">
        <x:v>11</x:v>
      </x:c>
      <x:c r="Z71" s="83" t="s">
        <x:v>100</x:v>
      </x:c>
      <x:c r="AA71" s="84" t="s">
        <x:v>100</x:v>
      </x:c>
      <x:c r="AB71" s="84"/>
      <x:c r="AC71" s="186">
        <x:v>6</x:v>
      </x:c>
      <x:c r="AD71" s="183"/>
      <x:c r="AE71" s="158"/>
      <x:c r="AF71" s="158"/>
      <x:c r="AG71" s="164"/>
      <x:c r="AH71" s="164"/>
      <x:c r="AI71" s="164"/>
      <x:c r="AJ71" s="161"/>
      <x:c r="AK71" s="161"/>
      <x:c r="AL71" s="161"/>
      <x:c r="AM71" s="161"/>
      <x:c r="AN71" s="162"/>
      <x:c r="AO71" s="162"/>
      <x:c r="AP71" s="162"/>
      <x:c r="AQ71" s="162"/>
      <x:c r="AR71" s="163"/>
      <x:c r="AS71" s="90"/>
    </x:row>
    <x:row r="72" s="6" customFormat="1">
      <x:c r="A72" s="101" t="s">
        <x:v>101</x:v>
      </x:c>
      <x:c r="B72" s="101"/>
      <x:c r="C72" s="101"/>
      <x:c r="D72" s="101"/>
      <x:c r="E72" s="101"/>
      <x:c r="F72" s="102" t="n">
        <x:f>MAX(F61:F71)</x:f>
        <x:v>6</x:v>
      </x:c>
      <x:c r="G72" s="103" t="n">
        <x:f t="shared" ref="G72:U72" si="67">MAX(G61:G71)</x:f>
        <x:v>0</x:v>
      </x:c>
      <x:c r="H72" s="104">
        <x:f t="shared" si="67"/>
        <x:v>6</x:v>
      </x:c>
      <x:c r="I72" s="104">
        <x:f t="shared" si="67"/>
        <x:v>3</x:v>
      </x:c>
      <x:c r="J72" s="105">
        <x:f t="shared" si="67"/>
        <x:v>6</x:v>
      </x:c>
      <x:c r="K72" s="105">
        <x:f t="shared" si="67"/>
        <x:v>6</x:v>
      </x:c>
      <x:c r="L72" s="105">
        <x:f t="shared" si="67"/>
        <x:v>6</x:v>
      </x:c>
      <x:c r="M72" s="106">
        <x:f t="shared" si="67"/>
        <x:v>6</x:v>
      </x:c>
      <x:c r="N72" s="106">
        <x:f t="shared" si="67"/>
        <x:v>6</x:v>
      </x:c>
      <x:c r="O72" s="106">
        <x:f t="shared" si="67"/>
        <x:v>6</x:v>
      </x:c>
      <x:c r="P72" s="106">
        <x:f t="shared" si="67"/>
        <x:v>6</x:v>
      </x:c>
      <x:c r="Q72" s="107">
        <x:f t="shared" si="67"/>
        <x:v>6</x:v>
      </x:c>
      <x:c r="R72" s="107">
        <x:f t="shared" si="67"/>
        <x:v>18</x:v>
      </x:c>
      <x:c r="S72" s="107">
        <x:f t="shared" si="67"/>
        <x:v>18</x:v>
      </x:c>
      <x:c r="T72" s="107">
        <x:f t="shared" si="67"/>
        <x:v>18</x:v>
      </x:c>
      <x:c r="U72" s="107">
        <x:f t="shared" si="67"/>
        <x:v>18</x:v>
      </x:c>
      <x:c r="V72" s="171"/>
      <x:c r="W72" s="9"/>
      <x:c r="X72" s="109" t="s">
        <x:v>101</x:v>
      </x:c>
      <x:c r="Y72" s="101"/>
      <x:c r="Z72" s="101"/>
      <x:c r="AA72" s="101"/>
      <x:c r="AB72" s="101"/>
      <x:c r="AC72" s="111" t="n">
        <x:f>MAX(AC61:AC71)</x:f>
        <x:v>6</x:v>
      </x:c>
      <x:c r="AD72" s="189" t="n">
        <x:f>MAX(AD61:AD71)</x:f>
        <x:v>0</x:v>
      </x:c>
      <x:c r="AE72" s="190">
        <x:v>6</x:v>
      </x:c>
      <x:c r="AF72" s="190">
        <x:v>3</x:v>
      </x:c>
      <x:c r="AG72" s="191">
        <x:v>6</x:v>
      </x:c>
      <x:c r="AH72" s="191">
        <x:v>6</x:v>
      </x:c>
      <x:c r="AI72" s="191">
        <x:v>6</x:v>
      </x:c>
      <x:c r="AJ72" s="192">
        <x:v>6</x:v>
      </x:c>
      <x:c r="AK72" s="192">
        <x:v>6</x:v>
      </x:c>
      <x:c r="AL72" s="192">
        <x:v>6</x:v>
      </x:c>
      <x:c r="AM72" s="192">
        <x:v>6</x:v>
      </x:c>
      <x:c r="AN72" s="193">
        <x:v>6</x:v>
      </x:c>
      <x:c r="AO72" s="193">
        <x:v>18</x:v>
      </x:c>
      <x:c r="AP72" s="193">
        <x:v>18</x:v>
      </x:c>
      <x:c r="AQ72" s="193">
        <x:v>18</x:v>
      </x:c>
      <x:c r="AR72" s="194">
        <x:v>18</x:v>
      </x:c>
      <x:c r="AS72" s="123"/>
    </x:row>
    <x:row r="73" s="5" customFormat="1">
      <x:c r="A73" s="57" t="s">
        <x:v>113</x:v>
      </x:c>
      <x:c r="B73" s="58"/>
      <x:c r="C73" s="58"/>
      <x:c r="D73" s="58"/>
      <x:c r="E73" s="58"/>
      <x:c r="F73" s="73" t="s">
        <x:v>4</x:v>
      </x:c>
      <x:c r="G73" s="73"/>
      <x:c r="H73" s="74" t="s">
        <x:v>5</x:v>
      </x:c>
      <x:c r="I73" s="75"/>
      <x:c r="J73" s="124" t="s">
        <x:v>6</x:v>
      </x:c>
      <x:c r="K73" s="124"/>
      <x:c r="L73" s="124"/>
      <x:c r="M73" s="125" t="s">
        <x:v>7</x:v>
      </x:c>
      <x:c r="N73" s="125"/>
      <x:c r="O73" s="125"/>
      <x:c r="P73" s="125"/>
      <x:c r="Q73" s="126" t="s">
        <x:v>49</x:v>
      </x:c>
      <x:c r="R73" s="126"/>
      <x:c r="S73" s="126"/>
      <x:c r="T73" s="126"/>
      <x:c r="U73" s="126"/>
      <x:c r="V73" s="65" t="s">
        <x:v>50</x:v>
      </x:c>
      <x:c r="W73" s="9"/>
      <x:c r="X73" s="127" t="s">
        <x:v>113</x:v>
      </x:c>
      <x:c r="Y73" s="58"/>
      <x:c r="Z73" s="58"/>
      <x:c r="AA73" s="58"/>
      <x:c r="AB73" s="58"/>
      <x:c r="AC73" s="128" t="s">
        <x:v>4</x:v>
      </x:c>
      <x:c r="AD73" s="129"/>
      <x:c r="AE73" s="195" t="s">
        <x:v>5</x:v>
      </x:c>
      <x:c r="AF73" s="131"/>
      <x:c r="AG73" s="196" t="s">
        <x:v>6</x:v>
      </x:c>
      <x:c r="AH73" s="133"/>
      <x:c r="AI73" s="133"/>
      <x:c r="AJ73" s="197" t="s">
        <x:v>7</x:v>
      </x:c>
      <x:c r="AK73" s="135"/>
      <x:c r="AL73" s="135"/>
      <x:c r="AM73" s="135"/>
      <x:c r="AN73" s="198" t="s">
        <x:v>49</x:v>
      </x:c>
      <x:c r="AO73" s="137"/>
      <x:c r="AP73" s="137"/>
      <x:c r="AQ73" s="137"/>
      <x:c r="AR73" s="137"/>
      <x:c r="AS73" s="81" t="s">
        <x:v>50</x:v>
      </x:c>
    </x:row>
    <x:row r="74" s="5" customFormat="1" ht="31">
      <x:c r="A74" s="70" t="s">
        <x:v>51</x:v>
      </x:c>
      <x:c r="B74" s="70" t="s">
        <x:v>52</x:v>
      </x:c>
      <x:c r="C74" s="70" t="s">
        <x:v>53</x:v>
      </x:c>
      <x:c r="D74" s="71" t="s">
        <x:v>54</x:v>
      </x:c>
      <x:c r="E74" s="71"/>
      <x:c r="F74" s="72" t="s">
        <x:v>10</x:v>
      </x:c>
      <x:c r="G74" s="73" t="s">
        <x:v>11</x:v>
      </x:c>
      <x:c r="H74" s="74" t="s">
        <x:v>55</x:v>
      </x:c>
      <x:c r="I74" s="75" t="s">
        <x:v>13</x:v>
      </x:c>
      <x:c r="J74" s="76" t="s">
        <x:v>14</x:v>
      </x:c>
      <x:c r="K74" s="76" t="s">
        <x:v>15</x:v>
      </x:c>
      <x:c r="L74" s="76" t="s">
        <x:v>56</x:v>
      </x:c>
      <x:c r="M74" s="77" t="s">
        <x:v>57</x:v>
      </x:c>
      <x:c r="N74" s="77" t="s">
        <x:v>58</x:v>
      </x:c>
      <x:c r="O74" s="77" t="s">
        <x:v>59</x:v>
      </x:c>
      <x:c r="P74" s="77" t="s">
        <x:v>60</x:v>
      </x:c>
      <x:c r="Q74" s="78" t="s">
        <x:v>21</x:v>
      </x:c>
      <x:c r="R74" s="78" t="s">
        <x:v>22</x:v>
      </x:c>
      <x:c r="S74" s="78" t="s">
        <x:v>61</x:v>
      </x:c>
      <x:c r="T74" s="78" t="s">
        <x:v>62</x:v>
      </x:c>
      <x:c r="U74" s="78" t="s">
        <x:v>63</x:v>
      </x:c>
      <x:c r="V74" s="65"/>
      <x:c r="W74" s="9"/>
      <x:c r="X74" s="79" t="s">
        <x:v>51</x:v>
      </x:c>
      <x:c r="Y74" s="70" t="s">
        <x:v>52</x:v>
      </x:c>
      <x:c r="Z74" s="70" t="s">
        <x:v>53</x:v>
      </x:c>
      <x:c r="AA74" s="71" t="s">
        <x:v>54</x:v>
      </x:c>
      <x:c r="AB74" s="71"/>
      <x:c r="AC74" s="138" t="s">
        <x:v>10</x:v>
      </x:c>
      <x:c r="AD74" s="139" t="s">
        <x:v>11</x:v>
      </x:c>
      <x:c r="AE74" s="130" t="s">
        <x:v>55</x:v>
      </x:c>
      <x:c r="AF74" s="140" t="s">
        <x:v>13</x:v>
      </x:c>
      <x:c r="AG74" s="141" t="s">
        <x:v>14</x:v>
      </x:c>
      <x:c r="AH74" s="142" t="s">
        <x:v>15</x:v>
      </x:c>
      <x:c r="AI74" s="143" t="s">
        <x:v>56</x:v>
      </x:c>
      <x:c r="AJ74" s="144" t="s">
        <x:v>57</x:v>
      </x:c>
      <x:c r="AK74" s="145" t="s">
        <x:v>58</x:v>
      </x:c>
      <x:c r="AL74" s="145" t="s">
        <x:v>59</x:v>
      </x:c>
      <x:c r="AM74" s="146" t="s">
        <x:v>60</x:v>
      </x:c>
      <x:c r="AN74" s="147" t="s">
        <x:v>21</x:v>
      </x:c>
      <x:c r="AO74" s="148" t="s">
        <x:v>22</x:v>
      </x:c>
      <x:c r="AP74" s="148" t="s">
        <x:v>61</x:v>
      </x:c>
      <x:c r="AQ74" s="148" t="s">
        <x:v>62</x:v>
      </x:c>
      <x:c r="AR74" s="148" t="s">
        <x:v>63</x:v>
      </x:c>
      <x:c r="AS74" s="81"/>
    </x:row>
    <x:row r="75">
      <x:c r="A75" s="83" t="s">
        <x:v>30</x:v>
      </x:c>
      <x:c r="B75" s="83">
        <x:v>1</x:v>
      </x:c>
      <x:c r="C75" s="83" t="s">
        <x:v>64</x:v>
      </x:c>
      <x:c r="D75" s="84" t="s">
        <x:v>65</x:v>
      </x:c>
      <x:c r="E75" s="84"/>
      <x:c r="F75" s="85">
        <x:v>6</x:v>
      </x:c>
      <x:c r="G75" s="73"/>
      <x:c r="H75" s="74"/>
      <x:c r="I75" s="75"/>
      <x:c r="J75" s="76"/>
      <x:c r="K75" s="76"/>
      <x:c r="L75" s="76"/>
      <x:c r="M75" s="77"/>
      <x:c r="N75" s="77"/>
      <x:c r="O75" s="77"/>
      <x:c r="P75" s="77"/>
      <x:c r="Q75" s="78"/>
      <x:c r="R75" s="78"/>
      <x:c r="S75" s="78"/>
      <x:c r="T75" s="78"/>
      <x:c r="U75" s="78"/>
      <x:c r="V75" s="149"/>
      <x:c r="W75" s="9"/>
      <x:c r="X75" s="89" t="s">
        <x:v>30</x:v>
      </x:c>
      <x:c r="Y75" s="83">
        <x:v>1</x:v>
      </x:c>
      <x:c r="Z75" s="83" t="s">
        <x:v>64</x:v>
      </x:c>
      <x:c r="AA75" s="84" t="s">
        <x:v>65</x:v>
      </x:c>
      <x:c r="AB75" s="84"/>
      <x:c r="AC75" s="150">
        <x:v>6</x:v>
      </x:c>
      <x:c r="AD75" s="151"/>
      <x:c r="AE75" s="152"/>
      <x:c r="AF75" s="152"/>
      <x:c r="AG75" s="153"/>
      <x:c r="AH75" s="153"/>
      <x:c r="AI75" s="153"/>
      <x:c r="AJ75" s="154"/>
      <x:c r="AK75" s="154"/>
      <x:c r="AL75" s="154"/>
      <x:c r="AM75" s="154"/>
      <x:c r="AN75" s="155"/>
      <x:c r="AO75" s="155"/>
      <x:c r="AP75" s="155"/>
      <x:c r="AQ75" s="155"/>
      <x:c r="AR75" s="156"/>
      <x:c r="AS75" s="90"/>
    </x:row>
    <x:row r="76">
      <x:c r="A76" s="83" t="s">
        <x:v>30</x:v>
      </x:c>
      <x:c r="B76" s="83">
        <x:v>2</x:v>
      </x:c>
      <x:c r="C76" s="83" t="s">
        <x:v>66</x:v>
      </x:c>
      <x:c r="D76" s="84" t="s">
        <x:v>67</x:v>
      </x:c>
      <x:c r="E76" s="84"/>
      <x:c r="F76" s="85">
        <x:v>6</x:v>
      </x:c>
      <x:c r="G76" s="73"/>
      <x:c r="H76" s="74"/>
      <x:c r="I76" s="75"/>
      <x:c r="J76" s="91" t="n">
        <x:f>F76</x:f>
        <x:v>6</x:v>
      </x:c>
      <x:c r="K76" s="91" t="n">
        <x:f>F76</x:f>
        <x:v>6</x:v>
      </x:c>
      <x:c r="L76" s="91" t="n">
        <x:f>F76</x:f>
        <x:v>6</x:v>
      </x:c>
      <x:c r="M76" s="92" t="n">
        <x:f>F76</x:f>
        <x:v>6</x:v>
      </x:c>
      <x:c r="N76" s="92"/>
      <x:c r="O76" s="92" t="n">
        <x:f>F76</x:f>
        <x:v>6</x:v>
      </x:c>
      <x:c r="P76" s="92"/>
      <x:c r="Q76" s="78"/>
      <x:c r="R76" s="78"/>
      <x:c r="S76" s="78"/>
      <x:c r="T76" s="78"/>
      <x:c r="U76" s="78"/>
      <x:c r="V76" s="149"/>
      <x:c r="W76" s="9"/>
      <x:c r="X76" s="89" t="s">
        <x:v>30</x:v>
      </x:c>
      <x:c r="Y76" s="83">
        <x:v>2</x:v>
      </x:c>
      <x:c r="Z76" s="83" t="s">
        <x:v>66</x:v>
      </x:c>
      <x:c r="AA76" s="84" t="s">
        <x:v>67</x:v>
      </x:c>
      <x:c r="AB76" s="84"/>
      <x:c r="AC76" s="150">
        <x:v>6</x:v>
      </x:c>
      <x:c r="AD76" s="157"/>
      <x:c r="AE76" s="158"/>
      <x:c r="AF76" s="158"/>
      <x:c r="AG76" s="159" t="n">
        <x:f>AC76</x:f>
        <x:v>6</x:v>
      </x:c>
      <x:c r="AH76" s="159" t="n">
        <x:f>AC76</x:f>
        <x:v>6</x:v>
      </x:c>
      <x:c r="AI76" s="159" t="n">
        <x:f>AC76</x:f>
        <x:v>6</x:v>
      </x:c>
      <x:c r="AJ76" s="160" t="n">
        <x:f>AC76</x:f>
        <x:v>6</x:v>
      </x:c>
      <x:c r="AK76" s="161"/>
      <x:c r="AL76" s="160" t="n">
        <x:f>AC76</x:f>
        <x:v>6</x:v>
      </x:c>
      <x:c r="AM76" s="161"/>
      <x:c r="AN76" s="162"/>
      <x:c r="AO76" s="162"/>
      <x:c r="AP76" s="162"/>
      <x:c r="AQ76" s="162"/>
      <x:c r="AR76" s="163"/>
      <x:c r="AS76" s="90"/>
    </x:row>
    <x:row r="77">
      <x:c r="A77" s="83" t="s">
        <x:v>30</x:v>
      </x:c>
      <x:c r="B77" s="83">
        <x:v>3</x:v>
      </x:c>
      <x:c r="C77" s="93" t="s">
        <x:v>114</x:v>
      </x:c>
      <x:c r="D77" s="94" t="s">
        <x:v>115</x:v>
      </x:c>
      <x:c r="E77" s="94"/>
      <x:c r="F77" s="85">
        <x:v>6</x:v>
      </x:c>
      <x:c r="G77" s="95"/>
      <x:c r="H77" s="86"/>
      <x:c r="I77" s="87"/>
      <x:c r="J77" s="91" t="n">
        <x:f>IF(F77&gt;0,1,0)</x:f>
        <x:v>1</x:v>
      </x:c>
      <x:c r="K77" s="91" t="n">
        <x:f>IF(F77&gt;0,1,0)</x:f>
        <x:v>1</x:v>
      </x:c>
      <x:c r="L77" s="91" t="n">
        <x:f>IF(F77&gt;0,1,0)</x:f>
        <x:v>1</x:v>
      </x:c>
      <x:c r="M77" s="92" t="n">
        <x:f>IF(F77&gt;0,1,0)</x:f>
        <x:v>1</x:v>
      </x:c>
      <x:c r="N77" s="92"/>
      <x:c r="O77" s="92" t="n">
        <x:f>IF(F77&gt;0,1,0)</x:f>
        <x:v>1</x:v>
      </x:c>
      <x:c r="P77" s="92"/>
      <x:c r="Q77" s="96"/>
      <x:c r="R77" s="96"/>
      <x:c r="S77" s="96"/>
      <x:c r="T77" s="96"/>
      <x:c r="U77" s="96"/>
      <x:c r="V77" s="88"/>
      <x:c r="W77" s="9"/>
      <x:c r="X77" s="89" t="s">
        <x:v>30</x:v>
      </x:c>
      <x:c r="Y77" s="83">
        <x:v>3</x:v>
      </x:c>
      <x:c r="Z77" s="93" t="s">
        <x:v>114</x:v>
      </x:c>
      <x:c r="AA77" s="94" t="s">
        <x:v>115</x:v>
      </x:c>
      <x:c r="AB77" s="94"/>
      <x:c r="AC77" s="150">
        <x:v>6</x:v>
      </x:c>
      <x:c r="AD77" s="157"/>
      <x:c r="AE77" s="158"/>
      <x:c r="AF77" s="158"/>
      <x:c r="AG77" s="159" t="n">
        <x:f>IF(AC77&gt;0,1,0)</x:f>
        <x:v>1</x:v>
      </x:c>
      <x:c r="AH77" s="159" t="n">
        <x:f>IF(AC77&gt;0,1,0)</x:f>
        <x:v>1</x:v>
      </x:c>
      <x:c r="AI77" s="159" t="n">
        <x:f>IF(AC77&gt;0,1,0)</x:f>
        <x:v>1</x:v>
      </x:c>
      <x:c r="AJ77" s="160" t="n">
        <x:f>IF(AC77&gt;0,1,0)</x:f>
        <x:v>1</x:v>
      </x:c>
      <x:c r="AK77" s="161"/>
      <x:c r="AL77" s="160" t="n">
        <x:f>IF(AC77&gt;0,1,0)</x:f>
        <x:v>1</x:v>
      </x:c>
      <x:c r="AM77" s="161"/>
      <x:c r="AN77" s="162"/>
      <x:c r="AO77" s="162"/>
      <x:c r="AP77" s="162"/>
      <x:c r="AQ77" s="162"/>
      <x:c r="AR77" s="163"/>
      <x:c r="AS77" s="90"/>
    </x:row>
    <x:row r="78" s="1" customFormat="1">
      <x:c r="A78" s="83" t="s">
        <x:v>30</x:v>
      </x:c>
      <x:c r="B78" s="83">
        <x:v>4</x:v>
      </x:c>
      <x:c r="C78" s="83" t="s">
        <x:v>66</x:v>
      </x:c>
      <x:c r="D78" s="84" t="s">
        <x:v>67</x:v>
      </x:c>
      <x:c r="E78" s="84"/>
      <x:c r="F78" s="85">
        <x:v>6</x:v>
      </x:c>
      <x:c r="G78" s="73"/>
      <x:c r="H78" s="74"/>
      <x:c r="I78" s="75"/>
      <x:c r="J78" s="91" t="n">
        <x:f>F78</x:f>
        <x:v>6</x:v>
      </x:c>
      <x:c r="K78" s="91" t="n">
        <x:f>F78</x:f>
        <x:v>6</x:v>
      </x:c>
      <x:c r="L78" s="91" t="n">
        <x:f>F78</x:f>
        <x:v>6</x:v>
      </x:c>
      <x:c r="M78" s="92" t="n">
        <x:f>F78</x:f>
        <x:v>6</x:v>
      </x:c>
      <x:c r="N78" s="92"/>
      <x:c r="O78" s="92" t="n">
        <x:f>F78</x:f>
        <x:v>6</x:v>
      </x:c>
      <x:c r="P78" s="92"/>
      <x:c r="Q78" s="78"/>
      <x:c r="R78" s="78"/>
      <x:c r="S78" s="78"/>
      <x:c r="T78" s="78"/>
      <x:c r="U78" s="78"/>
      <x:c r="V78" s="149"/>
      <x:c r="W78" s="9"/>
      <x:c r="X78" s="89" t="s">
        <x:v>30</x:v>
      </x:c>
      <x:c r="Y78" s="83">
        <x:v>4</x:v>
      </x:c>
      <x:c r="Z78" s="83" t="s">
        <x:v>66</x:v>
      </x:c>
      <x:c r="AA78" s="84" t="s">
        <x:v>67</x:v>
      </x:c>
      <x:c r="AB78" s="84"/>
      <x:c r="AC78" s="150">
        <x:v>6</x:v>
      </x:c>
      <x:c r="AD78" s="157"/>
      <x:c r="AE78" s="158"/>
      <x:c r="AF78" s="158"/>
      <x:c r="AG78" s="159" t="n">
        <x:f>AC78</x:f>
        <x:v>6</x:v>
      </x:c>
      <x:c r="AH78" s="159" t="n">
        <x:f>AC78</x:f>
        <x:v>6</x:v>
      </x:c>
      <x:c r="AI78" s="159" t="n">
        <x:f>AC78</x:f>
        <x:v>6</x:v>
      </x:c>
      <x:c r="AJ78" s="160" t="n">
        <x:f>AC78</x:f>
        <x:v>6</x:v>
      </x:c>
      <x:c r="AK78" s="161"/>
      <x:c r="AL78" s="160" t="n">
        <x:f>AC78</x:f>
        <x:v>6</x:v>
      </x:c>
      <x:c r="AM78" s="161"/>
      <x:c r="AN78" s="162"/>
      <x:c r="AO78" s="162"/>
      <x:c r="AP78" s="162"/>
      <x:c r="AQ78" s="162"/>
      <x:c r="AR78" s="163"/>
      <x:c r="AS78" s="90"/>
    </x:row>
    <x:row r="79" s="1" customFormat="1">
      <x:c r="A79" s="83" t="s">
        <x:v>30</x:v>
      </x:c>
      <x:c r="B79" s="83">
        <x:v>5</x:v>
      </x:c>
      <x:c r="C79" s="83" t="s">
        <x:v>64</x:v>
      </x:c>
      <x:c r="D79" s="84" t="s">
        <x:v>65</x:v>
      </x:c>
      <x:c r="E79" s="84"/>
      <x:c r="F79" s="85">
        <x:v>6</x:v>
      </x:c>
      <x:c r="G79" s="73"/>
      <x:c r="H79" s="74"/>
      <x:c r="I79" s="74"/>
      <x:c r="J79" s="124"/>
      <x:c r="K79" s="124"/>
      <x:c r="L79" s="124"/>
      <x:c r="M79" s="125"/>
      <x:c r="N79" s="125"/>
      <x:c r="O79" s="125"/>
      <x:c r="P79" s="125"/>
      <x:c r="Q79" s="126"/>
      <x:c r="R79" s="126"/>
      <x:c r="S79" s="126"/>
      <x:c r="T79" s="126"/>
      <x:c r="U79" s="126"/>
      <x:c r="V79" s="88"/>
      <x:c r="W79" s="9"/>
      <x:c r="X79" s="89" t="s">
        <x:v>30</x:v>
      </x:c>
      <x:c r="Y79" s="83">
        <x:v>5</x:v>
      </x:c>
      <x:c r="Z79" s="83" t="s">
        <x:v>64</x:v>
      </x:c>
      <x:c r="AA79" s="84" t="s">
        <x:v>65</x:v>
      </x:c>
      <x:c r="AB79" s="84"/>
      <x:c r="AC79" s="150">
        <x:v>6</x:v>
      </x:c>
      <x:c r="AD79" s="157"/>
      <x:c r="AE79" s="158"/>
      <x:c r="AF79" s="158"/>
      <x:c r="AG79" s="164"/>
      <x:c r="AH79" s="164"/>
      <x:c r="AI79" s="164"/>
      <x:c r="AJ79" s="161"/>
      <x:c r="AK79" s="161"/>
      <x:c r="AL79" s="161"/>
      <x:c r="AM79" s="161"/>
      <x:c r="AN79" s="162"/>
      <x:c r="AO79" s="162"/>
      <x:c r="AP79" s="162"/>
      <x:c r="AQ79" s="162"/>
      <x:c r="AR79" s="163"/>
      <x:c r="AS79" s="90"/>
    </x:row>
    <x:row r="80" s="1" customFormat="1">
      <x:c r="A80" s="83" t="s">
        <x:v>30</x:v>
      </x:c>
      <x:c r="B80" s="83">
        <x:v>6</x:v>
      </x:c>
      <x:c r="C80" s="83" t="s">
        <x:v>100</x:v>
      </x:c>
      <x:c r="D80" s="84" t="s">
        <x:v>100</x:v>
      </x:c>
      <x:c r="E80" s="84"/>
      <x:c r="F80" s="85">
        <x:v>6</x:v>
      </x:c>
      <x:c r="G80" s="73"/>
      <x:c r="H80" s="74"/>
      <x:c r="I80" s="74"/>
      <x:c r="J80" s="124"/>
      <x:c r="K80" s="124"/>
      <x:c r="L80" s="124"/>
      <x:c r="M80" s="125"/>
      <x:c r="N80" s="125"/>
      <x:c r="O80" s="125"/>
      <x:c r="P80" s="125"/>
      <x:c r="Q80" s="126"/>
      <x:c r="R80" s="126"/>
      <x:c r="S80" s="126"/>
      <x:c r="T80" s="126"/>
      <x:c r="U80" s="126"/>
      <x:c r="V80" s="88"/>
      <x:c r="W80" s="9"/>
      <x:c r="X80" s="89" t="s">
        <x:v>30</x:v>
      </x:c>
      <x:c r="Y80" s="83">
        <x:v>6</x:v>
      </x:c>
      <x:c r="Z80" s="83" t="s">
        <x:v>100</x:v>
      </x:c>
      <x:c r="AA80" s="84" t="s">
        <x:v>100</x:v>
      </x:c>
      <x:c r="AB80" s="84"/>
      <x:c r="AC80" s="150">
        <x:v>6</x:v>
      </x:c>
      <x:c r="AD80" s="165"/>
      <x:c r="AE80" s="166"/>
      <x:c r="AF80" s="166"/>
      <x:c r="AG80" s="167"/>
      <x:c r="AH80" s="167"/>
      <x:c r="AI80" s="167"/>
      <x:c r="AJ80" s="168"/>
      <x:c r="AK80" s="168"/>
      <x:c r="AL80" s="168"/>
      <x:c r="AM80" s="168"/>
      <x:c r="AN80" s="169"/>
      <x:c r="AO80" s="169"/>
      <x:c r="AP80" s="169"/>
      <x:c r="AQ80" s="169"/>
      <x:c r="AR80" s="170"/>
      <x:c r="AS80" s="90"/>
    </x:row>
    <x:row r="81" s="6" customFormat="1">
      <x:c r="A81" s="101" t="s">
        <x:v>101</x:v>
      </x:c>
      <x:c r="B81" s="101"/>
      <x:c r="C81" s="101"/>
      <x:c r="D81" s="101"/>
      <x:c r="E81" s="101"/>
      <x:c r="F81" s="102" t="n">
        <x:f>MAX(F75:F80)</x:f>
        <x:v>6</x:v>
      </x:c>
      <x:c r="G81" s="103" t="n">
        <x:f t="shared" ref="G81:U81" si="68">MAX(G75:G80)</x:f>
        <x:v>0</x:v>
      </x:c>
      <x:c r="H81" s="104">
        <x:f t="shared" si="68"/>
        <x:v>0</x:v>
      </x:c>
      <x:c r="I81" s="104">
        <x:f t="shared" si="68"/>
        <x:v>0</x:v>
      </x:c>
      <x:c r="J81" s="105">
        <x:f t="shared" si="68"/>
        <x:v>6</x:v>
      </x:c>
      <x:c r="K81" s="105">
        <x:f t="shared" si="68"/>
        <x:v>6</x:v>
      </x:c>
      <x:c r="L81" s="105">
        <x:f t="shared" si="68"/>
        <x:v>6</x:v>
      </x:c>
      <x:c r="M81" s="106">
        <x:f t="shared" si="68"/>
        <x:v>6</x:v>
      </x:c>
      <x:c r="N81" s="106">
        <x:f t="shared" si="68"/>
        <x:v>0</x:v>
      </x:c>
      <x:c r="O81" s="106">
        <x:f t="shared" si="68"/>
        <x:v>6</x:v>
      </x:c>
      <x:c r="P81" s="106">
        <x:f t="shared" si="68"/>
        <x:v>0</x:v>
      </x:c>
      <x:c r="Q81" s="107">
        <x:f t="shared" si="68"/>
        <x:v>0</x:v>
      </x:c>
      <x:c r="R81" s="107">
        <x:f t="shared" si="68"/>
        <x:v>0</x:v>
      </x:c>
      <x:c r="S81" s="107">
        <x:f t="shared" si="68"/>
        <x:v>0</x:v>
      </x:c>
      <x:c r="T81" s="107">
        <x:f t="shared" si="68"/>
        <x:v>0</x:v>
      </x:c>
      <x:c r="U81" s="107">
        <x:f t="shared" si="68"/>
        <x:v>0</x:v>
      </x:c>
      <x:c r="V81" s="171"/>
      <x:c r="W81" s="9"/>
      <x:c r="X81" s="109" t="s">
        <x:v>101</x:v>
      </x:c>
      <x:c r="Y81" s="101"/>
      <x:c r="Z81" s="101"/>
      <x:c r="AA81" s="101"/>
      <x:c r="AB81" s="101"/>
      <x:c r="AC81" s="111" t="n">
        <x:f>MAX(AC75:AC80)</x:f>
        <x:v>6</x:v>
      </x:c>
      <x:c r="AD81" s="112" t="n">
        <x:f>MAX(AD75:AD80)</x:f>
        <x:v>0</x:v>
      </x:c>
      <x:c r="AE81" s="113">
        <x:v>0</x:v>
      </x:c>
      <x:c r="AF81" s="114">
        <x:v>0</x:v>
      </x:c>
      <x:c r="AG81" s="115">
        <x:v>6</x:v>
      </x:c>
      <x:c r="AH81" s="116">
        <x:v>6</x:v>
      </x:c>
      <x:c r="AI81" s="117">
        <x:v>6</x:v>
      </x:c>
      <x:c r="AJ81" s="118">
        <x:v>6</x:v>
      </x:c>
      <x:c r="AK81" s="119">
        <x:v>0</x:v>
      </x:c>
      <x:c r="AL81" s="119">
        <x:v>6</x:v>
      </x:c>
      <x:c r="AM81" s="120">
        <x:v>0</x:v>
      </x:c>
      <x:c r="AN81" s="121">
        <x:v>0</x:v>
      </x:c>
      <x:c r="AO81" s="122">
        <x:v>0</x:v>
      </x:c>
      <x:c r="AP81" s="122">
        <x:v>0</x:v>
      </x:c>
      <x:c r="AQ81" s="122">
        <x:v>0</x:v>
      </x:c>
      <x:c r="AR81" s="122">
        <x:v>0</x:v>
      </x:c>
      <x:c r="AS81" s="123"/>
    </x:row>
    <x:row r="82" s="5" customFormat="1">
      <x:c r="A82" s="57" t="s">
        <x:v>116</x:v>
      </x:c>
      <x:c r="B82" s="58"/>
      <x:c r="C82" s="58"/>
      <x:c r="D82" s="58"/>
      <x:c r="E82" s="58"/>
      <x:c r="F82" s="73" t="s">
        <x:v>4</x:v>
      </x:c>
      <x:c r="G82" s="73"/>
      <x:c r="H82" s="74" t="s">
        <x:v>5</x:v>
      </x:c>
      <x:c r="I82" s="75"/>
      <x:c r="J82" s="124" t="s">
        <x:v>6</x:v>
      </x:c>
      <x:c r="K82" s="124"/>
      <x:c r="L82" s="124"/>
      <x:c r="M82" s="125" t="s">
        <x:v>7</x:v>
      </x:c>
      <x:c r="N82" s="125"/>
      <x:c r="O82" s="125"/>
      <x:c r="P82" s="125"/>
      <x:c r="Q82" s="126" t="s">
        <x:v>49</x:v>
      </x:c>
      <x:c r="R82" s="126"/>
      <x:c r="S82" s="126"/>
      <x:c r="T82" s="126"/>
      <x:c r="U82" s="126"/>
      <x:c r="V82" s="65" t="s">
        <x:v>50</x:v>
      </x:c>
      <x:c r="W82" s="9"/>
      <x:c r="X82" s="127" t="s">
        <x:v>116</x:v>
      </x:c>
      <x:c r="Y82" s="58"/>
      <x:c r="Z82" s="58"/>
      <x:c r="AA82" s="58"/>
      <x:c r="AB82" s="58"/>
      <x:c r="AC82" s="128" t="s">
        <x:v>4</x:v>
      </x:c>
      <x:c r="AD82" s="129"/>
      <x:c r="AE82" s="130" t="s">
        <x:v>5</x:v>
      </x:c>
      <x:c r="AF82" s="131"/>
      <x:c r="AG82" s="132" t="s">
        <x:v>6</x:v>
      </x:c>
      <x:c r="AH82" s="133"/>
      <x:c r="AI82" s="133"/>
      <x:c r="AJ82" s="134" t="s">
        <x:v>7</x:v>
      </x:c>
      <x:c r="AK82" s="135"/>
      <x:c r="AL82" s="135"/>
      <x:c r="AM82" s="135"/>
      <x:c r="AN82" s="136" t="s">
        <x:v>49</x:v>
      </x:c>
      <x:c r="AO82" s="137"/>
      <x:c r="AP82" s="137"/>
      <x:c r="AQ82" s="137"/>
      <x:c r="AR82" s="137"/>
      <x:c r="AS82" s="81" t="s">
        <x:v>50</x:v>
      </x:c>
    </x:row>
    <x:row r="83" s="5" customFormat="1" ht="31">
      <x:c r="A83" s="70" t="s">
        <x:v>51</x:v>
      </x:c>
      <x:c r="B83" s="70" t="s">
        <x:v>52</x:v>
      </x:c>
      <x:c r="C83" s="70" t="s">
        <x:v>53</x:v>
      </x:c>
      <x:c r="D83" s="71" t="s">
        <x:v>54</x:v>
      </x:c>
      <x:c r="E83" s="71"/>
      <x:c r="F83" s="72" t="s">
        <x:v>10</x:v>
      </x:c>
      <x:c r="G83" s="73" t="s">
        <x:v>11</x:v>
      </x:c>
      <x:c r="H83" s="74" t="s">
        <x:v>55</x:v>
      </x:c>
      <x:c r="I83" s="75" t="s">
        <x:v>13</x:v>
      </x:c>
      <x:c r="J83" s="76" t="s">
        <x:v>14</x:v>
      </x:c>
      <x:c r="K83" s="76" t="s">
        <x:v>15</x:v>
      </x:c>
      <x:c r="L83" s="76" t="s">
        <x:v>56</x:v>
      </x:c>
      <x:c r="M83" s="77" t="s">
        <x:v>57</x:v>
      </x:c>
      <x:c r="N83" s="77" t="s">
        <x:v>58</x:v>
      </x:c>
      <x:c r="O83" s="77" t="s">
        <x:v>59</x:v>
      </x:c>
      <x:c r="P83" s="77" t="s">
        <x:v>60</x:v>
      </x:c>
      <x:c r="Q83" s="78" t="s">
        <x:v>21</x:v>
      </x:c>
      <x:c r="R83" s="78" t="s">
        <x:v>22</x:v>
      </x:c>
      <x:c r="S83" s="78" t="s">
        <x:v>61</x:v>
      </x:c>
      <x:c r="T83" s="78" t="s">
        <x:v>62</x:v>
      </x:c>
      <x:c r="U83" s="78" t="s">
        <x:v>63</x:v>
      </x:c>
      <x:c r="V83" s="65"/>
      <x:c r="W83" s="9"/>
      <x:c r="X83" s="79" t="s">
        <x:v>51</x:v>
      </x:c>
      <x:c r="Y83" s="70" t="s">
        <x:v>52</x:v>
      </x:c>
      <x:c r="Z83" s="70" t="s">
        <x:v>53</x:v>
      </x:c>
      <x:c r="AA83" s="71" t="s">
        <x:v>54</x:v>
      </x:c>
      <x:c r="AB83" s="71"/>
      <x:c r="AC83" s="138" t="s">
        <x:v>10</x:v>
      </x:c>
      <x:c r="AD83" s="139" t="s">
        <x:v>11</x:v>
      </x:c>
      <x:c r="AE83" s="130" t="s">
        <x:v>55</x:v>
      </x:c>
      <x:c r="AF83" s="140" t="s">
        <x:v>13</x:v>
      </x:c>
      <x:c r="AG83" s="141" t="s">
        <x:v>14</x:v>
      </x:c>
      <x:c r="AH83" s="142" t="s">
        <x:v>15</x:v>
      </x:c>
      <x:c r="AI83" s="143" t="s">
        <x:v>56</x:v>
      </x:c>
      <x:c r="AJ83" s="144" t="s">
        <x:v>57</x:v>
      </x:c>
      <x:c r="AK83" s="145" t="s">
        <x:v>58</x:v>
      </x:c>
      <x:c r="AL83" s="145" t="s">
        <x:v>59</x:v>
      </x:c>
      <x:c r="AM83" s="146" t="s">
        <x:v>60</x:v>
      </x:c>
      <x:c r="AN83" s="147" t="s">
        <x:v>21</x:v>
      </x:c>
      <x:c r="AO83" s="148" t="s">
        <x:v>22</x:v>
      </x:c>
      <x:c r="AP83" s="148" t="s">
        <x:v>61</x:v>
      </x:c>
      <x:c r="AQ83" s="148" t="s">
        <x:v>62</x:v>
      </x:c>
      <x:c r="AR83" s="148" t="s">
        <x:v>63</x:v>
      </x:c>
      <x:c r="AS83" s="81"/>
    </x:row>
    <x:row r="84">
      <x:c r="A84" s="83" t="s">
        <x:v>31</x:v>
      </x:c>
      <x:c r="B84" s="83">
        <x:v>1</x:v>
      </x:c>
      <x:c r="C84" s="83" t="s">
        <x:v>64</x:v>
      </x:c>
      <x:c r="D84" s="84" t="s">
        <x:v>65</x:v>
      </x:c>
      <x:c r="E84" s="84"/>
      <x:c r="F84" s="85">
        <x:v>6</x:v>
      </x:c>
      <x:c r="G84" s="73"/>
      <x:c r="H84" s="74"/>
      <x:c r="I84" s="75"/>
      <x:c r="J84" s="76"/>
      <x:c r="K84" s="76"/>
      <x:c r="L84" s="76"/>
      <x:c r="M84" s="77"/>
      <x:c r="N84" s="77"/>
      <x:c r="O84" s="77"/>
      <x:c r="P84" s="77"/>
      <x:c r="Q84" s="78"/>
      <x:c r="R84" s="78"/>
      <x:c r="S84" s="78"/>
      <x:c r="T84" s="78"/>
      <x:c r="U84" s="78"/>
      <x:c r="V84" s="149"/>
      <x:c r="W84" s="9"/>
      <x:c r="X84" s="89" t="s">
        <x:v>31</x:v>
      </x:c>
      <x:c r="Y84" s="83">
        <x:v>1</x:v>
      </x:c>
      <x:c r="Z84" s="83" t="s">
        <x:v>64</x:v>
      </x:c>
      <x:c r="AA84" s="84" t="s">
        <x:v>65</x:v>
      </x:c>
      <x:c r="AB84" s="84"/>
      <x:c r="AC84" s="199">
        <x:v>6</x:v>
      </x:c>
      <x:c r="AD84" s="181"/>
      <x:c r="AE84" s="152"/>
      <x:c r="AF84" s="152"/>
      <x:c r="AG84" s="153"/>
      <x:c r="AH84" s="153"/>
      <x:c r="AI84" s="153"/>
      <x:c r="AJ84" s="154"/>
      <x:c r="AK84" s="154"/>
      <x:c r="AL84" s="154"/>
      <x:c r="AM84" s="154"/>
      <x:c r="AN84" s="155"/>
      <x:c r="AO84" s="155"/>
      <x:c r="AP84" s="155"/>
      <x:c r="AQ84" s="155"/>
      <x:c r="AR84" s="156"/>
      <x:c r="AS84" s="90"/>
    </x:row>
    <x:row r="85">
      <x:c r="A85" s="83" t="s">
        <x:v>31</x:v>
      </x:c>
      <x:c r="B85" s="83">
        <x:v>2</x:v>
      </x:c>
      <x:c r="C85" s="83" t="s">
        <x:v>66</x:v>
      </x:c>
      <x:c r="D85" s="84" t="s">
        <x:v>67</x:v>
      </x:c>
      <x:c r="E85" s="84"/>
      <x:c r="F85" s="85">
        <x:v>6</x:v>
      </x:c>
      <x:c r="G85" s="73"/>
      <x:c r="H85" s="74"/>
      <x:c r="I85" s="75"/>
      <x:c r="J85" s="91" t="n">
        <x:f>F85</x:f>
        <x:v>6</x:v>
      </x:c>
      <x:c r="K85" s="91" t="n">
        <x:f t="shared" ref="K85:K87" si="69">F85</x:f>
        <x:v>6</x:v>
      </x:c>
      <x:c r="L85" s="91" t="n">
        <x:f t="shared" ref="L85:L87" si="70">F85</x:f>
        <x:v>6</x:v>
      </x:c>
      <x:c r="M85" s="92" t="n">
        <x:f>F85</x:f>
        <x:v>6</x:v>
      </x:c>
      <x:c r="N85" s="92"/>
      <x:c r="O85" s="92" t="n">
        <x:f t="shared" ref="O85:O87" si="71">F85</x:f>
        <x:v>6</x:v>
      </x:c>
      <x:c r="P85" s="92"/>
      <x:c r="Q85" s="78"/>
      <x:c r="R85" s="78"/>
      <x:c r="S85" s="78"/>
      <x:c r="T85" s="78"/>
      <x:c r="U85" s="78"/>
      <x:c r="V85" s="149"/>
      <x:c r="W85" s="9"/>
      <x:c r="X85" s="89" t="s">
        <x:v>31</x:v>
      </x:c>
      <x:c r="Y85" s="83">
        <x:v>2</x:v>
      </x:c>
      <x:c r="Z85" s="83" t="s">
        <x:v>66</x:v>
      </x:c>
      <x:c r="AA85" s="84" t="s">
        <x:v>67</x:v>
      </x:c>
      <x:c r="AB85" s="84"/>
      <x:c r="AC85" s="200">
        <x:v>6</x:v>
      </x:c>
      <x:c r="AD85" s="183"/>
      <x:c r="AE85" s="158"/>
      <x:c r="AF85" s="158"/>
      <x:c r="AG85" s="159" t="n">
        <x:f>AC85</x:f>
        <x:v>6</x:v>
      </x:c>
      <x:c r="AH85" s="159" t="n">
        <x:f>AC85</x:f>
        <x:v>6</x:v>
      </x:c>
      <x:c r="AI85" s="159" t="n">
        <x:f>AC85</x:f>
        <x:v>6</x:v>
      </x:c>
      <x:c r="AJ85" s="160" t="n">
        <x:f>AC85</x:f>
        <x:v>6</x:v>
      </x:c>
      <x:c r="AK85" s="161"/>
      <x:c r="AL85" s="160" t="n">
        <x:f>AC85</x:f>
        <x:v>6</x:v>
      </x:c>
      <x:c r="AM85" s="161"/>
      <x:c r="AN85" s="162"/>
      <x:c r="AO85" s="162"/>
      <x:c r="AP85" s="162"/>
      <x:c r="AQ85" s="162"/>
      <x:c r="AR85" s="163"/>
      <x:c r="AS85" s="90"/>
    </x:row>
    <x:row r="86">
      <x:c r="A86" s="83" t="s">
        <x:v>31</x:v>
      </x:c>
      <x:c r="B86" s="83">
        <x:v>3</x:v>
      </x:c>
      <x:c r="C86" s="93" t="s">
        <x:v>117</x:v>
      </x:c>
      <x:c r="D86" s="94" t="s">
        <x:v>118</x:v>
      </x:c>
      <x:c r="E86" s="94"/>
      <x:c r="F86" s="85">
        <x:v>6</x:v>
      </x:c>
      <x:c r="G86" s="95"/>
      <x:c r="H86" s="86"/>
      <x:c r="I86" s="87"/>
      <x:c r="J86" s="91" t="n">
        <x:f>IF(F86&gt;0,1,0)</x:f>
        <x:v>1</x:v>
      </x:c>
      <x:c r="K86" s="91" t="n">
        <x:f>IF(F86&gt;0,1,0)</x:f>
        <x:v>1</x:v>
      </x:c>
      <x:c r="L86" s="91" t="n">
        <x:f>IF(F86&gt;0,1,0)</x:f>
        <x:v>1</x:v>
      </x:c>
      <x:c r="M86" s="92" t="n">
        <x:f>IF(F86&gt;0,1,0)</x:f>
        <x:v>1</x:v>
      </x:c>
      <x:c r="N86" s="92"/>
      <x:c r="O86" s="92" t="n">
        <x:f>IF(F86&gt;0,1,0)</x:f>
        <x:v>1</x:v>
      </x:c>
      <x:c r="P86" s="92"/>
      <x:c r="Q86" s="96"/>
      <x:c r="R86" s="96"/>
      <x:c r="S86" s="96"/>
      <x:c r="T86" s="96"/>
      <x:c r="U86" s="96"/>
      <x:c r="V86" s="88"/>
      <x:c r="W86" s="9"/>
      <x:c r="X86" s="89" t="s">
        <x:v>31</x:v>
      </x:c>
      <x:c r="Y86" s="83">
        <x:v>3</x:v>
      </x:c>
      <x:c r="Z86" s="93" t="s">
        <x:v>117</x:v>
      </x:c>
      <x:c r="AA86" s="94" t="s">
        <x:v>118</x:v>
      </x:c>
      <x:c r="AB86" s="94"/>
      <x:c r="AC86" s="200">
        <x:v>6</x:v>
      </x:c>
      <x:c r="AD86" s="183"/>
      <x:c r="AE86" s="158"/>
      <x:c r="AF86" s="158"/>
      <x:c r="AG86" s="159" t="n">
        <x:f>IF(AC86&gt;0,1,0)</x:f>
        <x:v>1</x:v>
      </x:c>
      <x:c r="AH86" s="159" t="n">
        <x:f>IF(AC86&gt;0,1,0)</x:f>
        <x:v>1</x:v>
      </x:c>
      <x:c r="AI86" s="159" t="n">
        <x:f>IF(AC86&gt;0,1,0)</x:f>
        <x:v>1</x:v>
      </x:c>
      <x:c r="AJ86" s="160" t="n">
        <x:f>IF(AC86&gt;0,1,0)</x:f>
        <x:v>1</x:v>
      </x:c>
      <x:c r="AK86" s="161"/>
      <x:c r="AL86" s="160" t="n">
        <x:f>IF(AC86&gt;0,1,0)</x:f>
        <x:v>1</x:v>
      </x:c>
      <x:c r="AM86" s="161"/>
      <x:c r="AN86" s="162"/>
      <x:c r="AO86" s="162"/>
      <x:c r="AP86" s="162"/>
      <x:c r="AQ86" s="162"/>
      <x:c r="AR86" s="163"/>
      <x:c r="AS86" s="90"/>
    </x:row>
    <x:row r="87" s="1" customFormat="1">
      <x:c r="A87" s="83" t="s">
        <x:v>31</x:v>
      </x:c>
      <x:c r="B87" s="83">
        <x:v>5</x:v>
      </x:c>
      <x:c r="C87" s="83" t="s">
        <x:v>66</x:v>
      </x:c>
      <x:c r="D87" s="84" t="s">
        <x:v>67</x:v>
      </x:c>
      <x:c r="E87" s="84"/>
      <x:c r="F87" s="85">
        <x:v>6</x:v>
      </x:c>
      <x:c r="G87" s="73"/>
      <x:c r="H87" s="74"/>
      <x:c r="I87" s="75"/>
      <x:c r="J87" s="91" t="n">
        <x:f>F87</x:f>
        <x:v>6</x:v>
      </x:c>
      <x:c r="K87" s="91">
        <x:f t="shared" si="69"/>
        <x:v>6</x:v>
      </x:c>
      <x:c r="L87" s="91">
        <x:f t="shared" si="70"/>
        <x:v>6</x:v>
      </x:c>
      <x:c r="M87" s="92" t="n">
        <x:f>F87</x:f>
        <x:v>6</x:v>
      </x:c>
      <x:c r="N87" s="92"/>
      <x:c r="O87" s="92">
        <x:f t="shared" si="71"/>
        <x:v>6</x:v>
      </x:c>
      <x:c r="P87" s="92"/>
      <x:c r="Q87" s="78"/>
      <x:c r="R87" s="78"/>
      <x:c r="S87" s="78"/>
      <x:c r="T87" s="78"/>
      <x:c r="U87" s="78"/>
      <x:c r="V87" s="149"/>
      <x:c r="W87" s="9"/>
      <x:c r="X87" s="89" t="s">
        <x:v>31</x:v>
      </x:c>
      <x:c r="Y87" s="83">
        <x:v>5</x:v>
      </x:c>
      <x:c r="Z87" s="83" t="s">
        <x:v>66</x:v>
      </x:c>
      <x:c r="AA87" s="84" t="s">
        <x:v>67</x:v>
      </x:c>
      <x:c r="AB87" s="84"/>
      <x:c r="AC87" s="200">
        <x:v>6</x:v>
      </x:c>
      <x:c r="AD87" s="183"/>
      <x:c r="AE87" s="158"/>
      <x:c r="AF87" s="158"/>
      <x:c r="AG87" s="159" t="n">
        <x:f>AC87</x:f>
        <x:v>6</x:v>
      </x:c>
      <x:c r="AH87" s="159" t="n">
        <x:f>AC87</x:f>
        <x:v>6</x:v>
      </x:c>
      <x:c r="AI87" s="159" t="n">
        <x:f>AC87</x:f>
        <x:v>6</x:v>
      </x:c>
      <x:c r="AJ87" s="160" t="n">
        <x:f>AC87</x:f>
        <x:v>6</x:v>
      </x:c>
      <x:c r="AK87" s="161"/>
      <x:c r="AL87" s="160" t="n">
        <x:f>AC87</x:f>
        <x:v>6</x:v>
      </x:c>
      <x:c r="AM87" s="161"/>
      <x:c r="AN87" s="162"/>
      <x:c r="AO87" s="162"/>
      <x:c r="AP87" s="162"/>
      <x:c r="AQ87" s="162"/>
      <x:c r="AR87" s="163"/>
      <x:c r="AS87" s="90"/>
    </x:row>
    <x:row r="88" s="1" customFormat="1">
      <x:c r="A88" s="83" t="s">
        <x:v>31</x:v>
      </x:c>
      <x:c r="B88" s="83">
        <x:v>6</x:v>
      </x:c>
      <x:c r="C88" s="83" t="s">
        <x:v>64</x:v>
      </x:c>
      <x:c r="D88" s="84" t="s">
        <x:v>65</x:v>
      </x:c>
      <x:c r="E88" s="84"/>
      <x:c r="F88" s="85">
        <x:v>6</x:v>
      </x:c>
      <x:c r="G88" s="73"/>
      <x:c r="H88" s="74"/>
      <x:c r="I88" s="74"/>
      <x:c r="J88" s="124"/>
      <x:c r="K88" s="124"/>
      <x:c r="L88" s="124"/>
      <x:c r="M88" s="125"/>
      <x:c r="N88" s="125"/>
      <x:c r="O88" s="125"/>
      <x:c r="P88" s="125"/>
      <x:c r="Q88" s="126"/>
      <x:c r="R88" s="126"/>
      <x:c r="S88" s="126"/>
      <x:c r="T88" s="126"/>
      <x:c r="U88" s="126"/>
      <x:c r="V88" s="88"/>
      <x:c r="W88" s="9"/>
      <x:c r="X88" s="89" t="s">
        <x:v>31</x:v>
      </x:c>
      <x:c r="Y88" s="83">
        <x:v>6</x:v>
      </x:c>
      <x:c r="Z88" s="83" t="s">
        <x:v>64</x:v>
      </x:c>
      <x:c r="AA88" s="84" t="s">
        <x:v>65</x:v>
      </x:c>
      <x:c r="AB88" s="84"/>
      <x:c r="AC88" s="200">
        <x:v>6</x:v>
      </x:c>
      <x:c r="AD88" s="183"/>
      <x:c r="AE88" s="158"/>
      <x:c r="AF88" s="158"/>
      <x:c r="AG88" s="164"/>
      <x:c r="AH88" s="164"/>
      <x:c r="AI88" s="164"/>
      <x:c r="AJ88" s="161"/>
      <x:c r="AK88" s="161"/>
      <x:c r="AL88" s="161"/>
      <x:c r="AM88" s="161"/>
      <x:c r="AN88" s="162"/>
      <x:c r="AO88" s="162"/>
      <x:c r="AP88" s="162"/>
      <x:c r="AQ88" s="162"/>
      <x:c r="AR88" s="163"/>
      <x:c r="AS88" s="90"/>
    </x:row>
    <x:row r="89" s="1" customFormat="1">
      <x:c r="A89" s="83" t="s">
        <x:v>31</x:v>
      </x:c>
      <x:c r="B89" s="83">
        <x:v>7</x:v>
      </x:c>
      <x:c r="C89" s="83" t="s">
        <x:v>100</x:v>
      </x:c>
      <x:c r="D89" s="84" t="s">
        <x:v>100</x:v>
      </x:c>
      <x:c r="E89" s="84"/>
      <x:c r="F89" s="85">
        <x:v>6</x:v>
      </x:c>
      <x:c r="G89" s="73"/>
      <x:c r="H89" s="74"/>
      <x:c r="I89" s="74"/>
      <x:c r="J89" s="124"/>
      <x:c r="K89" s="124"/>
      <x:c r="L89" s="124"/>
      <x:c r="M89" s="125"/>
      <x:c r="N89" s="125"/>
      <x:c r="O89" s="125"/>
      <x:c r="P89" s="125"/>
      <x:c r="Q89" s="126"/>
      <x:c r="R89" s="126"/>
      <x:c r="S89" s="126"/>
      <x:c r="T89" s="126"/>
      <x:c r="U89" s="126"/>
      <x:c r="V89" s="88"/>
      <x:c r="W89" s="9"/>
      <x:c r="X89" s="89" t="s">
        <x:v>31</x:v>
      </x:c>
      <x:c r="Y89" s="83">
        <x:v>7</x:v>
      </x:c>
      <x:c r="Z89" s="83" t="s">
        <x:v>100</x:v>
      </x:c>
      <x:c r="AA89" s="84" t="s">
        <x:v>100</x:v>
      </x:c>
      <x:c r="AB89" s="84"/>
      <x:c r="AC89" s="200">
        <x:v>6</x:v>
      </x:c>
      <x:c r="AD89" s="183"/>
      <x:c r="AE89" s="158"/>
      <x:c r="AF89" s="158"/>
      <x:c r="AG89" s="164"/>
      <x:c r="AH89" s="164"/>
      <x:c r="AI89" s="164"/>
      <x:c r="AJ89" s="161"/>
      <x:c r="AK89" s="161"/>
      <x:c r="AL89" s="161"/>
      <x:c r="AM89" s="161"/>
      <x:c r="AN89" s="162"/>
      <x:c r="AO89" s="162"/>
      <x:c r="AP89" s="162"/>
      <x:c r="AQ89" s="162"/>
      <x:c r="AR89" s="163"/>
      <x:c r="AS89" s="90"/>
    </x:row>
    <x:row r="90" s="6" customFormat="1">
      <x:c r="A90" s="101" t="s">
        <x:v>101</x:v>
      </x:c>
      <x:c r="B90" s="101"/>
      <x:c r="C90" s="101"/>
      <x:c r="D90" s="101"/>
      <x:c r="E90" s="101"/>
      <x:c r="F90" s="102" t="n">
        <x:f>MAX(F84:F89)</x:f>
        <x:v>6</x:v>
      </x:c>
      <x:c r="G90" s="103" t="n">
        <x:f t="shared" ref="G90:U90" si="72">MAX(G84:G89)</x:f>
        <x:v>0</x:v>
      </x:c>
      <x:c r="H90" s="104">
        <x:f t="shared" si="72"/>
        <x:v>0</x:v>
      </x:c>
      <x:c r="I90" s="104">
        <x:f t="shared" si="72"/>
        <x:v>0</x:v>
      </x:c>
      <x:c r="J90" s="105">
        <x:f t="shared" si="72"/>
        <x:v>6</x:v>
      </x:c>
      <x:c r="K90" s="105">
        <x:f t="shared" si="72"/>
        <x:v>6</x:v>
      </x:c>
      <x:c r="L90" s="105">
        <x:f t="shared" si="72"/>
        <x:v>6</x:v>
      </x:c>
      <x:c r="M90" s="106">
        <x:f t="shared" si="72"/>
        <x:v>6</x:v>
      </x:c>
      <x:c r="N90" s="106">
        <x:f t="shared" si="72"/>
        <x:v>0</x:v>
      </x:c>
      <x:c r="O90" s="106">
        <x:f t="shared" si="72"/>
        <x:v>6</x:v>
      </x:c>
      <x:c r="P90" s="106">
        <x:f t="shared" si="72"/>
        <x:v>0</x:v>
      </x:c>
      <x:c r="Q90" s="107">
        <x:f t="shared" si="72"/>
        <x:v>0</x:v>
      </x:c>
      <x:c r="R90" s="107">
        <x:f t="shared" si="72"/>
        <x:v>0</x:v>
      </x:c>
      <x:c r="S90" s="107">
        <x:f t="shared" si="72"/>
        <x:v>0</x:v>
      </x:c>
      <x:c r="T90" s="107">
        <x:f t="shared" si="72"/>
        <x:v>0</x:v>
      </x:c>
      <x:c r="U90" s="107">
        <x:f t="shared" si="72"/>
        <x:v>0</x:v>
      </x:c>
      <x:c r="V90" s="171"/>
      <x:c r="W90" s="9"/>
      <x:c r="X90" s="109" t="s">
        <x:v>101</x:v>
      </x:c>
      <x:c r="Y90" s="101"/>
      <x:c r="Z90" s="101"/>
      <x:c r="AA90" s="101"/>
      <x:c r="AB90" s="201"/>
      <x:c r="AC90" s="189" t="n">
        <x:f>MAX(AC84:AC89)</x:f>
        <x:v>6</x:v>
      </x:c>
      <x:c r="AD90" s="189" t="n">
        <x:f>MAX(AD84:AD89)</x:f>
        <x:v>0</x:v>
      </x:c>
      <x:c r="AE90" s="190">
        <x:v>0</x:v>
      </x:c>
      <x:c r="AF90" s="190">
        <x:v>0</x:v>
      </x:c>
      <x:c r="AG90" s="191">
        <x:v>6</x:v>
      </x:c>
      <x:c r="AH90" s="191">
        <x:v>6</x:v>
      </x:c>
      <x:c r="AI90" s="191">
        <x:v>6</x:v>
      </x:c>
      <x:c r="AJ90" s="192">
        <x:v>6</x:v>
      </x:c>
      <x:c r="AK90" s="192">
        <x:v>0</x:v>
      </x:c>
      <x:c r="AL90" s="192">
        <x:v>6</x:v>
      </x:c>
      <x:c r="AM90" s="192">
        <x:v>0</x:v>
      </x:c>
      <x:c r="AN90" s="193">
        <x:v>0</x:v>
      </x:c>
      <x:c r="AO90" s="193">
        <x:v>0</x:v>
      </x:c>
      <x:c r="AP90" s="193">
        <x:v>0</x:v>
      </x:c>
      <x:c r="AQ90" s="193">
        <x:v>0</x:v>
      </x:c>
      <x:c r="AR90" s="194">
        <x:v>0</x:v>
      </x:c>
      <x:c r="AS90" s="123"/>
    </x:row>
    <x:row r="91" s="5" customFormat="1">
      <x:c r="A91" s="57" t="s">
        <x:v>119</x:v>
      </x:c>
      <x:c r="B91" s="58"/>
      <x:c r="C91" s="58"/>
      <x:c r="D91" s="58"/>
      <x:c r="E91" s="58"/>
      <x:c r="F91" s="73" t="s">
        <x:v>4</x:v>
      </x:c>
      <x:c r="G91" s="73"/>
      <x:c r="H91" s="74" t="s">
        <x:v>5</x:v>
      </x:c>
      <x:c r="I91" s="75"/>
      <x:c r="J91" s="124" t="s">
        <x:v>6</x:v>
      </x:c>
      <x:c r="K91" s="124"/>
      <x:c r="L91" s="124"/>
      <x:c r="M91" s="125" t="s">
        <x:v>7</x:v>
      </x:c>
      <x:c r="N91" s="125"/>
      <x:c r="O91" s="125"/>
      <x:c r="P91" s="125"/>
      <x:c r="Q91" s="126" t="s">
        <x:v>49</x:v>
      </x:c>
      <x:c r="R91" s="126"/>
      <x:c r="S91" s="126"/>
      <x:c r="T91" s="126"/>
      <x:c r="U91" s="126"/>
      <x:c r="V91" s="65" t="s">
        <x:v>50</x:v>
      </x:c>
      <x:c r="W91" s="9"/>
      <x:c r="X91" s="127" t="s">
        <x:v>119</x:v>
      </x:c>
      <x:c r="Y91" s="58"/>
      <x:c r="Z91" s="58"/>
      <x:c r="AA91" s="58"/>
      <x:c r="AB91" s="58"/>
      <x:c r="AC91" s="202" t="s">
        <x:v>4</x:v>
      </x:c>
      <x:c r="AD91" s="203"/>
      <x:c r="AE91" s="204" t="s">
        <x:v>5</x:v>
      </x:c>
      <x:c r="AF91" s="205"/>
      <x:c r="AG91" s="206" t="s">
        <x:v>6</x:v>
      </x:c>
      <x:c r="AH91" s="207"/>
      <x:c r="AI91" s="207"/>
      <x:c r="AJ91" s="208" t="s">
        <x:v>7</x:v>
      </x:c>
      <x:c r="AK91" s="209"/>
      <x:c r="AL91" s="209"/>
      <x:c r="AM91" s="209"/>
      <x:c r="AN91" s="210" t="s">
        <x:v>49</x:v>
      </x:c>
      <x:c r="AO91" s="211"/>
      <x:c r="AP91" s="211"/>
      <x:c r="AQ91" s="211"/>
      <x:c r="AR91" s="212"/>
      <x:c r="AS91" s="81" t="s">
        <x:v>50</x:v>
      </x:c>
    </x:row>
    <x:row r="92" s="5" customFormat="1" ht="31">
      <x:c r="A92" s="70" t="s">
        <x:v>51</x:v>
      </x:c>
      <x:c r="B92" s="70" t="s">
        <x:v>52</x:v>
      </x:c>
      <x:c r="C92" s="70" t="s">
        <x:v>53</x:v>
      </x:c>
      <x:c r="D92" s="71" t="s">
        <x:v>54</x:v>
      </x:c>
      <x:c r="E92" s="71"/>
      <x:c r="F92" s="72" t="s">
        <x:v>10</x:v>
      </x:c>
      <x:c r="G92" s="73" t="s">
        <x:v>11</x:v>
      </x:c>
      <x:c r="H92" s="74" t="s">
        <x:v>55</x:v>
      </x:c>
      <x:c r="I92" s="75" t="s">
        <x:v>13</x:v>
      </x:c>
      <x:c r="J92" s="76" t="s">
        <x:v>14</x:v>
      </x:c>
      <x:c r="K92" s="76" t="s">
        <x:v>15</x:v>
      </x:c>
      <x:c r="L92" s="76" t="s">
        <x:v>56</x:v>
      </x:c>
      <x:c r="M92" s="77" t="s">
        <x:v>57</x:v>
      </x:c>
      <x:c r="N92" s="77" t="s">
        <x:v>58</x:v>
      </x:c>
      <x:c r="O92" s="77" t="s">
        <x:v>59</x:v>
      </x:c>
      <x:c r="P92" s="77" t="s">
        <x:v>60</x:v>
      </x:c>
      <x:c r="Q92" s="78" t="s">
        <x:v>21</x:v>
      </x:c>
      <x:c r="R92" s="78" t="s">
        <x:v>22</x:v>
      </x:c>
      <x:c r="S92" s="78" t="s">
        <x:v>61</x:v>
      </x:c>
      <x:c r="T92" s="78" t="s">
        <x:v>62</x:v>
      </x:c>
      <x:c r="U92" s="78" t="s">
        <x:v>63</x:v>
      </x:c>
      <x:c r="V92" s="65"/>
      <x:c r="W92" s="9"/>
      <x:c r="X92" s="79" t="s">
        <x:v>51</x:v>
      </x:c>
      <x:c r="Y92" s="70" t="s">
        <x:v>52</x:v>
      </x:c>
      <x:c r="Z92" s="70" t="s">
        <x:v>53</x:v>
      </x:c>
      <x:c r="AA92" s="71" t="s">
        <x:v>54</x:v>
      </x:c>
      <x:c r="AB92" s="71"/>
      <x:c r="AC92" s="213" t="s">
        <x:v>10</x:v>
      </x:c>
      <x:c r="AD92" s="202" t="s">
        <x:v>11</x:v>
      </x:c>
      <x:c r="AE92" s="204" t="s">
        <x:v>55</x:v>
      </x:c>
      <x:c r="AF92" s="214" t="s">
        <x:v>13</x:v>
      </x:c>
      <x:c r="AG92" s="215" t="s">
        <x:v>14</x:v>
      </x:c>
      <x:c r="AH92" s="215" t="s">
        <x:v>15</x:v>
      </x:c>
      <x:c r="AI92" s="215" t="s">
        <x:v>56</x:v>
      </x:c>
      <x:c r="AJ92" s="216" t="s">
        <x:v>57</x:v>
      </x:c>
      <x:c r="AK92" s="216" t="s">
        <x:v>58</x:v>
      </x:c>
      <x:c r="AL92" s="216" t="s">
        <x:v>59</x:v>
      </x:c>
      <x:c r="AM92" s="216" t="s">
        <x:v>60</x:v>
      </x:c>
      <x:c r="AN92" s="217" t="s">
        <x:v>21</x:v>
      </x:c>
      <x:c r="AO92" s="217" t="s">
        <x:v>22</x:v>
      </x:c>
      <x:c r="AP92" s="217" t="s">
        <x:v>61</x:v>
      </x:c>
      <x:c r="AQ92" s="217" t="s">
        <x:v>62</x:v>
      </x:c>
      <x:c r="AR92" s="218" t="s">
        <x:v>63</x:v>
      </x:c>
      <x:c r="AS92" s="81"/>
    </x:row>
    <x:row r="93">
      <x:c r="A93" s="83" t="s">
        <x:v>32</x:v>
      </x:c>
      <x:c r="B93" s="83">
        <x:v>1</x:v>
      </x:c>
      <x:c r="C93" s="83" t="s">
        <x:v>66</x:v>
      </x:c>
      <x:c r="D93" s="84" t="s">
        <x:v>67</x:v>
      </x:c>
      <x:c r="E93" s="84"/>
      <x:c r="F93" s="85"/>
      <x:c r="G93" s="95">
        <x:v>8</x:v>
      </x:c>
      <x:c r="H93" s="74"/>
      <x:c r="I93" s="75"/>
      <x:c r="J93" s="91" t="n">
        <x:f>G93</x:f>
        <x:v>8</x:v>
      </x:c>
      <x:c r="K93" s="91" t="n">
        <x:f t="shared" ref="K93:K95" si="73">G93</x:f>
        <x:v>8</x:v>
      </x:c>
      <x:c r="L93" s="91" t="n">
        <x:f t="shared" ref="L93:L95" si="74">G93</x:f>
        <x:v>8</x:v>
      </x:c>
      <x:c r="M93" s="92" t="n">
        <x:f>G93</x:f>
        <x:v>8</x:v>
      </x:c>
      <x:c r="N93" s="92"/>
      <x:c r="O93" s="92" t="n">
        <x:f t="shared" ref="O93:O94" si="75">G93</x:f>
        <x:v>8</x:v>
      </x:c>
      <x:c r="P93" s="92"/>
      <x:c r="Q93" s="78"/>
      <x:c r="R93" s="78"/>
      <x:c r="S93" s="78"/>
      <x:c r="T93" s="78"/>
      <x:c r="U93" s="78"/>
      <x:c r="V93" s="149"/>
      <x:c r="W93" s="9"/>
      <x:c r="X93" s="89" t="s">
        <x:v>32</x:v>
      </x:c>
      <x:c r="Y93" s="83">
        <x:v>1</x:v>
      </x:c>
      <x:c r="Z93" s="83" t="s">
        <x:v>66</x:v>
      </x:c>
      <x:c r="AA93" s="84" t="s">
        <x:v>67</x:v>
      </x:c>
      <x:c r="AB93" s="84"/>
      <x:c r="AC93" s="219"/>
      <x:c r="AD93" s="220">
        <x:v>8</x:v>
      </x:c>
      <x:c r="AE93" s="158"/>
      <x:c r="AF93" s="158"/>
      <x:c r="AG93" s="159" t="n">
        <x:f>AD93</x:f>
        <x:v>8</x:v>
      </x:c>
      <x:c r="AH93" s="159" t="n">
        <x:f>AD93</x:f>
        <x:v>8</x:v>
      </x:c>
      <x:c r="AI93" s="159" t="n">
        <x:f>AD93</x:f>
        <x:v>8</x:v>
      </x:c>
      <x:c r="AJ93" s="160" t="n">
        <x:f>AD93</x:f>
        <x:v>8</x:v>
      </x:c>
      <x:c r="AK93" s="160"/>
      <x:c r="AL93" s="160" t="n">
        <x:f>AD93</x:f>
        <x:v>8</x:v>
      </x:c>
      <x:c r="AM93" s="161"/>
      <x:c r="AN93" s="162"/>
      <x:c r="AO93" s="162"/>
      <x:c r="AP93" s="162"/>
      <x:c r="AQ93" s="162"/>
      <x:c r="AR93" s="163"/>
      <x:c r="AS93" s="90"/>
    </x:row>
    <x:row r="94" ht="68" customHeight="1">
      <x:c r="A94" s="83" t="s">
        <x:v>32</x:v>
      </x:c>
      <x:c r="B94" s="83">
        <x:v>2</x:v>
      </x:c>
      <x:c r="C94" s="93" t="s">
        <x:v>120</x:v>
      </x:c>
      <x:c r="D94" s="94" t="s">
        <x:v>121</x:v>
      </x:c>
      <x:c r="E94" s="94"/>
      <x:c r="F94" s="85"/>
      <x:c r="G94" s="95">
        <x:v>8</x:v>
      </x:c>
      <x:c r="H94" s="86"/>
      <x:c r="I94" s="87"/>
      <x:c r="J94" s="91" t="n">
        <x:f t="shared" ref="J94" si="76">IF(G94&gt;0,1,0)</x:f>
        <x:v>1</x:v>
      </x:c>
      <x:c r="K94" s="91" t="n">
        <x:f>IF(G94&gt;0,1,0)</x:f>
        <x:v>1</x:v>
      </x:c>
      <x:c r="L94" s="91" t="n">
        <x:f>IF(G94&gt;0,1,0)</x:f>
        <x:v>1</x:v>
      </x:c>
      <x:c r="M94" s="92" t="n">
        <x:f>IF(G94&gt;0,1,0)</x:f>
        <x:v>1</x:v>
      </x:c>
      <x:c r="N94" s="92"/>
      <x:c r="O94" s="92">
        <x:f t="shared" si="75"/>
        <x:v>1</x:v>
      </x:c>
      <x:c r="P94" s="92"/>
      <x:c r="Q94" s="96"/>
      <x:c r="R94" s="96"/>
      <x:c r="S94" s="96"/>
      <x:c r="T94" s="96"/>
      <x:c r="U94" s="96"/>
      <x:c r="V94" s="88" t="s">
        <x:v>122</x:v>
      </x:c>
      <x:c r="W94" s="9"/>
      <x:c r="X94" s="89" t="s">
        <x:v>32</x:v>
      </x:c>
      <x:c r="Y94" s="83">
        <x:v>2</x:v>
      </x:c>
      <x:c r="Z94" s="93" t="s">
        <x:v>120</x:v>
      </x:c>
      <x:c r="AA94" s="94" t="s">
        <x:v>121</x:v>
      </x:c>
      <x:c r="AB94" s="94"/>
      <x:c r="AC94" s="219"/>
      <x:c r="AD94" s="220">
        <x:v>8</x:v>
      </x:c>
      <x:c r="AE94" s="158"/>
      <x:c r="AF94" s="158"/>
      <x:c r="AG94" s="159" t="n">
        <x:f>IF(AD94&gt;0,1,0)</x:f>
        <x:v>1</x:v>
      </x:c>
      <x:c r="AH94" s="159" t="n">
        <x:f>IF(AD94&gt;0,1,0)</x:f>
        <x:v>1</x:v>
      </x:c>
      <x:c r="AI94" s="159" t="n">
        <x:f>IF(AD94&gt;0,1,0)</x:f>
        <x:v>1</x:v>
      </x:c>
      <x:c r="AJ94" s="160" t="n">
        <x:f>IF(AD94&gt;0,1,0)</x:f>
        <x:v>1</x:v>
      </x:c>
      <x:c r="AK94" s="161"/>
      <x:c r="AL94" s="160" t="n">
        <x:f>IF(AD94&gt;0,1,0)</x:f>
        <x:v>1</x:v>
      </x:c>
      <x:c r="AM94" s="161"/>
      <x:c r="AN94" s="162"/>
      <x:c r="AO94" s="162"/>
      <x:c r="AP94" s="162"/>
      <x:c r="AQ94" s="162"/>
      <x:c r="AR94" s="163"/>
      <x:c r="AS94" s="25" t="s">
        <x:v>122</x:v>
      </x:c>
    </x:row>
    <x:row r="95" s="1" customFormat="1">
      <x:c r="A95" s="83" t="s">
        <x:v>32</x:v>
      </x:c>
      <x:c r="B95" s="83">
        <x:v>3</x:v>
      </x:c>
      <x:c r="C95" s="83" t="s">
        <x:v>66</x:v>
      </x:c>
      <x:c r="D95" s="84" t="s">
        <x:v>67</x:v>
      </x:c>
      <x:c r="E95" s="84"/>
      <x:c r="F95" s="85"/>
      <x:c r="G95" s="95">
        <x:v>8</x:v>
      </x:c>
      <x:c r="H95" s="74"/>
      <x:c r="I95" s="75"/>
      <x:c r="J95" s="91" t="n">
        <x:f>G95</x:f>
        <x:v>8</x:v>
      </x:c>
      <x:c r="K95" s="91" t="n">
        <x:f t="shared" si="73">G95</x:f>
        <x:v>8</x:v>
      </x:c>
      <x:c r="L95" s="91" t="n">
        <x:f t="shared" si="74">G95</x:f>
        <x:v>8</x:v>
      </x:c>
      <x:c r="M95" s="92" t="n">
        <x:f>G95</x:f>
        <x:v>8</x:v>
      </x:c>
      <x:c r="N95" s="92"/>
      <x:c r="O95" s="92" t="n">
        <x:f>G95</x:f>
        <x:v>8</x:v>
      </x:c>
      <x:c r="P95" s="92"/>
      <x:c r="Q95" s="78"/>
      <x:c r="R95" s="78"/>
      <x:c r="S95" s="78"/>
      <x:c r="T95" s="78"/>
      <x:c r="U95" s="78"/>
      <x:c r="V95" s="149"/>
      <x:c r="W95" s="9"/>
      <x:c r="X95" s="89" t="s">
        <x:v>32</x:v>
      </x:c>
      <x:c r="Y95" s="83">
        <x:v>3</x:v>
      </x:c>
      <x:c r="Z95" s="83" t="s">
        <x:v>66</x:v>
      </x:c>
      <x:c r="AA95" s="84" t="s">
        <x:v>67</x:v>
      </x:c>
      <x:c r="AB95" s="84"/>
      <x:c r="AC95" s="219"/>
      <x:c r="AD95" s="220">
        <x:v>8</x:v>
      </x:c>
      <x:c r="AE95" s="158"/>
      <x:c r="AF95" s="158"/>
      <x:c r="AG95" s="159" t="n">
        <x:f>AD95</x:f>
        <x:v>8</x:v>
      </x:c>
      <x:c r="AH95" s="159" t="n">
        <x:f>AD95</x:f>
        <x:v>8</x:v>
      </x:c>
      <x:c r="AI95" s="159" t="n">
        <x:f>AD95</x:f>
        <x:v>8</x:v>
      </x:c>
      <x:c r="AJ95" s="160" t="n">
        <x:f>AD95</x:f>
        <x:v>8</x:v>
      </x:c>
      <x:c r="AK95" s="160"/>
      <x:c r="AL95" s="160" t="n">
        <x:f>AD95</x:f>
        <x:v>8</x:v>
      </x:c>
      <x:c r="AM95" s="161"/>
      <x:c r="AN95" s="162"/>
      <x:c r="AO95" s="162"/>
      <x:c r="AP95" s="162"/>
      <x:c r="AQ95" s="162"/>
      <x:c r="AR95" s="163"/>
      <x:c r="AS95" s="90"/>
    </x:row>
    <x:row r="96" s="1" customFormat="1">
      <x:c r="A96" s="83" t="s">
        <x:v>32</x:v>
      </x:c>
      <x:c r="B96" s="83">
        <x:v>4</x:v>
      </x:c>
      <x:c r="C96" s="83" t="s">
        <x:v>100</x:v>
      </x:c>
      <x:c r="D96" s="84" t="s">
        <x:v>100</x:v>
      </x:c>
      <x:c r="E96" s="84"/>
      <x:c r="F96" s="85"/>
      <x:c r="G96" s="95">
        <x:v>8</x:v>
      </x:c>
      <x:c r="H96" s="74"/>
      <x:c r="I96" s="74"/>
      <x:c r="J96" s="124"/>
      <x:c r="K96" s="124"/>
      <x:c r="L96" s="124"/>
      <x:c r="M96" s="125"/>
      <x:c r="N96" s="125"/>
      <x:c r="O96" s="125"/>
      <x:c r="P96" s="125"/>
      <x:c r="Q96" s="126"/>
      <x:c r="R96" s="126"/>
      <x:c r="S96" s="126"/>
      <x:c r="T96" s="126"/>
      <x:c r="U96" s="126"/>
      <x:c r="V96" s="88"/>
      <x:c r="W96" s="9"/>
      <x:c r="X96" s="89" t="s">
        <x:v>32</x:v>
      </x:c>
      <x:c r="Y96" s="83">
        <x:v>4</x:v>
      </x:c>
      <x:c r="Z96" s="83" t="s">
        <x:v>100</x:v>
      </x:c>
      <x:c r="AA96" s="84" t="s">
        <x:v>100</x:v>
      </x:c>
      <x:c r="AB96" s="84"/>
      <x:c r="AC96" s="219"/>
      <x:c r="AD96" s="220">
        <x:v>8</x:v>
      </x:c>
      <x:c r="AE96" s="158"/>
      <x:c r="AF96" s="158"/>
      <x:c r="AG96" s="164"/>
      <x:c r="AH96" s="164"/>
      <x:c r="AI96" s="164"/>
      <x:c r="AJ96" s="161"/>
      <x:c r="AK96" s="161"/>
      <x:c r="AL96" s="161"/>
      <x:c r="AM96" s="161"/>
      <x:c r="AN96" s="162"/>
      <x:c r="AO96" s="162"/>
      <x:c r="AP96" s="162"/>
      <x:c r="AQ96" s="162"/>
      <x:c r="AR96" s="163"/>
      <x:c r="AS96" s="90"/>
    </x:row>
    <x:row r="97">
      <x:c r="A97" s="83" t="s">
        <x:v>32</x:v>
      </x:c>
      <x:c r="B97" s="83">
        <x:v>5</x:v>
      </x:c>
      <x:c r="C97" s="83" t="s">
        <x:v>123</x:v>
      </x:c>
      <x:c r="D97" s="84" t="s">
        <x:v>123</x:v>
      </x:c>
      <x:c r="E97" s="84"/>
      <x:c r="F97" s="221"/>
      <x:c r="G97" s="95">
        <x:v>3</x:v>
      </x:c>
      <x:c r="H97" s="86"/>
      <x:c r="I97" s="87"/>
      <x:c r="J97" s="91"/>
      <x:c r="K97" s="91"/>
      <x:c r="L97" s="91"/>
      <x:c r="M97" s="92"/>
      <x:c r="N97" s="92"/>
      <x:c r="O97" s="92"/>
      <x:c r="P97" s="92"/>
      <x:c r="Q97" s="96"/>
      <x:c r="R97" s="96"/>
      <x:c r="S97" s="96"/>
      <x:c r="T97" s="96"/>
      <x:c r="U97" s="96"/>
      <x:c r="V97" s="88"/>
      <x:c r="W97" s="9"/>
      <x:c r="X97" s="89" t="s">
        <x:v>32</x:v>
      </x:c>
      <x:c r="Y97" s="83">
        <x:v>5</x:v>
      </x:c>
      <x:c r="Z97" s="83" t="s">
        <x:v>123</x:v>
      </x:c>
      <x:c r="AA97" s="84" t="s">
        <x:v>123</x:v>
      </x:c>
      <x:c r="AB97" s="84"/>
      <x:c r="AC97" s="219"/>
      <x:c r="AD97" s="220">
        <x:v>3</x:v>
      </x:c>
      <x:c r="AE97" s="158"/>
      <x:c r="AF97" s="158"/>
      <x:c r="AG97" s="164"/>
      <x:c r="AH97" s="164"/>
      <x:c r="AI97" s="164"/>
      <x:c r="AJ97" s="161"/>
      <x:c r="AK97" s="161"/>
      <x:c r="AL97" s="161"/>
      <x:c r="AM97" s="161"/>
      <x:c r="AN97" s="162"/>
      <x:c r="AO97" s="162"/>
      <x:c r="AP97" s="162"/>
      <x:c r="AQ97" s="162"/>
      <x:c r="AR97" s="163"/>
      <x:c r="AS97" s="90"/>
    </x:row>
    <x:row r="98" s="6" customFormat="1">
      <x:c r="A98" s="222" t="s">
        <x:v>101</x:v>
      </x:c>
      <x:c r="B98" s="223"/>
      <x:c r="C98" s="223"/>
      <x:c r="D98" s="223"/>
      <x:c r="E98" s="223"/>
      <x:c r="F98" s="103" t="n">
        <x:f t="shared" ref="F98:U98" si="77">MAX(F93:F97)</x:f>
        <x:v>0</x:v>
      </x:c>
      <x:c r="G98" s="103">
        <x:f t="shared" si="77"/>
        <x:v>8</x:v>
      </x:c>
      <x:c r="H98" s="104">
        <x:f t="shared" si="77"/>
        <x:v>0</x:v>
      </x:c>
      <x:c r="I98" s="104">
        <x:f t="shared" si="77"/>
        <x:v>0</x:v>
      </x:c>
      <x:c r="J98" s="105">
        <x:f t="shared" si="77"/>
        <x:v>8</x:v>
      </x:c>
      <x:c r="K98" s="105">
        <x:f t="shared" si="77"/>
        <x:v>8</x:v>
      </x:c>
      <x:c r="L98" s="105">
        <x:f t="shared" si="77"/>
        <x:v>8</x:v>
      </x:c>
      <x:c r="M98" s="106">
        <x:f t="shared" si="77"/>
        <x:v>8</x:v>
      </x:c>
      <x:c r="N98" s="106">
        <x:f t="shared" si="77"/>
        <x:v>0</x:v>
      </x:c>
      <x:c r="O98" s="106">
        <x:f t="shared" si="77"/>
        <x:v>8</x:v>
      </x:c>
      <x:c r="P98" s="106">
        <x:f t="shared" si="77"/>
        <x:v>0</x:v>
      </x:c>
      <x:c r="Q98" s="107">
        <x:f t="shared" si="77"/>
        <x:v>0</x:v>
      </x:c>
      <x:c r="R98" s="107">
        <x:f t="shared" si="77"/>
        <x:v>0</x:v>
      </x:c>
      <x:c r="S98" s="107">
        <x:f t="shared" si="77"/>
        <x:v>0</x:v>
      </x:c>
      <x:c r="T98" s="107">
        <x:f t="shared" si="77"/>
        <x:v>0</x:v>
      </x:c>
      <x:c r="U98" s="107">
        <x:f t="shared" si="77"/>
        <x:v>0</x:v>
      </x:c>
      <x:c r="V98" s="171"/>
      <x:c r="W98" s="9"/>
      <x:c r="X98" s="224" t="s">
        <x:v>101</x:v>
      </x:c>
      <x:c r="Y98" s="223"/>
      <x:c r="Z98" s="223"/>
      <x:c r="AA98" s="223"/>
      <x:c r="AB98" s="223"/>
      <x:c r="AC98" s="189" t="n">
        <x:f>MAX(AC93:AC97)</x:f>
        <x:v>0</x:v>
      </x:c>
      <x:c r="AD98" s="189">
        <x:v>8</x:v>
      </x:c>
      <x:c r="AE98" s="190">
        <x:v>0</x:v>
      </x:c>
      <x:c r="AF98" s="190">
        <x:v>0</x:v>
      </x:c>
      <x:c r="AG98" s="191">
        <x:v>8</x:v>
      </x:c>
      <x:c r="AH98" s="191">
        <x:v>8</x:v>
      </x:c>
      <x:c r="AI98" s="191">
        <x:v>8</x:v>
      </x:c>
      <x:c r="AJ98" s="192">
        <x:v>1</x:v>
      </x:c>
      <x:c r="AK98" s="192">
        <x:v>0</x:v>
      </x:c>
      <x:c r="AL98" s="192">
        <x:v>1</x:v>
      </x:c>
      <x:c r="AM98" s="192">
        <x:v>0</x:v>
      </x:c>
      <x:c r="AN98" s="193">
        <x:v>0</x:v>
      </x:c>
      <x:c r="AO98" s="193">
        <x:v>0</x:v>
      </x:c>
      <x:c r="AP98" s="193">
        <x:v>0</x:v>
      </x:c>
      <x:c r="AQ98" s="193">
        <x:v>0</x:v>
      </x:c>
      <x:c r="AR98" s="194">
        <x:v>0</x:v>
      </x:c>
      <x:c r="AS98" s="123"/>
    </x:row>
    <x:row r="99" s="5" customFormat="1">
      <x:c r="A99" s="57" t="s">
        <x:v>124</x:v>
      </x:c>
      <x:c r="B99" s="58"/>
      <x:c r="C99" s="58"/>
      <x:c r="D99" s="58"/>
      <x:c r="E99" s="58"/>
      <x:c r="F99" s="73" t="s">
        <x:v>4</x:v>
      </x:c>
      <x:c r="G99" s="73"/>
      <x:c r="H99" s="74" t="s">
        <x:v>5</x:v>
      </x:c>
      <x:c r="I99" s="75"/>
      <x:c r="J99" s="124" t="s">
        <x:v>6</x:v>
      </x:c>
      <x:c r="K99" s="124"/>
      <x:c r="L99" s="124"/>
      <x:c r="M99" s="125" t="s">
        <x:v>7</x:v>
      </x:c>
      <x:c r="N99" s="125"/>
      <x:c r="O99" s="125"/>
      <x:c r="P99" s="125"/>
      <x:c r="Q99" s="126" t="s">
        <x:v>49</x:v>
      </x:c>
      <x:c r="R99" s="126"/>
      <x:c r="S99" s="126"/>
      <x:c r="T99" s="126"/>
      <x:c r="U99" s="126"/>
      <x:c r="V99" s="65" t="s">
        <x:v>50</x:v>
      </x:c>
      <x:c r="W99" s="9"/>
      <x:c r="X99" s="127" t="s">
        <x:v>124</x:v>
      </x:c>
      <x:c r="Y99" s="58"/>
      <x:c r="Z99" s="58"/>
      <x:c r="AA99" s="58"/>
      <x:c r="AB99" s="58"/>
      <x:c r="AC99" s="202" t="s">
        <x:v>4</x:v>
      </x:c>
      <x:c r="AD99" s="203"/>
      <x:c r="AE99" s="204" t="s">
        <x:v>5</x:v>
      </x:c>
      <x:c r="AF99" s="205"/>
      <x:c r="AG99" s="206" t="s">
        <x:v>6</x:v>
      </x:c>
      <x:c r="AH99" s="207"/>
      <x:c r="AI99" s="207"/>
      <x:c r="AJ99" s="208" t="s">
        <x:v>7</x:v>
      </x:c>
      <x:c r="AK99" s="209"/>
      <x:c r="AL99" s="209"/>
      <x:c r="AM99" s="209"/>
      <x:c r="AN99" s="210" t="s">
        <x:v>49</x:v>
      </x:c>
      <x:c r="AO99" s="211"/>
      <x:c r="AP99" s="211"/>
      <x:c r="AQ99" s="211"/>
      <x:c r="AR99" s="212"/>
      <x:c r="AS99" s="81" t="s">
        <x:v>50</x:v>
      </x:c>
    </x:row>
    <x:row r="100" s="5" customFormat="1" ht="31">
      <x:c r="A100" s="70" t="s">
        <x:v>51</x:v>
      </x:c>
      <x:c r="B100" s="70" t="s">
        <x:v>52</x:v>
      </x:c>
      <x:c r="C100" s="70" t="s">
        <x:v>53</x:v>
      </x:c>
      <x:c r="D100" s="71" t="s">
        <x:v>54</x:v>
      </x:c>
      <x:c r="E100" s="71"/>
      <x:c r="F100" s="72" t="s">
        <x:v>10</x:v>
      </x:c>
      <x:c r="G100" s="73" t="s">
        <x:v>11</x:v>
      </x:c>
      <x:c r="H100" s="74" t="s">
        <x:v>55</x:v>
      </x:c>
      <x:c r="I100" s="75" t="s">
        <x:v>13</x:v>
      </x:c>
      <x:c r="J100" s="76" t="s">
        <x:v>14</x:v>
      </x:c>
      <x:c r="K100" s="76" t="s">
        <x:v>15</x:v>
      </x:c>
      <x:c r="L100" s="76" t="s">
        <x:v>56</x:v>
      </x:c>
      <x:c r="M100" s="77" t="s">
        <x:v>57</x:v>
      </x:c>
      <x:c r="N100" s="77" t="s">
        <x:v>58</x:v>
      </x:c>
      <x:c r="O100" s="77" t="s">
        <x:v>59</x:v>
      </x:c>
      <x:c r="P100" s="77" t="s">
        <x:v>60</x:v>
      </x:c>
      <x:c r="Q100" s="78" t="s">
        <x:v>21</x:v>
      </x:c>
      <x:c r="R100" s="78" t="s">
        <x:v>22</x:v>
      </x:c>
      <x:c r="S100" s="78" t="s">
        <x:v>61</x:v>
      </x:c>
      <x:c r="T100" s="78" t="s">
        <x:v>62</x:v>
      </x:c>
      <x:c r="U100" s="78" t="s">
        <x:v>63</x:v>
      </x:c>
      <x:c r="V100" s="65"/>
      <x:c r="W100" s="9"/>
      <x:c r="X100" s="79" t="s">
        <x:v>51</x:v>
      </x:c>
      <x:c r="Y100" s="70" t="s">
        <x:v>52</x:v>
      </x:c>
      <x:c r="Z100" s="70" t="s">
        <x:v>53</x:v>
      </x:c>
      <x:c r="AA100" s="71" t="s">
        <x:v>54</x:v>
      </x:c>
      <x:c r="AB100" s="174"/>
      <x:c r="AC100" s="202" t="s">
        <x:v>10</x:v>
      </x:c>
      <x:c r="AD100" s="202" t="s">
        <x:v>11</x:v>
      </x:c>
      <x:c r="AE100" s="204" t="s">
        <x:v>55</x:v>
      </x:c>
      <x:c r="AF100" s="214" t="s">
        <x:v>13</x:v>
      </x:c>
      <x:c r="AG100" s="215" t="s">
        <x:v>14</x:v>
      </x:c>
      <x:c r="AH100" s="215" t="s">
        <x:v>15</x:v>
      </x:c>
      <x:c r="AI100" s="215" t="s">
        <x:v>56</x:v>
      </x:c>
      <x:c r="AJ100" s="216" t="s">
        <x:v>57</x:v>
      </x:c>
      <x:c r="AK100" s="216" t="s">
        <x:v>58</x:v>
      </x:c>
      <x:c r="AL100" s="216" t="s">
        <x:v>59</x:v>
      </x:c>
      <x:c r="AM100" s="216" t="s">
        <x:v>60</x:v>
      </x:c>
      <x:c r="AN100" s="217" t="s">
        <x:v>21</x:v>
      </x:c>
      <x:c r="AO100" s="217" t="s">
        <x:v>22</x:v>
      </x:c>
      <x:c r="AP100" s="217" t="s">
        <x:v>61</x:v>
      </x:c>
      <x:c r="AQ100" s="217" t="s">
        <x:v>62</x:v>
      </x:c>
      <x:c r="AR100" s="218" t="s">
        <x:v>63</x:v>
      </x:c>
      <x:c r="AS100" s="81"/>
    </x:row>
    <x:row r="101">
      <x:c r="A101" s="83" t="s">
        <x:v>34</x:v>
      </x:c>
      <x:c r="B101" s="83">
        <x:v>1</x:v>
      </x:c>
      <x:c r="C101" s="83" t="s">
        <x:v>66</x:v>
      </x:c>
      <x:c r="D101" s="84" t="s">
        <x:v>67</x:v>
      </x:c>
      <x:c r="E101" s="84"/>
      <x:c r="F101" s="85"/>
      <x:c r="G101" s="95">
        <x:v>6</x:v>
      </x:c>
      <x:c r="H101" s="86"/>
      <x:c r="I101" s="87"/>
      <x:c r="J101" s="91" t="n">
        <x:f t="shared" ref="J101:J103" si="78">G101</x:f>
        <x:v>6</x:v>
      </x:c>
      <x:c r="K101" s="91" t="n">
        <x:f t="shared" ref="K101:K103" si="79">G101</x:f>
        <x:v>6</x:v>
      </x:c>
      <x:c r="L101" s="91" t="n">
        <x:f t="shared" ref="L101:L103" si="80">G101</x:f>
        <x:v>6</x:v>
      </x:c>
      <x:c r="M101" s="92" t="n">
        <x:f t="shared" ref="M101:M103" si="81">G101</x:f>
        <x:v>6</x:v>
      </x:c>
      <x:c r="N101" s="92"/>
      <x:c r="O101" s="92" t="n">
        <x:f t="shared" ref="O101:O103" si="82">G101</x:f>
        <x:v>6</x:v>
      </x:c>
      <x:c r="P101" s="92"/>
      <x:c r="Q101" s="96"/>
      <x:c r="R101" s="96"/>
      <x:c r="S101" s="96"/>
      <x:c r="T101" s="96"/>
      <x:c r="U101" s="96"/>
      <x:c r="V101" s="88"/>
      <x:c r="W101" s="9"/>
      <x:c r="X101" s="89" t="s">
        <x:v>34</x:v>
      </x:c>
      <x:c r="Y101" s="83">
        <x:v>1</x:v>
      </x:c>
      <x:c r="Z101" s="83" t="s">
        <x:v>66</x:v>
      </x:c>
      <x:c r="AA101" s="84" t="s">
        <x:v>67</x:v>
      </x:c>
      <x:c r="AB101" s="178"/>
      <x:c r="AC101" s="183"/>
      <x:c r="AD101" s="220">
        <x:v>6</x:v>
      </x:c>
      <x:c r="AE101" s="158"/>
      <x:c r="AF101" s="158"/>
      <x:c r="AG101" s="159" t="n">
        <x:f>AD101</x:f>
        <x:v>6</x:v>
      </x:c>
      <x:c r="AH101" s="159" t="n">
        <x:f>AD101</x:f>
        <x:v>6</x:v>
      </x:c>
      <x:c r="AI101" s="159" t="n">
        <x:f>AD101</x:f>
        <x:v>6</x:v>
      </x:c>
      <x:c r="AJ101" s="160" t="n">
        <x:f>AD101</x:f>
        <x:v>6</x:v>
      </x:c>
      <x:c r="AK101" s="161"/>
      <x:c r="AL101" s="160" t="n">
        <x:f>AD101</x:f>
        <x:v>6</x:v>
      </x:c>
      <x:c r="AM101" s="161"/>
      <x:c r="AN101" s="162"/>
      <x:c r="AO101" s="162"/>
      <x:c r="AP101" s="162"/>
      <x:c r="AQ101" s="162"/>
      <x:c r="AR101" s="163"/>
      <x:c r="AS101" s="90"/>
    </x:row>
    <x:row r="102" ht="46">
      <x:c r="A102" s="83" t="s">
        <x:v>34</x:v>
      </x:c>
      <x:c r="B102" s="83">
        <x:v>2</x:v>
      </x:c>
      <x:c r="C102" s="83" t="s">
        <x:v>125</x:v>
      </x:c>
      <x:c r="D102" s="84" t="s">
        <x:v>126</x:v>
      </x:c>
      <x:c r="E102" s="84"/>
      <x:c r="F102" s="85"/>
      <x:c r="G102" s="95">
        <x:v>6</x:v>
      </x:c>
      <x:c r="H102" s="86"/>
      <x:c r="I102" s="87"/>
      <x:c r="J102" s="91">
        <x:f t="shared" si="78"/>
        <x:v>6</x:v>
      </x:c>
      <x:c r="K102" s="91">
        <x:f t="shared" si="79"/>
        <x:v>6</x:v>
      </x:c>
      <x:c r="L102" s="91">
        <x:f t="shared" si="80"/>
        <x:v>6</x:v>
      </x:c>
      <x:c r="M102" s="92">
        <x:f t="shared" si="81"/>
        <x:v>6</x:v>
      </x:c>
      <x:c r="N102" s="92"/>
      <x:c r="O102" s="92">
        <x:f t="shared" si="82"/>
        <x:v>6</x:v>
      </x:c>
      <x:c r="P102" s="92"/>
      <x:c r="Q102" s="96"/>
      <x:c r="R102" s="96"/>
      <x:c r="S102" s="96"/>
      <x:c r="T102" s="96"/>
      <x:c r="U102" s="96"/>
      <x:c r="V102" s="88" t="s">
        <x:v>35</x:v>
      </x:c>
      <x:c r="W102" s="9"/>
      <x:c r="X102" s="89" t="s">
        <x:v>34</x:v>
      </x:c>
      <x:c r="Y102" s="83">
        <x:v>2</x:v>
      </x:c>
      <x:c r="Z102" s="83" t="s">
        <x:v>125</x:v>
      </x:c>
      <x:c r="AA102" s="84" t="s">
        <x:v>126</x:v>
      </x:c>
      <x:c r="AB102" s="178"/>
      <x:c r="AC102" s="183"/>
      <x:c r="AD102" s="220">
        <x:v>6</x:v>
      </x:c>
      <x:c r="AE102" s="158"/>
      <x:c r="AF102" s="158"/>
      <x:c r="AG102" s="159" t="n">
        <x:f>AD102</x:f>
        <x:v>6</x:v>
      </x:c>
      <x:c r="AH102" s="159" t="n">
        <x:f>AD102</x:f>
        <x:v>6</x:v>
      </x:c>
      <x:c r="AI102" s="159" t="n">
        <x:f>AD102</x:f>
        <x:v>6</x:v>
      </x:c>
      <x:c r="AJ102" s="160" t="n">
        <x:f>AD102</x:f>
        <x:v>6</x:v>
      </x:c>
      <x:c r="AK102" s="161"/>
      <x:c r="AL102" s="160" t="n">
        <x:f>AD102</x:f>
        <x:v>6</x:v>
      </x:c>
      <x:c r="AM102" s="161"/>
      <x:c r="AN102" s="162"/>
      <x:c r="AO102" s="162"/>
      <x:c r="AP102" s="162"/>
      <x:c r="AQ102" s="162"/>
      <x:c r="AR102" s="163"/>
      <x:c r="AS102" s="25" t="s">
        <x:v>35</x:v>
      </x:c>
    </x:row>
    <x:row r="103">
      <x:c r="A103" s="83" t="s">
        <x:v>34</x:v>
      </x:c>
      <x:c r="B103" s="83">
        <x:v>3</x:v>
      </x:c>
      <x:c r="C103" s="83" t="s">
        <x:v>66</x:v>
      </x:c>
      <x:c r="D103" s="84" t="s">
        <x:v>67</x:v>
      </x:c>
      <x:c r="E103" s="84"/>
      <x:c r="F103" s="85"/>
      <x:c r="G103" s="95">
        <x:v>6</x:v>
      </x:c>
      <x:c r="H103" s="86"/>
      <x:c r="I103" s="87"/>
      <x:c r="J103" s="91">
        <x:f t="shared" si="78"/>
        <x:v>6</x:v>
      </x:c>
      <x:c r="K103" s="91">
        <x:f t="shared" si="79"/>
        <x:v>6</x:v>
      </x:c>
      <x:c r="L103" s="91">
        <x:f t="shared" si="80"/>
        <x:v>6</x:v>
      </x:c>
      <x:c r="M103" s="92">
        <x:f t="shared" si="81"/>
        <x:v>6</x:v>
      </x:c>
      <x:c r="N103" s="92"/>
      <x:c r="O103" s="92">
        <x:f t="shared" si="82"/>
        <x:v>6</x:v>
      </x:c>
      <x:c r="P103" s="92"/>
      <x:c r="Q103" s="96"/>
      <x:c r="R103" s="96"/>
      <x:c r="S103" s="96"/>
      <x:c r="T103" s="96"/>
      <x:c r="U103" s="96"/>
      <x:c r="V103" s="88"/>
      <x:c r="W103" s="9"/>
      <x:c r="X103" s="89" t="s">
        <x:v>34</x:v>
      </x:c>
      <x:c r="Y103" s="83">
        <x:v>3</x:v>
      </x:c>
      <x:c r="Z103" s="83" t="s">
        <x:v>66</x:v>
      </x:c>
      <x:c r="AA103" s="84" t="s">
        <x:v>67</x:v>
      </x:c>
      <x:c r="AB103" s="178"/>
      <x:c r="AC103" s="183"/>
      <x:c r="AD103" s="220">
        <x:v>6</x:v>
      </x:c>
      <x:c r="AE103" s="158"/>
      <x:c r="AF103" s="158"/>
      <x:c r="AG103" s="159" t="n">
        <x:f>AD103</x:f>
        <x:v>6</x:v>
      </x:c>
      <x:c r="AH103" s="159" t="n">
        <x:f>AD103</x:f>
        <x:v>6</x:v>
      </x:c>
      <x:c r="AI103" s="159" t="n">
        <x:f>AD103</x:f>
        <x:v>6</x:v>
      </x:c>
      <x:c r="AJ103" s="160" t="n">
        <x:f>AD103</x:f>
        <x:v>6</x:v>
      </x:c>
      <x:c r="AK103" s="161"/>
      <x:c r="AL103" s="160" t="n">
        <x:f>AD103</x:f>
        <x:v>6</x:v>
      </x:c>
      <x:c r="AM103" s="161"/>
      <x:c r="AN103" s="162"/>
      <x:c r="AO103" s="162"/>
      <x:c r="AP103" s="162"/>
      <x:c r="AQ103" s="162"/>
      <x:c r="AR103" s="163"/>
      <x:c r="AS103" s="90"/>
    </x:row>
    <x:row r="104">
      <x:c r="A104" s="83" t="s">
        <x:v>34</x:v>
      </x:c>
      <x:c r="B104" s="83">
        <x:v>4</x:v>
      </x:c>
      <x:c r="C104" s="83" t="s">
        <x:v>100</x:v>
      </x:c>
      <x:c r="D104" s="84" t="s">
        <x:v>100</x:v>
      </x:c>
      <x:c r="E104" s="84"/>
      <x:c r="F104" s="85"/>
      <x:c r="G104" s="95">
        <x:v>6</x:v>
      </x:c>
      <x:c r="H104" s="86"/>
      <x:c r="I104" s="87"/>
      <x:c r="J104" s="91"/>
      <x:c r="K104" s="91"/>
      <x:c r="L104" s="91"/>
      <x:c r="M104" s="92"/>
      <x:c r="N104" s="92"/>
      <x:c r="O104" s="92"/>
      <x:c r="P104" s="92"/>
      <x:c r="Q104" s="96"/>
      <x:c r="R104" s="96"/>
      <x:c r="S104" s="96"/>
      <x:c r="T104" s="96"/>
      <x:c r="U104" s="96"/>
      <x:c r="V104" s="88"/>
      <x:c r="W104" s="9"/>
      <x:c r="X104" s="89" t="s">
        <x:v>34</x:v>
      </x:c>
      <x:c r="Y104" s="83">
        <x:v>4</x:v>
      </x:c>
      <x:c r="Z104" s="83" t="s">
        <x:v>100</x:v>
      </x:c>
      <x:c r="AA104" s="84" t="s">
        <x:v>100</x:v>
      </x:c>
      <x:c r="AB104" s="178"/>
      <x:c r="AC104" s="183"/>
      <x:c r="AD104" s="220">
        <x:v>6</x:v>
      </x:c>
      <x:c r="AE104" s="158"/>
      <x:c r="AF104" s="158"/>
      <x:c r="AG104" s="164"/>
      <x:c r="AH104" s="164"/>
      <x:c r="AI104" s="164"/>
      <x:c r="AJ104" s="161"/>
      <x:c r="AK104" s="161"/>
      <x:c r="AL104" s="161"/>
      <x:c r="AM104" s="161"/>
      <x:c r="AN104" s="162"/>
      <x:c r="AO104" s="162"/>
      <x:c r="AP104" s="162"/>
      <x:c r="AQ104" s="162"/>
      <x:c r="AR104" s="163"/>
      <x:c r="AS104" s="90"/>
    </x:row>
    <x:row r="105" s="6" customFormat="1">
      <x:c r="A105" s="101" t="s">
        <x:v>101</x:v>
      </x:c>
      <x:c r="B105" s="101"/>
      <x:c r="C105" s="101"/>
      <x:c r="D105" s="101"/>
      <x:c r="E105" s="101"/>
      <x:c r="F105" s="102" t="n">
        <x:f>MAX(F101:F104)</x:f>
        <x:v>0</x:v>
      </x:c>
      <x:c r="G105" s="103" t="n">
        <x:f t="shared" ref="G105:O105" si="83">MAX(G101:G104)</x:f>
        <x:v>6</x:v>
      </x:c>
      <x:c r="H105" s="104">
        <x:f t="shared" si="83"/>
        <x:v>0</x:v>
      </x:c>
      <x:c r="I105" s="104">
        <x:f t="shared" si="83"/>
        <x:v>0</x:v>
      </x:c>
      <x:c r="J105" s="105">
        <x:f t="shared" si="83"/>
        <x:v>6</x:v>
      </x:c>
      <x:c r="K105" s="105">
        <x:f t="shared" si="83"/>
        <x:v>6</x:v>
      </x:c>
      <x:c r="L105" s="105">
        <x:f t="shared" si="83"/>
        <x:v>6</x:v>
      </x:c>
      <x:c r="M105" s="106">
        <x:f t="shared" si="83"/>
        <x:v>6</x:v>
      </x:c>
      <x:c r="N105" s="106">
        <x:f t="shared" si="83"/>
        <x:v>0</x:v>
      </x:c>
      <x:c r="O105" s="106">
        <x:f t="shared" si="83"/>
        <x:v>6</x:v>
      </x:c>
      <x:c r="P105" s="106" t="n">
        <x:f t="shared" ref="P105:U105" si="84">MAX(P101:P104)</x:f>
        <x:v>0</x:v>
      </x:c>
      <x:c r="Q105" s="107">
        <x:f t="shared" si="84"/>
        <x:v>0</x:v>
      </x:c>
      <x:c r="R105" s="107">
        <x:f t="shared" si="84"/>
        <x:v>0</x:v>
      </x:c>
      <x:c r="S105" s="107">
        <x:f t="shared" si="84"/>
        <x:v>0</x:v>
      </x:c>
      <x:c r="T105" s="107">
        <x:f t="shared" si="84"/>
        <x:v>0</x:v>
      </x:c>
      <x:c r="U105" s="107">
        <x:f t="shared" si="84"/>
        <x:v>0</x:v>
      </x:c>
      <x:c r="V105" s="171"/>
      <x:c r="W105" s="9"/>
      <x:c r="X105" s="109" t="s">
        <x:v>101</x:v>
      </x:c>
      <x:c r="Y105" s="101"/>
      <x:c r="Z105" s="101"/>
      <x:c r="AA105" s="101"/>
      <x:c r="AB105" s="201"/>
      <x:c r="AC105" s="189" t="n">
        <x:f>MAX(AC101:AC104)</x:f>
        <x:v>0</x:v>
      </x:c>
      <x:c r="AD105" s="189" t="n">
        <x:f>MAX(AD101:AD104)</x:f>
        <x:v>6</x:v>
      </x:c>
      <x:c r="AE105" s="190">
        <x:v>0</x:v>
      </x:c>
      <x:c r="AF105" s="190">
        <x:v>0</x:v>
      </x:c>
      <x:c r="AG105" s="191">
        <x:v>6</x:v>
      </x:c>
      <x:c r="AH105" s="191">
        <x:v>6</x:v>
      </x:c>
      <x:c r="AI105" s="191">
        <x:v>6</x:v>
      </x:c>
      <x:c r="AJ105" s="192">
        <x:v>0</x:v>
      </x:c>
      <x:c r="AK105" s="192">
        <x:v>0</x:v>
      </x:c>
      <x:c r="AL105" s="192">
        <x:v>0</x:v>
      </x:c>
      <x:c r="AM105" s="192" t="n">
        <x:f>MAX(AM101:AM104)</x:f>
        <x:v>0</x:v>
      </x:c>
      <x:c r="AN105" s="193">
        <x:v>0</x:v>
      </x:c>
      <x:c r="AO105" s="193">
        <x:v>0</x:v>
      </x:c>
      <x:c r="AP105" s="193">
        <x:v>0</x:v>
      </x:c>
      <x:c r="AQ105" s="193">
        <x:v>0</x:v>
      </x:c>
      <x:c r="AR105" s="194">
        <x:v>0</x:v>
      </x:c>
      <x:c r="AS105" s="123"/>
    </x:row>
    <x:row r="106" s="5" customFormat="1">
      <x:c r="A106" s="57" t="s">
        <x:v>127</x:v>
      </x:c>
      <x:c r="B106" s="58"/>
      <x:c r="C106" s="58"/>
      <x:c r="D106" s="58"/>
      <x:c r="E106" s="58"/>
      <x:c r="F106" s="73" t="s">
        <x:v>4</x:v>
      </x:c>
      <x:c r="G106" s="73"/>
      <x:c r="H106" s="74" t="s">
        <x:v>5</x:v>
      </x:c>
      <x:c r="I106" s="75"/>
      <x:c r="J106" s="124" t="s">
        <x:v>6</x:v>
      </x:c>
      <x:c r="K106" s="124"/>
      <x:c r="L106" s="124"/>
      <x:c r="M106" s="125" t="s">
        <x:v>7</x:v>
      </x:c>
      <x:c r="N106" s="125"/>
      <x:c r="O106" s="125"/>
      <x:c r="P106" s="125"/>
      <x:c r="Q106" s="126" t="s">
        <x:v>49</x:v>
      </x:c>
      <x:c r="R106" s="126"/>
      <x:c r="S106" s="126"/>
      <x:c r="T106" s="126"/>
      <x:c r="U106" s="126"/>
      <x:c r="V106" s="65" t="s">
        <x:v>50</x:v>
      </x:c>
      <x:c r="W106" s="9"/>
      <x:c r="X106" s="127" t="s">
        <x:v>127</x:v>
      </x:c>
      <x:c r="Y106" s="58"/>
      <x:c r="Z106" s="58"/>
      <x:c r="AA106" s="58"/>
      <x:c r="AB106" s="58"/>
      <x:c r="AC106" s="202" t="s">
        <x:v>4</x:v>
      </x:c>
      <x:c r="AD106" s="203"/>
      <x:c r="AE106" s="204" t="s">
        <x:v>5</x:v>
      </x:c>
      <x:c r="AF106" s="205"/>
      <x:c r="AG106" s="206" t="s">
        <x:v>6</x:v>
      </x:c>
      <x:c r="AH106" s="207"/>
      <x:c r="AI106" s="207"/>
      <x:c r="AJ106" s="208" t="s">
        <x:v>7</x:v>
      </x:c>
      <x:c r="AK106" s="209"/>
      <x:c r="AL106" s="209"/>
      <x:c r="AM106" s="209"/>
      <x:c r="AN106" s="210" t="s">
        <x:v>49</x:v>
      </x:c>
      <x:c r="AO106" s="211"/>
      <x:c r="AP106" s="211"/>
      <x:c r="AQ106" s="211"/>
      <x:c r="AR106" s="212"/>
      <x:c r="AS106" s="81" t="s">
        <x:v>50</x:v>
      </x:c>
    </x:row>
    <x:row r="107" s="5" customFormat="1" ht="31">
      <x:c r="A107" s="172" t="s">
        <x:v>51</x:v>
      </x:c>
      <x:c r="B107" s="173" t="s">
        <x:v>52</x:v>
      </x:c>
      <x:c r="C107" s="173" t="s">
        <x:v>53</x:v>
      </x:c>
      <x:c r="D107" s="71" t="s">
        <x:v>54</x:v>
      </x:c>
      <x:c r="E107" s="71"/>
      <x:c r="F107" s="72" t="s">
        <x:v>10</x:v>
      </x:c>
      <x:c r="G107" s="73" t="s">
        <x:v>11</x:v>
      </x:c>
      <x:c r="H107" s="74" t="s">
        <x:v>55</x:v>
      </x:c>
      <x:c r="I107" s="75" t="s">
        <x:v>13</x:v>
      </x:c>
      <x:c r="J107" s="76" t="s">
        <x:v>14</x:v>
      </x:c>
      <x:c r="K107" s="76" t="s">
        <x:v>15</x:v>
      </x:c>
      <x:c r="L107" s="76" t="s">
        <x:v>56</x:v>
      </x:c>
      <x:c r="M107" s="77" t="s">
        <x:v>57</x:v>
      </x:c>
      <x:c r="N107" s="77" t="s">
        <x:v>58</x:v>
      </x:c>
      <x:c r="O107" s="77" t="s">
        <x:v>59</x:v>
      </x:c>
      <x:c r="P107" s="77" t="s">
        <x:v>60</x:v>
      </x:c>
      <x:c r="Q107" s="78" t="s">
        <x:v>21</x:v>
      </x:c>
      <x:c r="R107" s="78" t="s">
        <x:v>22</x:v>
      </x:c>
      <x:c r="S107" s="78" t="s">
        <x:v>61</x:v>
      </x:c>
      <x:c r="T107" s="78" t="s">
        <x:v>62</x:v>
      </x:c>
      <x:c r="U107" s="78" t="s">
        <x:v>63</x:v>
      </x:c>
      <x:c r="V107" s="65"/>
      <x:c r="W107" s="9"/>
      <x:c r="X107" s="176" t="s">
        <x:v>51</x:v>
      </x:c>
      <x:c r="Y107" s="173" t="s">
        <x:v>52</x:v>
      </x:c>
      <x:c r="Z107" s="173" t="s">
        <x:v>53</x:v>
      </x:c>
      <x:c r="AA107" s="71" t="s">
        <x:v>54</x:v>
      </x:c>
      <x:c r="AB107" s="71"/>
      <x:c r="AC107" s="213" t="s">
        <x:v>10</x:v>
      </x:c>
      <x:c r="AD107" s="202" t="s">
        <x:v>11</x:v>
      </x:c>
      <x:c r="AE107" s="204" t="s">
        <x:v>55</x:v>
      </x:c>
      <x:c r="AF107" s="214" t="s">
        <x:v>13</x:v>
      </x:c>
      <x:c r="AG107" s="215" t="s">
        <x:v>14</x:v>
      </x:c>
      <x:c r="AH107" s="215" t="s">
        <x:v>15</x:v>
      </x:c>
      <x:c r="AI107" s="215" t="s">
        <x:v>56</x:v>
      </x:c>
      <x:c r="AJ107" s="216" t="s">
        <x:v>57</x:v>
      </x:c>
      <x:c r="AK107" s="216" t="s">
        <x:v>58</x:v>
      </x:c>
      <x:c r="AL107" s="216" t="s">
        <x:v>59</x:v>
      </x:c>
      <x:c r="AM107" s="216" t="s">
        <x:v>60</x:v>
      </x:c>
      <x:c r="AN107" s="217" t="s">
        <x:v>21</x:v>
      </x:c>
      <x:c r="AO107" s="217" t="s">
        <x:v>22</x:v>
      </x:c>
      <x:c r="AP107" s="217" t="s">
        <x:v>61</x:v>
      </x:c>
      <x:c r="AQ107" s="217" t="s">
        <x:v>62</x:v>
      </x:c>
      <x:c r="AR107" s="218" t="s">
        <x:v>63</x:v>
      </x:c>
      <x:c r="AS107" s="81"/>
    </x:row>
    <x:row r="108">
      <x:c r="A108" s="225" t="s">
        <x:v>36</x:v>
      </x:c>
      <x:c r="B108" s="226">
        <x:v>1</x:v>
      </x:c>
      <x:c r="C108" s="226" t="s">
        <x:v>64</x:v>
      </x:c>
      <x:c r="D108" s="84" t="s">
        <x:v>65</x:v>
      </x:c>
      <x:c r="E108" s="84"/>
      <x:c r="F108" s="85">
        <x:v>6</x:v>
      </x:c>
      <x:c r="G108" s="95"/>
      <x:c r="H108" s="86"/>
      <x:c r="I108" s="87"/>
      <x:c r="J108" s="91"/>
      <x:c r="K108" s="91"/>
      <x:c r="L108" s="91"/>
      <x:c r="M108" s="92"/>
      <x:c r="N108" s="92"/>
      <x:c r="O108" s="92"/>
      <x:c r="P108" s="92"/>
      <x:c r="Q108" s="96"/>
      <x:c r="R108" s="96"/>
      <x:c r="S108" s="96"/>
      <x:c r="T108" s="96"/>
      <x:c r="U108" s="96"/>
      <x:c r="V108" s="88"/>
      <x:c r="W108" s="9"/>
      <x:c r="X108" s="227" t="s">
        <x:v>36</x:v>
      </x:c>
      <x:c r="Y108" s="226">
        <x:v>1</x:v>
      </x:c>
      <x:c r="Z108" s="226" t="s">
        <x:v>64</x:v>
      </x:c>
      <x:c r="AA108" s="84" t="s">
        <x:v>65</x:v>
      </x:c>
      <x:c r="AB108" s="84"/>
      <x:c r="AC108" s="200">
        <x:v>6</x:v>
      </x:c>
      <x:c r="AD108" s="183"/>
      <x:c r="AE108" s="158"/>
      <x:c r="AF108" s="158"/>
      <x:c r="AG108" s="164"/>
      <x:c r="AH108" s="164"/>
      <x:c r="AI108" s="164"/>
      <x:c r="AJ108" s="161"/>
      <x:c r="AK108" s="161"/>
      <x:c r="AL108" s="161"/>
      <x:c r="AM108" s="161"/>
      <x:c r="AN108" s="162"/>
      <x:c r="AO108" s="162"/>
      <x:c r="AP108" s="162"/>
      <x:c r="AQ108" s="162"/>
      <x:c r="AR108" s="163"/>
      <x:c r="AS108" s="90"/>
    </x:row>
    <x:row r="109">
      <x:c r="A109" s="83" t="s">
        <x:v>36</x:v>
      </x:c>
      <x:c r="B109" s="83">
        <x:v>2</x:v>
      </x:c>
      <x:c r="C109" s="83" t="s">
        <x:v>66</x:v>
      </x:c>
      <x:c r="D109" s="84" t="s">
        <x:v>67</x:v>
      </x:c>
      <x:c r="E109" s="84"/>
      <x:c r="F109" s="85">
        <x:v>6</x:v>
      </x:c>
      <x:c r="G109" s="95"/>
      <x:c r="H109" s="86"/>
      <x:c r="I109" s="87"/>
      <x:c r="J109" s="91" t="n">
        <x:f t="shared" ref="J109:J111" si="85">F109</x:f>
        <x:v>6</x:v>
      </x:c>
      <x:c r="K109" s="91" t="n">
        <x:f t="shared" ref="K109:K111" si="86">F109</x:f>
        <x:v>6</x:v>
      </x:c>
      <x:c r="L109" s="91" t="n">
        <x:f t="shared" ref="L109:L111" si="87">F109</x:f>
        <x:v>6</x:v>
      </x:c>
      <x:c r="M109" s="92" t="n">
        <x:f t="shared" ref="M109:M111" si="88">F109</x:f>
        <x:v>6</x:v>
      </x:c>
      <x:c r="N109" s="92"/>
      <x:c r="O109" s="92" t="n">
        <x:f t="shared" ref="O109:O111" si="89">F109</x:f>
        <x:v>6</x:v>
      </x:c>
      <x:c r="P109" s="92"/>
      <x:c r="Q109" s="96"/>
      <x:c r="R109" s="96"/>
      <x:c r="S109" s="96"/>
      <x:c r="T109" s="96"/>
      <x:c r="U109" s="96"/>
      <x:c r="V109" s="88"/>
      <x:c r="W109" s="9"/>
      <x:c r="X109" s="89" t="s">
        <x:v>36</x:v>
      </x:c>
      <x:c r="Y109" s="83">
        <x:v>2</x:v>
      </x:c>
      <x:c r="Z109" s="83" t="s">
        <x:v>66</x:v>
      </x:c>
      <x:c r="AA109" s="84" t="s">
        <x:v>67</x:v>
      </x:c>
      <x:c r="AB109" s="84"/>
      <x:c r="AC109" s="200">
        <x:v>6</x:v>
      </x:c>
      <x:c r="AD109" s="183"/>
      <x:c r="AE109" s="158"/>
      <x:c r="AF109" s="158"/>
      <x:c r="AG109" s="159" t="n">
        <x:f>AC109</x:f>
        <x:v>6</x:v>
      </x:c>
      <x:c r="AH109" s="159" t="n">
        <x:f>AC109</x:f>
        <x:v>6</x:v>
      </x:c>
      <x:c r="AI109" s="159" t="n">
        <x:f>AC109</x:f>
        <x:v>6</x:v>
      </x:c>
      <x:c r="AJ109" s="160" t="n">
        <x:f>AC109</x:f>
        <x:v>6</x:v>
      </x:c>
      <x:c r="AK109" s="161"/>
      <x:c r="AL109" s="160" t="n">
        <x:f>AC109</x:f>
        <x:v>6</x:v>
      </x:c>
      <x:c r="AM109" s="161"/>
      <x:c r="AN109" s="162"/>
      <x:c r="AO109" s="162"/>
      <x:c r="AP109" s="162"/>
      <x:c r="AQ109" s="162"/>
      <x:c r="AR109" s="163"/>
      <x:c r="AS109" s="90"/>
    </x:row>
    <x:row r="110">
      <x:c r="A110" s="83" t="s">
        <x:v>36</x:v>
      </x:c>
      <x:c r="B110" s="83">
        <x:v>3</x:v>
      </x:c>
      <x:c r="C110" s="83" t="s">
        <x:v>128</x:v>
      </x:c>
      <x:c r="D110" s="97" t="s">
        <x:v>129</x:v>
      </x:c>
      <x:c r="E110" s="97"/>
      <x:c r="F110" s="85">
        <x:v>6</x:v>
      </x:c>
      <x:c r="G110" s="95"/>
      <x:c r="H110" s="86"/>
      <x:c r="I110" s="87"/>
      <x:c r="J110" s="91">
        <x:f t="shared" si="85"/>
        <x:v>6</x:v>
      </x:c>
      <x:c r="K110" s="91">
        <x:f t="shared" si="86"/>
        <x:v>6</x:v>
      </x:c>
      <x:c r="L110" s="91">
        <x:f t="shared" si="87"/>
        <x:v>6</x:v>
      </x:c>
      <x:c r="M110" s="92">
        <x:f t="shared" si="88"/>
        <x:v>6</x:v>
      </x:c>
      <x:c r="N110" s="92"/>
      <x:c r="O110" s="92">
        <x:f t="shared" si="89"/>
        <x:v>6</x:v>
      </x:c>
      <x:c r="P110" s="92"/>
      <x:c r="Q110" s="96" t="n">
        <x:f>F110</x:f>
        <x:v>6</x:v>
      </x:c>
      <x:c r="R110" s="96" t="n">
        <x:f>F110*3</x:f>
        <x:v>18</x:v>
      </x:c>
      <x:c r="S110" s="96" t="n">
        <x:f>F110*3</x:f>
        <x:v>18</x:v>
      </x:c>
      <x:c r="T110" s="96" t="n">
        <x:f>F110*3</x:f>
        <x:v>18</x:v>
      </x:c>
      <x:c r="U110" s="96" t="n">
        <x:f>F110*3</x:f>
        <x:v>18</x:v>
      </x:c>
      <x:c r="V110" s="88"/>
      <x:c r="W110" s="9"/>
      <x:c r="X110" s="89" t="s">
        <x:v>36</x:v>
      </x:c>
      <x:c r="Y110" s="83">
        <x:v>3</x:v>
      </x:c>
      <x:c r="Z110" s="83" t="s">
        <x:v>128</x:v>
      </x:c>
      <x:c r="AA110" s="97" t="s">
        <x:v>129</x:v>
      </x:c>
      <x:c r="AB110" s="97"/>
      <x:c r="AC110" s="200">
        <x:v>6</x:v>
      </x:c>
      <x:c r="AD110" s="183"/>
      <x:c r="AE110" s="158"/>
      <x:c r="AF110" s="158"/>
      <x:c r="AG110" s="159" t="n">
        <x:f>AC110</x:f>
        <x:v>6</x:v>
      </x:c>
      <x:c r="AH110" s="159" t="n">
        <x:f>AC110</x:f>
        <x:v>6</x:v>
      </x:c>
      <x:c r="AI110" s="159" t="n">
        <x:f>AC110</x:f>
        <x:v>6</x:v>
      </x:c>
      <x:c r="AJ110" s="160" t="n">
        <x:f>AC110</x:f>
        <x:v>6</x:v>
      </x:c>
      <x:c r="AK110" s="161"/>
      <x:c r="AL110" s="160" t="n">
        <x:f>AC110</x:f>
        <x:v>6</x:v>
      </x:c>
      <x:c r="AM110" s="161"/>
      <x:c r="AN110" s="187" t="n">
        <x:f>AC110</x:f>
        <x:v>6</x:v>
      </x:c>
      <x:c r="AO110" s="187" t="n">
        <x:f>AC110*3</x:f>
        <x:v>18</x:v>
      </x:c>
      <x:c r="AP110" s="187" t="n">
        <x:f>AC110*3</x:f>
        <x:v>18</x:v>
      </x:c>
      <x:c r="AQ110" s="187" t="n">
        <x:f>AC110*3</x:f>
        <x:v>18</x:v>
      </x:c>
      <x:c r="AR110" s="188" t="n">
        <x:f>AC110*3</x:f>
        <x:v>18</x:v>
      </x:c>
      <x:c r="AS110" s="90"/>
    </x:row>
    <x:row r="111">
      <x:c r="A111" s="83" t="s">
        <x:v>36</x:v>
      </x:c>
      <x:c r="B111" s="83">
        <x:v>4</x:v>
      </x:c>
      <x:c r="C111" s="83" t="s">
        <x:v>66</x:v>
      </x:c>
      <x:c r="D111" s="84" t="s">
        <x:v>67</x:v>
      </x:c>
      <x:c r="E111" s="84"/>
      <x:c r="F111" s="85">
        <x:v>6</x:v>
      </x:c>
      <x:c r="G111" s="95"/>
      <x:c r="H111" s="86"/>
      <x:c r="I111" s="87"/>
      <x:c r="J111" s="91">
        <x:f t="shared" si="85"/>
        <x:v>6</x:v>
      </x:c>
      <x:c r="K111" s="91">
        <x:f t="shared" si="86"/>
        <x:v>6</x:v>
      </x:c>
      <x:c r="L111" s="91">
        <x:f t="shared" si="87"/>
        <x:v>6</x:v>
      </x:c>
      <x:c r="M111" s="92">
        <x:f t="shared" si="88"/>
        <x:v>6</x:v>
      </x:c>
      <x:c r="N111" s="92"/>
      <x:c r="O111" s="92">
        <x:f t="shared" si="89"/>
        <x:v>6</x:v>
      </x:c>
      <x:c r="P111" s="92"/>
      <x:c r="Q111" s="96"/>
      <x:c r="R111" s="96"/>
      <x:c r="S111" s="96"/>
      <x:c r="T111" s="96"/>
      <x:c r="U111" s="96"/>
      <x:c r="V111" s="88"/>
      <x:c r="W111" s="9"/>
      <x:c r="X111" s="89" t="s">
        <x:v>36</x:v>
      </x:c>
      <x:c r="Y111" s="83">
        <x:v>4</x:v>
      </x:c>
      <x:c r="Z111" s="83" t="s">
        <x:v>66</x:v>
      </x:c>
      <x:c r="AA111" s="84" t="s">
        <x:v>67</x:v>
      </x:c>
      <x:c r="AB111" s="84"/>
      <x:c r="AC111" s="200">
        <x:v>6</x:v>
      </x:c>
      <x:c r="AD111" s="183"/>
      <x:c r="AE111" s="158"/>
      <x:c r="AF111" s="158"/>
      <x:c r="AG111" s="159" t="n">
        <x:f>AC111</x:f>
        <x:v>6</x:v>
      </x:c>
      <x:c r="AH111" s="159" t="n">
        <x:f>AC111</x:f>
        <x:v>6</x:v>
      </x:c>
      <x:c r="AI111" s="159" t="n">
        <x:f>AC111</x:f>
        <x:v>6</x:v>
      </x:c>
      <x:c r="AJ111" s="160" t="n">
        <x:f>AC111</x:f>
        <x:v>6</x:v>
      </x:c>
      <x:c r="AK111" s="161"/>
      <x:c r="AL111" s="160" t="n">
        <x:f>AC111</x:f>
        <x:v>6</x:v>
      </x:c>
      <x:c r="AM111" s="161"/>
      <x:c r="AN111" s="162"/>
      <x:c r="AO111" s="162"/>
      <x:c r="AP111" s="162"/>
      <x:c r="AQ111" s="162"/>
      <x:c r="AR111" s="163"/>
      <x:c r="AS111" s="90"/>
    </x:row>
    <x:row r="112">
      <x:c r="A112" s="83" t="s">
        <x:v>36</x:v>
      </x:c>
      <x:c r="B112" s="83">
        <x:v>5</x:v>
      </x:c>
      <x:c r="C112" s="83" t="s">
        <x:v>64</x:v>
      </x:c>
      <x:c r="D112" s="84" t="s">
        <x:v>65</x:v>
      </x:c>
      <x:c r="E112" s="84"/>
      <x:c r="F112" s="85">
        <x:v>6</x:v>
      </x:c>
      <x:c r="G112" s="95"/>
      <x:c r="H112" s="86"/>
      <x:c r="I112" s="87"/>
      <x:c r="J112" s="91"/>
      <x:c r="K112" s="91"/>
      <x:c r="L112" s="91"/>
      <x:c r="M112" s="92"/>
      <x:c r="N112" s="92"/>
      <x:c r="O112" s="92"/>
      <x:c r="P112" s="92"/>
      <x:c r="Q112" s="96"/>
      <x:c r="R112" s="96"/>
      <x:c r="S112" s="96"/>
      <x:c r="T112" s="96"/>
      <x:c r="U112" s="96"/>
      <x:c r="V112" s="88"/>
      <x:c r="W112" s="9"/>
      <x:c r="X112" s="89" t="s">
        <x:v>36</x:v>
      </x:c>
      <x:c r="Y112" s="83">
        <x:v>5</x:v>
      </x:c>
      <x:c r="Z112" s="83" t="s">
        <x:v>64</x:v>
      </x:c>
      <x:c r="AA112" s="84" t="s">
        <x:v>65</x:v>
      </x:c>
      <x:c r="AB112" s="84"/>
      <x:c r="AC112" s="200">
        <x:v>6</x:v>
      </x:c>
      <x:c r="AD112" s="183"/>
      <x:c r="AE112" s="158"/>
      <x:c r="AF112" s="158"/>
      <x:c r="AG112" s="164"/>
      <x:c r="AH112" s="164"/>
      <x:c r="AI112" s="164"/>
      <x:c r="AJ112" s="161"/>
      <x:c r="AK112" s="161"/>
      <x:c r="AL112" s="161"/>
      <x:c r="AM112" s="161"/>
      <x:c r="AN112" s="162"/>
      <x:c r="AO112" s="162"/>
      <x:c r="AP112" s="162"/>
      <x:c r="AQ112" s="162"/>
      <x:c r="AR112" s="163"/>
      <x:c r="AS112" s="90"/>
    </x:row>
    <x:row r="113">
      <x:c r="A113" s="83" t="s">
        <x:v>36</x:v>
      </x:c>
      <x:c r="B113" s="83">
        <x:v>6</x:v>
      </x:c>
      <x:c r="C113" s="83" t="s">
        <x:v>100</x:v>
      </x:c>
      <x:c r="D113" s="84" t="s">
        <x:v>100</x:v>
      </x:c>
      <x:c r="E113" s="84"/>
      <x:c r="F113" s="85">
        <x:v>6</x:v>
      </x:c>
      <x:c r="G113" s="95"/>
      <x:c r="H113" s="86"/>
      <x:c r="I113" s="87"/>
      <x:c r="J113" s="91"/>
      <x:c r="K113" s="91"/>
      <x:c r="L113" s="91"/>
      <x:c r="M113" s="92"/>
      <x:c r="N113" s="92"/>
      <x:c r="O113" s="92"/>
      <x:c r="P113" s="92"/>
      <x:c r="Q113" s="96"/>
      <x:c r="R113" s="96"/>
      <x:c r="S113" s="96"/>
      <x:c r="T113" s="96"/>
      <x:c r="U113" s="96"/>
      <x:c r="V113" s="88"/>
      <x:c r="W113" s="9"/>
      <x:c r="X113" s="89" t="s">
        <x:v>36</x:v>
      </x:c>
      <x:c r="Y113" s="83">
        <x:v>6</x:v>
      </x:c>
      <x:c r="Z113" s="83" t="s">
        <x:v>100</x:v>
      </x:c>
      <x:c r="AA113" s="84" t="s">
        <x:v>100</x:v>
      </x:c>
      <x:c r="AB113" s="84"/>
      <x:c r="AC113" s="200">
        <x:v>6</x:v>
      </x:c>
      <x:c r="AD113" s="183"/>
      <x:c r="AE113" s="158"/>
      <x:c r="AF113" s="158"/>
      <x:c r="AG113" s="164"/>
      <x:c r="AH113" s="164"/>
      <x:c r="AI113" s="164"/>
      <x:c r="AJ113" s="161"/>
      <x:c r="AK113" s="161"/>
      <x:c r="AL113" s="161"/>
      <x:c r="AM113" s="161"/>
      <x:c r="AN113" s="162"/>
      <x:c r="AO113" s="162"/>
      <x:c r="AP113" s="162"/>
      <x:c r="AQ113" s="162"/>
      <x:c r="AR113" s="163"/>
      <x:c r="AS113" s="90"/>
    </x:row>
    <x:row r="114" s="6" customFormat="1">
      <x:c r="A114" s="101" t="s">
        <x:v>101</x:v>
      </x:c>
      <x:c r="B114" s="101"/>
      <x:c r="C114" s="101"/>
      <x:c r="D114" s="101"/>
      <x:c r="E114" s="101"/>
      <x:c r="F114" s="102" t="n">
        <x:f>MAX(F108:F113)</x:f>
        <x:v>6</x:v>
      </x:c>
      <x:c r="G114" s="103" t="n">
        <x:f t="shared" ref="G114:U114" si="90">MAX(G108:G113)</x:f>
        <x:v>0</x:v>
      </x:c>
      <x:c r="H114" s="104">
        <x:f t="shared" si="90"/>
        <x:v>0</x:v>
      </x:c>
      <x:c r="I114" s="104">
        <x:f t="shared" si="90"/>
        <x:v>0</x:v>
      </x:c>
      <x:c r="J114" s="105">
        <x:f t="shared" si="90"/>
        <x:v>6</x:v>
      </x:c>
      <x:c r="K114" s="105">
        <x:f t="shared" si="90"/>
        <x:v>6</x:v>
      </x:c>
      <x:c r="L114" s="105">
        <x:f t="shared" si="90"/>
        <x:v>6</x:v>
      </x:c>
      <x:c r="M114" s="106">
        <x:f t="shared" si="90"/>
        <x:v>6</x:v>
      </x:c>
      <x:c r="N114" s="106">
        <x:f t="shared" si="90"/>
        <x:v>0</x:v>
      </x:c>
      <x:c r="O114" s="106">
        <x:f t="shared" si="90"/>
        <x:v>6</x:v>
      </x:c>
      <x:c r="P114" s="106">
        <x:f t="shared" si="90"/>
        <x:v>0</x:v>
      </x:c>
      <x:c r="Q114" s="107">
        <x:f t="shared" si="90"/>
        <x:v>6</x:v>
      </x:c>
      <x:c r="R114" s="107">
        <x:f t="shared" si="90"/>
        <x:v>18</x:v>
      </x:c>
      <x:c r="S114" s="107">
        <x:f t="shared" si="90"/>
        <x:v>18</x:v>
      </x:c>
      <x:c r="T114" s="107">
        <x:f t="shared" si="90"/>
        <x:v>18</x:v>
      </x:c>
      <x:c r="U114" s="107">
        <x:f t="shared" si="90"/>
        <x:v>18</x:v>
      </x:c>
      <x:c r="V114" s="171"/>
      <x:c r="W114" s="9"/>
      <x:c r="X114" s="109" t="s">
        <x:v>101</x:v>
      </x:c>
      <x:c r="Y114" s="101"/>
      <x:c r="Z114" s="101"/>
      <x:c r="AA114" s="101"/>
      <x:c r="AB114" s="201"/>
      <x:c r="AC114" s="189" t="n">
        <x:f>MAX(AC108:AC113)</x:f>
        <x:v>6</x:v>
      </x:c>
      <x:c r="AD114" s="189" t="n">
        <x:f>MAX(AD108:AD113)</x:f>
        <x:v>0</x:v>
      </x:c>
      <x:c r="AE114" s="190">
        <x:v>0</x:v>
      </x:c>
      <x:c r="AF114" s="190">
        <x:v>0</x:v>
      </x:c>
      <x:c r="AG114" s="191">
        <x:v>6</x:v>
      </x:c>
      <x:c r="AH114" s="191">
        <x:v>6</x:v>
      </x:c>
      <x:c r="AI114" s="191">
        <x:v>6</x:v>
      </x:c>
      <x:c r="AJ114" s="192">
        <x:v>6</x:v>
      </x:c>
      <x:c r="AK114" s="192">
        <x:v>0</x:v>
      </x:c>
      <x:c r="AL114" s="192">
        <x:v>6</x:v>
      </x:c>
      <x:c r="AM114" s="192">
        <x:v>0</x:v>
      </x:c>
      <x:c r="AN114" s="193">
        <x:v>6</x:v>
      </x:c>
      <x:c r="AO114" s="193">
        <x:v>18</x:v>
      </x:c>
      <x:c r="AP114" s="193">
        <x:v>18</x:v>
      </x:c>
      <x:c r="AQ114" s="193">
        <x:v>18</x:v>
      </x:c>
      <x:c r="AR114" s="194">
        <x:v>18</x:v>
      </x:c>
      <x:c r="AS114" s="123"/>
    </x:row>
    <x:row r="115" s="5" customFormat="1">
      <x:c r="A115" s="57" t="s">
        <x:v>130</x:v>
      </x:c>
      <x:c r="B115" s="58"/>
      <x:c r="C115" s="58"/>
      <x:c r="D115" s="58"/>
      <x:c r="E115" s="58"/>
      <x:c r="F115" s="73" t="s">
        <x:v>4</x:v>
      </x:c>
      <x:c r="G115" s="73"/>
      <x:c r="H115" s="74" t="s">
        <x:v>5</x:v>
      </x:c>
      <x:c r="I115" s="75"/>
      <x:c r="J115" s="124" t="s">
        <x:v>6</x:v>
      </x:c>
      <x:c r="K115" s="124"/>
      <x:c r="L115" s="124"/>
      <x:c r="M115" s="125" t="s">
        <x:v>7</x:v>
      </x:c>
      <x:c r="N115" s="125"/>
      <x:c r="O115" s="125"/>
      <x:c r="P115" s="125"/>
      <x:c r="Q115" s="126" t="s">
        <x:v>49</x:v>
      </x:c>
      <x:c r="R115" s="126"/>
      <x:c r="S115" s="126"/>
      <x:c r="T115" s="126"/>
      <x:c r="U115" s="126"/>
      <x:c r="V115" s="65" t="s">
        <x:v>50</x:v>
      </x:c>
      <x:c r="W115" s="9"/>
      <x:c r="X115" s="127" t="s">
        <x:v>130</x:v>
      </x:c>
      <x:c r="Y115" s="58"/>
      <x:c r="Z115" s="58"/>
      <x:c r="AA115" s="58"/>
      <x:c r="AB115" s="58"/>
      <x:c r="AC115" s="202" t="s">
        <x:v>4</x:v>
      </x:c>
      <x:c r="AD115" s="203"/>
      <x:c r="AE115" s="204" t="s">
        <x:v>5</x:v>
      </x:c>
      <x:c r="AF115" s="205"/>
      <x:c r="AG115" s="206" t="s">
        <x:v>6</x:v>
      </x:c>
      <x:c r="AH115" s="207"/>
      <x:c r="AI115" s="207"/>
      <x:c r="AJ115" s="208" t="s">
        <x:v>7</x:v>
      </x:c>
      <x:c r="AK115" s="209"/>
      <x:c r="AL115" s="209"/>
      <x:c r="AM115" s="209"/>
      <x:c r="AN115" s="210" t="s">
        <x:v>49</x:v>
      </x:c>
      <x:c r="AO115" s="211"/>
      <x:c r="AP115" s="211"/>
      <x:c r="AQ115" s="211"/>
      <x:c r="AR115" s="212"/>
      <x:c r="AS115" s="81" t="s">
        <x:v>50</x:v>
      </x:c>
    </x:row>
    <x:row r="116" s="5" customFormat="1" ht="31">
      <x:c r="A116" s="70" t="s">
        <x:v>51</x:v>
      </x:c>
      <x:c r="B116" s="70" t="s">
        <x:v>52</x:v>
      </x:c>
      <x:c r="C116" s="70" t="s">
        <x:v>53</x:v>
      </x:c>
      <x:c r="D116" s="71" t="s">
        <x:v>54</x:v>
      </x:c>
      <x:c r="E116" s="71"/>
      <x:c r="F116" s="72" t="s">
        <x:v>10</x:v>
      </x:c>
      <x:c r="G116" s="73" t="s">
        <x:v>11</x:v>
      </x:c>
      <x:c r="H116" s="74" t="s">
        <x:v>55</x:v>
      </x:c>
      <x:c r="I116" s="75" t="s">
        <x:v>13</x:v>
      </x:c>
      <x:c r="J116" s="76" t="s">
        <x:v>14</x:v>
      </x:c>
      <x:c r="K116" s="76" t="s">
        <x:v>15</x:v>
      </x:c>
      <x:c r="L116" s="76" t="s">
        <x:v>56</x:v>
      </x:c>
      <x:c r="M116" s="77" t="s">
        <x:v>57</x:v>
      </x:c>
      <x:c r="N116" s="77" t="s">
        <x:v>58</x:v>
      </x:c>
      <x:c r="O116" s="77" t="s">
        <x:v>59</x:v>
      </x:c>
      <x:c r="P116" s="77" t="s">
        <x:v>60</x:v>
      </x:c>
      <x:c r="Q116" s="78" t="s">
        <x:v>21</x:v>
      </x:c>
      <x:c r="R116" s="78" t="s">
        <x:v>22</x:v>
      </x:c>
      <x:c r="S116" s="78" t="s">
        <x:v>61</x:v>
      </x:c>
      <x:c r="T116" s="78" t="s">
        <x:v>62</x:v>
      </x:c>
      <x:c r="U116" s="78" t="s">
        <x:v>63</x:v>
      </x:c>
      <x:c r="V116" s="65"/>
      <x:c r="W116" s="9"/>
      <x:c r="X116" s="79" t="s">
        <x:v>51</x:v>
      </x:c>
      <x:c r="Y116" s="70" t="s">
        <x:v>52</x:v>
      </x:c>
      <x:c r="Z116" s="70" t="s">
        <x:v>53</x:v>
      </x:c>
      <x:c r="AA116" s="71" t="s">
        <x:v>54</x:v>
      </x:c>
      <x:c r="AB116" s="174"/>
      <x:c r="AC116" s="202" t="s">
        <x:v>10</x:v>
      </x:c>
      <x:c r="AD116" s="202" t="s">
        <x:v>11</x:v>
      </x:c>
      <x:c r="AE116" s="204" t="s">
        <x:v>55</x:v>
      </x:c>
      <x:c r="AF116" s="214" t="s">
        <x:v>13</x:v>
      </x:c>
      <x:c r="AG116" s="215" t="s">
        <x:v>14</x:v>
      </x:c>
      <x:c r="AH116" s="215" t="s">
        <x:v>15</x:v>
      </x:c>
      <x:c r="AI116" s="215" t="s">
        <x:v>56</x:v>
      </x:c>
      <x:c r="AJ116" s="216" t="s">
        <x:v>57</x:v>
      </x:c>
      <x:c r="AK116" s="216" t="s">
        <x:v>58</x:v>
      </x:c>
      <x:c r="AL116" s="216" t="s">
        <x:v>59</x:v>
      </x:c>
      <x:c r="AM116" s="216" t="s">
        <x:v>60</x:v>
      </x:c>
      <x:c r="AN116" s="217" t="s">
        <x:v>21</x:v>
      </x:c>
      <x:c r="AO116" s="217" t="s">
        <x:v>22</x:v>
      </x:c>
      <x:c r="AP116" s="217" t="s">
        <x:v>61</x:v>
      </x:c>
      <x:c r="AQ116" s="217" t="s">
        <x:v>62</x:v>
      </x:c>
      <x:c r="AR116" s="218" t="s">
        <x:v>63</x:v>
      </x:c>
      <x:c r="AS116" s="81"/>
    </x:row>
    <x:row r="117">
      <x:c r="A117" s="83" t="s">
        <x:v>37</x:v>
      </x:c>
      <x:c r="B117" s="83">
        <x:v>1</x:v>
      </x:c>
      <x:c r="C117" s="83" t="s">
        <x:v>64</x:v>
      </x:c>
      <x:c r="D117" s="84" t="s">
        <x:v>65</x:v>
      </x:c>
      <x:c r="E117" s="84"/>
      <x:c r="F117" s="85">
        <x:v>6</x:v>
      </x:c>
      <x:c r="G117" s="95"/>
      <x:c r="H117" s="86"/>
      <x:c r="I117" s="87"/>
      <x:c r="J117" s="91"/>
      <x:c r="K117" s="91"/>
      <x:c r="L117" s="91"/>
      <x:c r="M117" s="92"/>
      <x:c r="N117" s="92"/>
      <x:c r="O117" s="92"/>
      <x:c r="P117" s="92"/>
      <x:c r="Q117" s="96"/>
      <x:c r="R117" s="96"/>
      <x:c r="S117" s="96"/>
      <x:c r="T117" s="96"/>
      <x:c r="U117" s="96"/>
      <x:c r="V117" s="88"/>
      <x:c r="W117" s="9"/>
      <x:c r="X117" s="89" t="s">
        <x:v>37</x:v>
      </x:c>
      <x:c r="Y117" s="83">
        <x:v>1</x:v>
      </x:c>
      <x:c r="Z117" s="83" t="s">
        <x:v>64</x:v>
      </x:c>
      <x:c r="AA117" s="84" t="s">
        <x:v>65</x:v>
      </x:c>
      <x:c r="AB117" s="178"/>
      <x:c r="AC117" s="220">
        <x:v>6</x:v>
      </x:c>
      <x:c r="AD117" s="183"/>
      <x:c r="AE117" s="158"/>
      <x:c r="AF117" s="158"/>
      <x:c r="AG117" s="164"/>
      <x:c r="AH117" s="164"/>
      <x:c r="AI117" s="164"/>
      <x:c r="AJ117" s="161"/>
      <x:c r="AK117" s="161"/>
      <x:c r="AL117" s="161"/>
      <x:c r="AM117" s="161"/>
      <x:c r="AN117" s="162"/>
      <x:c r="AO117" s="162"/>
      <x:c r="AP117" s="162"/>
      <x:c r="AQ117" s="162"/>
      <x:c r="AR117" s="163"/>
      <x:c r="AS117" s="90"/>
    </x:row>
    <x:row r="118">
      <x:c r="A118" s="83" t="s">
        <x:v>37</x:v>
      </x:c>
      <x:c r="B118" s="83">
        <x:v>2</x:v>
      </x:c>
      <x:c r="C118" s="83" t="s">
        <x:v>66</x:v>
      </x:c>
      <x:c r="D118" s="84" t="s">
        <x:v>67</x:v>
      </x:c>
      <x:c r="E118" s="84"/>
      <x:c r="F118" s="85">
        <x:v>6</x:v>
      </x:c>
      <x:c r="G118" s="95"/>
      <x:c r="H118" s="86"/>
      <x:c r="I118" s="87"/>
      <x:c r="J118" s="91" t="n">
        <x:f t="shared" ref="J118:J120" si="91">F118</x:f>
        <x:v>6</x:v>
      </x:c>
      <x:c r="K118" s="91" t="n">
        <x:f t="shared" ref="K118:K120" si="92">F118</x:f>
        <x:v>6</x:v>
      </x:c>
      <x:c r="L118" s="91" t="n">
        <x:f t="shared" ref="L118:L120" si="93">F118</x:f>
        <x:v>6</x:v>
      </x:c>
      <x:c r="M118" s="92" t="n">
        <x:f t="shared" ref="M118:M120" si="94">F118</x:f>
        <x:v>6</x:v>
      </x:c>
      <x:c r="N118" s="92"/>
      <x:c r="O118" s="92" t="n">
        <x:f t="shared" ref="O118:O120" si="95">F118</x:f>
        <x:v>6</x:v>
      </x:c>
      <x:c r="P118" s="92"/>
      <x:c r="Q118" s="96"/>
      <x:c r="R118" s="96"/>
      <x:c r="S118" s="96"/>
      <x:c r="T118" s="96"/>
      <x:c r="U118" s="96"/>
      <x:c r="V118" s="88"/>
      <x:c r="W118" s="9"/>
      <x:c r="X118" s="89" t="s">
        <x:v>37</x:v>
      </x:c>
      <x:c r="Y118" s="83">
        <x:v>2</x:v>
      </x:c>
      <x:c r="Z118" s="83" t="s">
        <x:v>66</x:v>
      </x:c>
      <x:c r="AA118" s="84" t="s">
        <x:v>67</x:v>
      </x:c>
      <x:c r="AB118" s="178"/>
      <x:c r="AC118" s="220">
        <x:v>6</x:v>
      </x:c>
      <x:c r="AD118" s="183"/>
      <x:c r="AE118" s="158"/>
      <x:c r="AF118" s="158"/>
      <x:c r="AG118" s="159" t="n">
        <x:f>AC118</x:f>
        <x:v>6</x:v>
      </x:c>
      <x:c r="AH118" s="159" t="n">
        <x:f>AC118</x:f>
        <x:v>6</x:v>
      </x:c>
      <x:c r="AI118" s="159" t="n">
        <x:f>AC118</x:f>
        <x:v>6</x:v>
      </x:c>
      <x:c r="AJ118" s="160" t="n">
        <x:f>AC118</x:f>
        <x:v>6</x:v>
      </x:c>
      <x:c r="AK118" s="161"/>
      <x:c r="AL118" s="160" t="n">
        <x:f>AC118</x:f>
        <x:v>6</x:v>
      </x:c>
      <x:c r="AM118" s="161"/>
      <x:c r="AN118" s="162"/>
      <x:c r="AO118" s="162"/>
      <x:c r="AP118" s="162"/>
      <x:c r="AQ118" s="162"/>
      <x:c r="AR118" s="163"/>
      <x:c r="AS118" s="90"/>
    </x:row>
    <x:row r="119">
      <x:c r="A119" s="83" t="s">
        <x:v>37</x:v>
      </x:c>
      <x:c r="B119" s="83">
        <x:v>3</x:v>
      </x:c>
      <x:c r="C119" s="83" t="s">
        <x:v>131</x:v>
      </x:c>
      <x:c r="D119" s="84" t="s">
        <x:v>132</x:v>
      </x:c>
      <x:c r="E119" s="84"/>
      <x:c r="F119" s="85">
        <x:v>6</x:v>
      </x:c>
      <x:c r="G119" s="95"/>
      <x:c r="H119" s="86"/>
      <x:c r="I119" s="87"/>
      <x:c r="J119" s="91">
        <x:f t="shared" si="91"/>
        <x:v>6</x:v>
      </x:c>
      <x:c r="K119" s="91">
        <x:f t="shared" si="92"/>
        <x:v>6</x:v>
      </x:c>
      <x:c r="L119" s="91">
        <x:f t="shared" si="93"/>
        <x:v>6</x:v>
      </x:c>
      <x:c r="M119" s="92">
        <x:f t="shared" si="94"/>
        <x:v>6</x:v>
      </x:c>
      <x:c r="N119" s="92"/>
      <x:c r="O119" s="92">
        <x:f t="shared" si="95"/>
        <x:v>6</x:v>
      </x:c>
      <x:c r="P119" s="92"/>
      <x:c r="Q119" s="96" t="n">
        <x:f>F119</x:f>
        <x:v>6</x:v>
      </x:c>
      <x:c r="R119" s="96" t="n">
        <x:f>F119*3</x:f>
        <x:v>18</x:v>
      </x:c>
      <x:c r="S119" s="96" t="n">
        <x:f>F119*3</x:f>
        <x:v>18</x:v>
      </x:c>
      <x:c r="T119" s="96" t="n">
        <x:f>F119*3</x:f>
        <x:v>18</x:v>
      </x:c>
      <x:c r="U119" s="96" t="n">
        <x:f>F119*3</x:f>
        <x:v>18</x:v>
      </x:c>
      <x:c r="V119" s="88"/>
      <x:c r="W119" s="9"/>
      <x:c r="X119" s="89" t="s">
        <x:v>37</x:v>
      </x:c>
      <x:c r="Y119" s="83">
        <x:v>3</x:v>
      </x:c>
      <x:c r="Z119" s="83" t="s">
        <x:v>131</x:v>
      </x:c>
      <x:c r="AA119" s="84" t="s">
        <x:v>132</x:v>
      </x:c>
      <x:c r="AB119" s="178"/>
      <x:c r="AC119" s="220">
        <x:v>6</x:v>
      </x:c>
      <x:c r="AD119" s="183"/>
      <x:c r="AE119" s="158"/>
      <x:c r="AF119" s="158"/>
      <x:c r="AG119" s="159" t="n">
        <x:f>AC119</x:f>
        <x:v>6</x:v>
      </x:c>
      <x:c r="AH119" s="159" t="n">
        <x:f>AC119</x:f>
        <x:v>6</x:v>
      </x:c>
      <x:c r="AI119" s="159" t="n">
        <x:f>AC119</x:f>
        <x:v>6</x:v>
      </x:c>
      <x:c r="AJ119" s="160" t="n">
        <x:f>AC119</x:f>
        <x:v>6</x:v>
      </x:c>
      <x:c r="AK119" s="161"/>
      <x:c r="AL119" s="160" t="n">
        <x:f>AC119</x:f>
        <x:v>6</x:v>
      </x:c>
      <x:c r="AM119" s="161"/>
      <x:c r="AN119" s="187" t="n">
        <x:f>AC119</x:f>
        <x:v>6</x:v>
      </x:c>
      <x:c r="AO119" s="187" t="n">
        <x:f>AC119*3</x:f>
        <x:v>18</x:v>
      </x:c>
      <x:c r="AP119" s="187" t="n">
        <x:f>AC119*3</x:f>
        <x:v>18</x:v>
      </x:c>
      <x:c r="AQ119" s="187" t="n">
        <x:f>AC119*3</x:f>
        <x:v>18</x:v>
      </x:c>
      <x:c r="AR119" s="188" t="n">
        <x:f>AC119*3</x:f>
        <x:v>18</x:v>
      </x:c>
      <x:c r="AS119" s="90"/>
    </x:row>
    <x:row r="120">
      <x:c r="A120" s="83" t="s">
        <x:v>37</x:v>
      </x:c>
      <x:c r="B120" s="83">
        <x:v>4</x:v>
      </x:c>
      <x:c r="C120" s="83" t="s">
        <x:v>66</x:v>
      </x:c>
      <x:c r="D120" s="84" t="s">
        <x:v>67</x:v>
      </x:c>
      <x:c r="E120" s="84"/>
      <x:c r="F120" s="85">
        <x:v>6</x:v>
      </x:c>
      <x:c r="G120" s="95"/>
      <x:c r="H120" s="86"/>
      <x:c r="I120" s="87"/>
      <x:c r="J120" s="91">
        <x:f t="shared" si="91"/>
        <x:v>6</x:v>
      </x:c>
      <x:c r="K120" s="91">
        <x:f t="shared" si="92"/>
        <x:v>6</x:v>
      </x:c>
      <x:c r="L120" s="91">
        <x:f t="shared" si="93"/>
        <x:v>6</x:v>
      </x:c>
      <x:c r="M120" s="92">
        <x:f t="shared" si="94"/>
        <x:v>6</x:v>
      </x:c>
      <x:c r="N120" s="92"/>
      <x:c r="O120" s="92">
        <x:f t="shared" si="95"/>
        <x:v>6</x:v>
      </x:c>
      <x:c r="P120" s="92"/>
      <x:c r="Q120" s="96"/>
      <x:c r="R120" s="96"/>
      <x:c r="S120" s="96"/>
      <x:c r="T120" s="96"/>
      <x:c r="U120" s="96"/>
      <x:c r="V120" s="88"/>
      <x:c r="W120" s="9"/>
      <x:c r="X120" s="89" t="s">
        <x:v>37</x:v>
      </x:c>
      <x:c r="Y120" s="83">
        <x:v>4</x:v>
      </x:c>
      <x:c r="Z120" s="83" t="s">
        <x:v>66</x:v>
      </x:c>
      <x:c r="AA120" s="84" t="s">
        <x:v>67</x:v>
      </x:c>
      <x:c r="AB120" s="178"/>
      <x:c r="AC120" s="220">
        <x:v>6</x:v>
      </x:c>
      <x:c r="AD120" s="183"/>
      <x:c r="AE120" s="158"/>
      <x:c r="AF120" s="158"/>
      <x:c r="AG120" s="159" t="n">
        <x:f>AC120</x:f>
        <x:v>6</x:v>
      </x:c>
      <x:c r="AH120" s="159" t="n">
        <x:f>AC120</x:f>
        <x:v>6</x:v>
      </x:c>
      <x:c r="AI120" s="159" t="n">
        <x:f>AC120</x:f>
        <x:v>6</x:v>
      </x:c>
      <x:c r="AJ120" s="160" t="n">
        <x:f>AC120</x:f>
        <x:v>6</x:v>
      </x:c>
      <x:c r="AK120" s="161"/>
      <x:c r="AL120" s="160" t="n">
        <x:f>AC120</x:f>
        <x:v>6</x:v>
      </x:c>
      <x:c r="AM120" s="161"/>
      <x:c r="AN120" s="162"/>
      <x:c r="AO120" s="162"/>
      <x:c r="AP120" s="162"/>
      <x:c r="AQ120" s="162"/>
      <x:c r="AR120" s="163"/>
      <x:c r="AS120" s="90"/>
    </x:row>
    <x:row r="121">
      <x:c r="A121" s="83" t="s">
        <x:v>37</x:v>
      </x:c>
      <x:c r="B121" s="83">
        <x:v>5</x:v>
      </x:c>
      <x:c r="C121" s="83" t="s">
        <x:v>100</x:v>
      </x:c>
      <x:c r="D121" s="84" t="s">
        <x:v>100</x:v>
      </x:c>
      <x:c r="E121" s="84"/>
      <x:c r="F121" s="85">
        <x:v>6</x:v>
      </x:c>
      <x:c r="G121" s="95"/>
      <x:c r="H121" s="86"/>
      <x:c r="I121" s="87"/>
      <x:c r="J121" s="91"/>
      <x:c r="K121" s="91"/>
      <x:c r="L121" s="91"/>
      <x:c r="M121" s="92"/>
      <x:c r="N121" s="92"/>
      <x:c r="O121" s="92"/>
      <x:c r="P121" s="92"/>
      <x:c r="Q121" s="96"/>
      <x:c r="R121" s="96"/>
      <x:c r="S121" s="96"/>
      <x:c r="T121" s="96"/>
      <x:c r="U121" s="96"/>
      <x:c r="V121" s="88"/>
      <x:c r="W121" s="9"/>
      <x:c r="X121" s="89" t="s">
        <x:v>37</x:v>
      </x:c>
      <x:c r="Y121" s="83">
        <x:v>5</x:v>
      </x:c>
      <x:c r="Z121" s="83" t="s">
        <x:v>100</x:v>
      </x:c>
      <x:c r="AA121" s="84" t="s">
        <x:v>100</x:v>
      </x:c>
      <x:c r="AB121" s="178"/>
      <x:c r="AC121" s="220">
        <x:v>6</x:v>
      </x:c>
      <x:c r="AD121" s="183"/>
      <x:c r="AE121" s="158"/>
      <x:c r="AF121" s="158"/>
      <x:c r="AG121" s="164"/>
      <x:c r="AH121" s="164"/>
      <x:c r="AI121" s="164"/>
      <x:c r="AJ121" s="161"/>
      <x:c r="AK121" s="161"/>
      <x:c r="AL121" s="161"/>
      <x:c r="AM121" s="161"/>
      <x:c r="AN121" s="162"/>
      <x:c r="AO121" s="162"/>
      <x:c r="AP121" s="162"/>
      <x:c r="AQ121" s="162"/>
      <x:c r="AR121" s="163"/>
      <x:c r="AS121" s="90"/>
    </x:row>
    <x:row r="122" s="6" customFormat="1">
      <x:c r="A122" s="222" t="s">
        <x:v>101</x:v>
      </x:c>
      <x:c r="B122" s="223"/>
      <x:c r="C122" s="223"/>
      <x:c r="D122" s="223"/>
      <x:c r="E122" s="223"/>
      <x:c r="F122" s="103" t="n">
        <x:f>MAX(F117:F121)</x:f>
        <x:v>6</x:v>
      </x:c>
      <x:c r="G122" s="103" t="n">
        <x:f t="shared" ref="G122:U122" si="96">MAX(G117:G121)</x:f>
        <x:v>0</x:v>
      </x:c>
      <x:c r="H122" s="104">
        <x:f t="shared" si="96"/>
        <x:v>0</x:v>
      </x:c>
      <x:c r="I122" s="104">
        <x:f t="shared" si="96"/>
        <x:v>0</x:v>
      </x:c>
      <x:c r="J122" s="105">
        <x:f t="shared" si="96"/>
        <x:v>6</x:v>
      </x:c>
      <x:c r="K122" s="105">
        <x:f t="shared" si="96"/>
        <x:v>6</x:v>
      </x:c>
      <x:c r="L122" s="105">
        <x:f t="shared" si="96"/>
        <x:v>6</x:v>
      </x:c>
      <x:c r="M122" s="106">
        <x:f t="shared" si="96"/>
        <x:v>6</x:v>
      </x:c>
      <x:c r="N122" s="106">
        <x:f t="shared" si="96"/>
        <x:v>0</x:v>
      </x:c>
      <x:c r="O122" s="106">
        <x:f t="shared" si="96"/>
        <x:v>6</x:v>
      </x:c>
      <x:c r="P122" s="106">
        <x:f t="shared" si="96"/>
        <x:v>0</x:v>
      </x:c>
      <x:c r="Q122" s="107">
        <x:f t="shared" si="96"/>
        <x:v>6</x:v>
      </x:c>
      <x:c r="R122" s="107">
        <x:f t="shared" si="96"/>
        <x:v>18</x:v>
      </x:c>
      <x:c r="S122" s="107">
        <x:f t="shared" si="96"/>
        <x:v>18</x:v>
      </x:c>
      <x:c r="T122" s="107">
        <x:f t="shared" si="96"/>
        <x:v>18</x:v>
      </x:c>
      <x:c r="U122" s="107">
        <x:f t="shared" si="96"/>
        <x:v>18</x:v>
      </x:c>
      <x:c r="V122" s="171"/>
      <x:c r="W122" s="9"/>
      <x:c r="X122" s="224" t="s">
        <x:v>101</x:v>
      </x:c>
      <x:c r="Y122" s="223"/>
      <x:c r="Z122" s="223"/>
      <x:c r="AA122" s="223"/>
      <x:c r="AB122" s="223"/>
      <x:c r="AC122" s="189" t="n">
        <x:f>MAX(AC117:AC121)</x:f>
        <x:v>6</x:v>
      </x:c>
      <x:c r="AD122" s="189" t="n">
        <x:f>MAX(AD117:AD121)</x:f>
        <x:v>0</x:v>
      </x:c>
      <x:c r="AE122" s="190">
        <x:v>0</x:v>
      </x:c>
      <x:c r="AF122" s="190">
        <x:v>0</x:v>
      </x:c>
      <x:c r="AG122" s="191">
        <x:v>6</x:v>
      </x:c>
      <x:c r="AH122" s="191">
        <x:v>6</x:v>
      </x:c>
      <x:c r="AI122" s="191">
        <x:v>6</x:v>
      </x:c>
      <x:c r="AJ122" s="192">
        <x:v>6</x:v>
      </x:c>
      <x:c r="AK122" s="192">
        <x:v>0</x:v>
      </x:c>
      <x:c r="AL122" s="192">
        <x:v>6</x:v>
      </x:c>
      <x:c r="AM122" s="192">
        <x:v>0</x:v>
      </x:c>
      <x:c r="AN122" s="193">
        <x:v>6</x:v>
      </x:c>
      <x:c r="AO122" s="193">
        <x:v>18</x:v>
      </x:c>
      <x:c r="AP122" s="193">
        <x:v>18</x:v>
      </x:c>
      <x:c r="AQ122" s="193">
        <x:v>18</x:v>
      </x:c>
      <x:c r="AR122" s="194">
        <x:v>18</x:v>
      </x:c>
      <x:c r="AS122" s="123"/>
    </x:row>
    <x:row r="123" s="5" customFormat="1">
      <x:c r="A123" s="57" t="s">
        <x:v>133</x:v>
      </x:c>
      <x:c r="B123" s="58"/>
      <x:c r="C123" s="58"/>
      <x:c r="D123" s="58"/>
      <x:c r="E123" s="58"/>
      <x:c r="F123" s="73" t="s">
        <x:v>4</x:v>
      </x:c>
      <x:c r="G123" s="73"/>
      <x:c r="H123" s="74" t="s">
        <x:v>5</x:v>
      </x:c>
      <x:c r="I123" s="75"/>
      <x:c r="J123" s="124" t="s">
        <x:v>6</x:v>
      </x:c>
      <x:c r="K123" s="124"/>
      <x:c r="L123" s="124"/>
      <x:c r="M123" s="125" t="s">
        <x:v>7</x:v>
      </x:c>
      <x:c r="N123" s="125"/>
      <x:c r="O123" s="125"/>
      <x:c r="P123" s="125"/>
      <x:c r="Q123" s="126" t="s">
        <x:v>49</x:v>
      </x:c>
      <x:c r="R123" s="126"/>
      <x:c r="S123" s="126"/>
      <x:c r="T123" s="126"/>
      <x:c r="U123" s="126"/>
      <x:c r="V123" s="65" t="s">
        <x:v>50</x:v>
      </x:c>
      <x:c r="W123" s="9"/>
      <x:c r="X123" s="127" t="s">
        <x:v>133</x:v>
      </x:c>
      <x:c r="Y123" s="58"/>
      <x:c r="Z123" s="58"/>
      <x:c r="AA123" s="58"/>
      <x:c r="AB123" s="58"/>
      <x:c r="AC123" s="202" t="s">
        <x:v>4</x:v>
      </x:c>
      <x:c r="AD123" s="203"/>
      <x:c r="AE123" s="204" t="s">
        <x:v>5</x:v>
      </x:c>
      <x:c r="AF123" s="205"/>
      <x:c r="AG123" s="206" t="s">
        <x:v>6</x:v>
      </x:c>
      <x:c r="AH123" s="207"/>
      <x:c r="AI123" s="207"/>
      <x:c r="AJ123" s="208" t="s">
        <x:v>7</x:v>
      </x:c>
      <x:c r="AK123" s="209"/>
      <x:c r="AL123" s="209"/>
      <x:c r="AM123" s="209"/>
      <x:c r="AN123" s="210" t="s">
        <x:v>49</x:v>
      </x:c>
      <x:c r="AO123" s="211"/>
      <x:c r="AP123" s="211"/>
      <x:c r="AQ123" s="211"/>
      <x:c r="AR123" s="212"/>
      <x:c r="AS123" s="81" t="s">
        <x:v>50</x:v>
      </x:c>
    </x:row>
    <x:row r="124" s="5" customFormat="1" ht="31">
      <x:c r="A124" s="228" t="s">
        <x:v>51</x:v>
      </x:c>
      <x:c r="B124" s="70" t="s">
        <x:v>52</x:v>
      </x:c>
      <x:c r="C124" s="70" t="s">
        <x:v>53</x:v>
      </x:c>
      <x:c r="D124" s="71" t="s">
        <x:v>54</x:v>
      </x:c>
      <x:c r="E124" s="71"/>
      <x:c r="F124" s="72" t="s">
        <x:v>10</x:v>
      </x:c>
      <x:c r="G124" s="73" t="s">
        <x:v>11</x:v>
      </x:c>
      <x:c r="H124" s="74" t="s">
        <x:v>55</x:v>
      </x:c>
      <x:c r="I124" s="75" t="s">
        <x:v>13</x:v>
      </x:c>
      <x:c r="J124" s="76" t="s">
        <x:v>14</x:v>
      </x:c>
      <x:c r="K124" s="76" t="s">
        <x:v>15</x:v>
      </x:c>
      <x:c r="L124" s="76" t="s">
        <x:v>56</x:v>
      </x:c>
      <x:c r="M124" s="77" t="s">
        <x:v>57</x:v>
      </x:c>
      <x:c r="N124" s="77" t="s">
        <x:v>58</x:v>
      </x:c>
      <x:c r="O124" s="77" t="s">
        <x:v>59</x:v>
      </x:c>
      <x:c r="P124" s="77" t="s">
        <x:v>60</x:v>
      </x:c>
      <x:c r="Q124" s="78" t="s">
        <x:v>21</x:v>
      </x:c>
      <x:c r="R124" s="78" t="s">
        <x:v>22</x:v>
      </x:c>
      <x:c r="S124" s="78" t="s">
        <x:v>61</x:v>
      </x:c>
      <x:c r="T124" s="78" t="s">
        <x:v>62</x:v>
      </x:c>
      <x:c r="U124" s="78" t="s">
        <x:v>63</x:v>
      </x:c>
      <x:c r="V124" s="65"/>
      <x:c r="W124" s="9"/>
      <x:c r="X124" s="79" t="s">
        <x:v>51</x:v>
      </x:c>
      <x:c r="Y124" s="70" t="s">
        <x:v>52</x:v>
      </x:c>
      <x:c r="Z124" s="70" t="s">
        <x:v>53</x:v>
      </x:c>
      <x:c r="AA124" s="71" t="s">
        <x:v>54</x:v>
      </x:c>
      <x:c r="AB124" s="174"/>
      <x:c r="AC124" s="202" t="s">
        <x:v>10</x:v>
      </x:c>
      <x:c r="AD124" s="202" t="s">
        <x:v>11</x:v>
      </x:c>
      <x:c r="AE124" s="204" t="s">
        <x:v>55</x:v>
      </x:c>
      <x:c r="AF124" s="214" t="s">
        <x:v>13</x:v>
      </x:c>
      <x:c r="AG124" s="215" t="s">
        <x:v>14</x:v>
      </x:c>
      <x:c r="AH124" s="215" t="s">
        <x:v>15</x:v>
      </x:c>
      <x:c r="AI124" s="215" t="s">
        <x:v>56</x:v>
      </x:c>
      <x:c r="AJ124" s="216" t="s">
        <x:v>57</x:v>
      </x:c>
      <x:c r="AK124" s="216" t="s">
        <x:v>58</x:v>
      </x:c>
      <x:c r="AL124" s="216" t="s">
        <x:v>59</x:v>
      </x:c>
      <x:c r="AM124" s="216" t="s">
        <x:v>60</x:v>
      </x:c>
      <x:c r="AN124" s="217" t="s">
        <x:v>21</x:v>
      </x:c>
      <x:c r="AO124" s="217" t="s">
        <x:v>22</x:v>
      </x:c>
      <x:c r="AP124" s="217" t="s">
        <x:v>61</x:v>
      </x:c>
      <x:c r="AQ124" s="217" t="s">
        <x:v>62</x:v>
      </x:c>
      <x:c r="AR124" s="218" t="s">
        <x:v>63</x:v>
      </x:c>
      <x:c r="AS124" s="81"/>
    </x:row>
    <x:row r="125">
      <x:c r="A125" s="82" t="s">
        <x:v>38</x:v>
      </x:c>
      <x:c r="B125" s="83">
        <x:v>1</x:v>
      </x:c>
      <x:c r="C125" s="83" t="s">
        <x:v>64</x:v>
      </x:c>
      <x:c r="D125" s="84" t="s">
        <x:v>65</x:v>
      </x:c>
      <x:c r="E125" s="84"/>
      <x:c r="F125" s="85">
        <x:v>6</x:v>
      </x:c>
      <x:c r="G125" s="95"/>
      <x:c r="H125" s="86"/>
      <x:c r="I125" s="87"/>
      <x:c r="J125" s="91"/>
      <x:c r="K125" s="91"/>
      <x:c r="L125" s="91"/>
      <x:c r="M125" s="92"/>
      <x:c r="N125" s="92"/>
      <x:c r="O125" s="92"/>
      <x:c r="P125" s="92"/>
      <x:c r="Q125" s="96"/>
      <x:c r="R125" s="96"/>
      <x:c r="S125" s="96"/>
      <x:c r="T125" s="96"/>
      <x:c r="U125" s="96"/>
      <x:c r="V125" s="88"/>
      <x:c r="W125" s="9"/>
      <x:c r="X125" s="89" t="s">
        <x:v>38</x:v>
      </x:c>
      <x:c r="Y125" s="83">
        <x:v>1</x:v>
      </x:c>
      <x:c r="Z125" s="83" t="s">
        <x:v>64</x:v>
      </x:c>
      <x:c r="AA125" s="84" t="s">
        <x:v>65</x:v>
      </x:c>
      <x:c r="AB125" s="178"/>
      <x:c r="AC125" s="220">
        <x:v>6</x:v>
      </x:c>
      <x:c r="AD125" s="183"/>
      <x:c r="AE125" s="158"/>
      <x:c r="AF125" s="158"/>
      <x:c r="AG125" s="164"/>
      <x:c r="AH125" s="164"/>
      <x:c r="AI125" s="164"/>
      <x:c r="AJ125" s="161"/>
      <x:c r="AK125" s="161"/>
      <x:c r="AL125" s="161"/>
      <x:c r="AM125" s="161"/>
      <x:c r="AN125" s="162"/>
      <x:c r="AO125" s="162"/>
      <x:c r="AP125" s="162"/>
      <x:c r="AQ125" s="162"/>
      <x:c r="AR125" s="163"/>
      <x:c r="AS125" s="90"/>
    </x:row>
    <x:row r="126">
      <x:c r="A126" s="82" t="s">
        <x:v>38</x:v>
      </x:c>
      <x:c r="B126" s="83">
        <x:v>2</x:v>
      </x:c>
      <x:c r="C126" s="83" t="s">
        <x:v>66</x:v>
      </x:c>
      <x:c r="D126" s="84" t="s">
        <x:v>67</x:v>
      </x:c>
      <x:c r="E126" s="84"/>
      <x:c r="F126" s="85">
        <x:v>6</x:v>
      </x:c>
      <x:c r="G126" s="95"/>
      <x:c r="H126" s="86"/>
      <x:c r="I126" s="87"/>
      <x:c r="J126" s="91" t="n">
        <x:f>F126</x:f>
        <x:v>6</x:v>
      </x:c>
      <x:c r="K126" s="91" t="n">
        <x:f>F126</x:f>
        <x:v>6</x:v>
      </x:c>
      <x:c r="L126" s="91" t="n">
        <x:f>F126</x:f>
        <x:v>6</x:v>
      </x:c>
      <x:c r="M126" s="92" t="n">
        <x:f>F126</x:f>
        <x:v>6</x:v>
      </x:c>
      <x:c r="N126" s="92"/>
      <x:c r="O126" s="92" t="n">
        <x:f>F126</x:f>
        <x:v>6</x:v>
      </x:c>
      <x:c r="P126" s="92"/>
      <x:c r="Q126" s="96"/>
      <x:c r="R126" s="96"/>
      <x:c r="S126" s="96"/>
      <x:c r="T126" s="96"/>
      <x:c r="U126" s="96"/>
      <x:c r="V126" s="88"/>
      <x:c r="W126" s="9"/>
      <x:c r="X126" s="89" t="s">
        <x:v>38</x:v>
      </x:c>
      <x:c r="Y126" s="83">
        <x:v>2</x:v>
      </x:c>
      <x:c r="Z126" s="83" t="s">
        <x:v>66</x:v>
      </x:c>
      <x:c r="AA126" s="84" t="s">
        <x:v>67</x:v>
      </x:c>
      <x:c r="AB126" s="178"/>
      <x:c r="AC126" s="220">
        <x:v>6</x:v>
      </x:c>
      <x:c r="AD126" s="183"/>
      <x:c r="AE126" s="158"/>
      <x:c r="AF126" s="158"/>
      <x:c r="AG126" s="159" t="n">
        <x:f>AC126</x:f>
        <x:v>6</x:v>
      </x:c>
      <x:c r="AH126" s="159" t="n">
        <x:f>AC126</x:f>
        <x:v>6</x:v>
      </x:c>
      <x:c r="AI126" s="159" t="n">
        <x:f>AC126</x:f>
        <x:v>6</x:v>
      </x:c>
      <x:c r="AJ126" s="160" t="n">
        <x:f>AC126</x:f>
        <x:v>6</x:v>
      </x:c>
      <x:c r="AK126" s="161"/>
      <x:c r="AL126" s="160" t="n">
        <x:f>AC126</x:f>
        <x:v>6</x:v>
      </x:c>
      <x:c r="AM126" s="161"/>
      <x:c r="AN126" s="162"/>
      <x:c r="AO126" s="162"/>
      <x:c r="AP126" s="162"/>
      <x:c r="AQ126" s="162"/>
      <x:c r="AR126" s="163"/>
      <x:c r="AS126" s="90"/>
    </x:row>
    <x:row r="127">
      <x:c r="A127" s="82" t="s">
        <x:v>38</x:v>
      </x:c>
      <x:c r="B127" s="83">
        <x:v>3</x:v>
      </x:c>
      <x:c r="C127" s="83" t="s">
        <x:v>131</x:v>
      </x:c>
      <x:c r="D127" s="97" t="s">
        <x:v>134</x:v>
      </x:c>
      <x:c r="E127" s="97"/>
      <x:c r="F127" s="85">
        <x:v>6</x:v>
      </x:c>
      <x:c r="G127" s="95"/>
      <x:c r="H127" s="86"/>
      <x:c r="I127" s="87"/>
      <x:c r="J127" s="91" t="n">
        <x:f>F127</x:f>
        <x:v>6</x:v>
      </x:c>
      <x:c r="K127" s="91" t="n">
        <x:f>F127</x:f>
        <x:v>6</x:v>
      </x:c>
      <x:c r="L127" s="91" t="n">
        <x:f>F127</x:f>
        <x:v>6</x:v>
      </x:c>
      <x:c r="M127" s="92" t="n">
        <x:f>F127</x:f>
        <x:v>6</x:v>
      </x:c>
      <x:c r="N127" s="92"/>
      <x:c r="O127" s="92" t="n">
        <x:f>F127</x:f>
        <x:v>6</x:v>
      </x:c>
      <x:c r="P127" s="92"/>
      <x:c r="Q127" s="96" t="n">
        <x:f>F127</x:f>
        <x:v>6</x:v>
      </x:c>
      <x:c r="R127" s="96" t="n">
        <x:f>F127*3</x:f>
        <x:v>18</x:v>
      </x:c>
      <x:c r="S127" s="96" t="n">
        <x:f>F127*3</x:f>
        <x:v>18</x:v>
      </x:c>
      <x:c r="T127" s="96" t="n">
        <x:f>F127*3</x:f>
        <x:v>18</x:v>
      </x:c>
      <x:c r="U127" s="96" t="n">
        <x:f>F127*3</x:f>
        <x:v>18</x:v>
      </x:c>
      <x:c r="V127" s="88"/>
      <x:c r="W127" s="9"/>
      <x:c r="X127" s="89" t="s">
        <x:v>38</x:v>
      </x:c>
      <x:c r="Y127" s="83">
        <x:v>3</x:v>
      </x:c>
      <x:c r="Z127" s="83" t="s">
        <x:v>131</x:v>
      </x:c>
      <x:c r="AA127" s="97" t="s">
        <x:v>134</x:v>
      </x:c>
      <x:c r="AB127" s="229"/>
      <x:c r="AC127" s="220">
        <x:v>6</x:v>
      </x:c>
      <x:c r="AD127" s="183"/>
      <x:c r="AE127" s="158"/>
      <x:c r="AF127" s="158"/>
      <x:c r="AG127" s="159" t="n">
        <x:f>AC127</x:f>
        <x:v>6</x:v>
      </x:c>
      <x:c r="AH127" s="159" t="n">
        <x:f>AC127</x:f>
        <x:v>6</x:v>
      </x:c>
      <x:c r="AI127" s="159" t="n">
        <x:f>AC127</x:f>
        <x:v>6</x:v>
      </x:c>
      <x:c r="AJ127" s="160" t="n">
        <x:f>AC127</x:f>
        <x:v>6</x:v>
      </x:c>
      <x:c r="AK127" s="161"/>
      <x:c r="AL127" s="160" t="n">
        <x:f>AC127</x:f>
        <x:v>6</x:v>
      </x:c>
      <x:c r="AM127" s="161"/>
      <x:c r="AN127" s="187" t="n">
        <x:f>AC127</x:f>
        <x:v>6</x:v>
      </x:c>
      <x:c r="AO127" s="187" t="n">
        <x:f>AC127*3</x:f>
        <x:v>18</x:v>
      </x:c>
      <x:c r="AP127" s="187" t="n">
        <x:f>AC127*3</x:f>
        <x:v>18</x:v>
      </x:c>
      <x:c r="AQ127" s="187" t="n">
        <x:f>AC127*3</x:f>
        <x:v>18</x:v>
      </x:c>
      <x:c r="AR127" s="188" t="n">
        <x:f>AC127*3</x:f>
        <x:v>18</x:v>
      </x:c>
      <x:c r="AS127" s="90"/>
    </x:row>
    <x:row r="128">
      <x:c r="A128" s="82" t="s">
        <x:v>38</x:v>
      </x:c>
      <x:c r="B128" s="83">
        <x:v>4</x:v>
      </x:c>
      <x:c r="C128" s="83" t="s">
        <x:v>66</x:v>
      </x:c>
      <x:c r="D128" s="84" t="s">
        <x:v>67</x:v>
      </x:c>
      <x:c r="E128" s="84"/>
      <x:c r="F128" s="85">
        <x:v>6</x:v>
      </x:c>
      <x:c r="G128" s="95"/>
      <x:c r="H128" s="86"/>
      <x:c r="I128" s="87"/>
      <x:c r="J128" s="91" t="n">
        <x:f>F128</x:f>
        <x:v>6</x:v>
      </x:c>
      <x:c r="K128" s="91" t="n">
        <x:f>F128</x:f>
        <x:v>6</x:v>
      </x:c>
      <x:c r="L128" s="91" t="n">
        <x:f>F128</x:f>
        <x:v>6</x:v>
      </x:c>
      <x:c r="M128" s="92" t="n">
        <x:f>F128</x:f>
        <x:v>6</x:v>
      </x:c>
      <x:c r="N128" s="92"/>
      <x:c r="O128" s="92" t="n">
        <x:f>F128</x:f>
        <x:v>6</x:v>
      </x:c>
      <x:c r="P128" s="92"/>
      <x:c r="Q128" s="96"/>
      <x:c r="R128" s="96"/>
      <x:c r="S128" s="96"/>
      <x:c r="T128" s="96"/>
      <x:c r="U128" s="96"/>
      <x:c r="V128" s="88"/>
      <x:c r="W128" s="9"/>
      <x:c r="X128" s="89" t="s">
        <x:v>38</x:v>
      </x:c>
      <x:c r="Y128" s="83">
        <x:v>4</x:v>
      </x:c>
      <x:c r="Z128" s="83" t="s">
        <x:v>66</x:v>
      </x:c>
      <x:c r="AA128" s="84" t="s">
        <x:v>67</x:v>
      </x:c>
      <x:c r="AB128" s="178"/>
      <x:c r="AC128" s="220">
        <x:v>6</x:v>
      </x:c>
      <x:c r="AD128" s="183"/>
      <x:c r="AE128" s="158"/>
      <x:c r="AF128" s="158"/>
      <x:c r="AG128" s="159" t="n">
        <x:f>AC128</x:f>
        <x:v>6</x:v>
      </x:c>
      <x:c r="AH128" s="159" t="n">
        <x:f>AC128</x:f>
        <x:v>6</x:v>
      </x:c>
      <x:c r="AI128" s="159" t="n">
        <x:f>AC128</x:f>
        <x:v>6</x:v>
      </x:c>
      <x:c r="AJ128" s="160" t="n">
        <x:f>AC128</x:f>
        <x:v>6</x:v>
      </x:c>
      <x:c r="AK128" s="161"/>
      <x:c r="AL128" s="160" t="n">
        <x:f>AC128</x:f>
        <x:v>6</x:v>
      </x:c>
      <x:c r="AM128" s="161"/>
      <x:c r="AN128" s="162"/>
      <x:c r="AO128" s="162"/>
      <x:c r="AP128" s="162"/>
      <x:c r="AQ128" s="162"/>
      <x:c r="AR128" s="163"/>
      <x:c r="AS128" s="90"/>
    </x:row>
    <x:row r="129">
      <x:c r="A129" s="82" t="s">
        <x:v>38</x:v>
      </x:c>
      <x:c r="B129" s="83">
        <x:v>5</x:v>
      </x:c>
      <x:c r="C129" s="83" t="s">
        <x:v>64</x:v>
      </x:c>
      <x:c r="D129" s="84" t="s">
        <x:v>65</x:v>
      </x:c>
      <x:c r="E129" s="84"/>
      <x:c r="F129" s="85">
        <x:v>6</x:v>
      </x:c>
      <x:c r="G129" s="95"/>
      <x:c r="H129" s="86"/>
      <x:c r="I129" s="87"/>
      <x:c r="J129" s="91"/>
      <x:c r="K129" s="91"/>
      <x:c r="L129" s="91"/>
      <x:c r="M129" s="92"/>
      <x:c r="N129" s="92"/>
      <x:c r="O129" s="92"/>
      <x:c r="P129" s="92"/>
      <x:c r="Q129" s="96"/>
      <x:c r="R129" s="96"/>
      <x:c r="S129" s="96"/>
      <x:c r="T129" s="96"/>
      <x:c r="U129" s="96"/>
      <x:c r="V129" s="88"/>
      <x:c r="W129" s="9"/>
      <x:c r="X129" s="89" t="s">
        <x:v>38</x:v>
      </x:c>
      <x:c r="Y129" s="83">
        <x:v>5</x:v>
      </x:c>
      <x:c r="Z129" s="83" t="s">
        <x:v>64</x:v>
      </x:c>
      <x:c r="AA129" s="84" t="s">
        <x:v>65</x:v>
      </x:c>
      <x:c r="AB129" s="178"/>
      <x:c r="AC129" s="220">
        <x:v>6</x:v>
      </x:c>
      <x:c r="AD129" s="183"/>
      <x:c r="AE129" s="158"/>
      <x:c r="AF129" s="158"/>
      <x:c r="AG129" s="164"/>
      <x:c r="AH129" s="164"/>
      <x:c r="AI129" s="164"/>
      <x:c r="AJ129" s="161"/>
      <x:c r="AK129" s="161"/>
      <x:c r="AL129" s="161"/>
      <x:c r="AM129" s="161"/>
      <x:c r="AN129" s="162"/>
      <x:c r="AO129" s="162"/>
      <x:c r="AP129" s="162"/>
      <x:c r="AQ129" s="162"/>
      <x:c r="AR129" s="163"/>
      <x:c r="AS129" s="90"/>
    </x:row>
    <x:row r="130">
      <x:c r="A130" s="225" t="s">
        <x:v>38</x:v>
      </x:c>
      <x:c r="B130" s="226">
        <x:v>6</x:v>
      </x:c>
      <x:c r="C130" s="226" t="s">
        <x:v>100</x:v>
      </x:c>
      <x:c r="D130" s="182" t="s">
        <x:v>100</x:v>
      </x:c>
      <x:c r="F130" s="95">
        <x:v>6</x:v>
      </x:c>
      <x:c r="G130" s="95"/>
      <x:c r="H130" s="86"/>
      <x:c r="I130" s="87"/>
      <x:c r="J130" s="91"/>
      <x:c r="K130" s="91"/>
      <x:c r="L130" s="91"/>
      <x:c r="M130" s="92"/>
      <x:c r="N130" s="92"/>
      <x:c r="O130" s="92"/>
      <x:c r="P130" s="92"/>
      <x:c r="Q130" s="96"/>
      <x:c r="R130" s="96"/>
      <x:c r="S130" s="96"/>
      <x:c r="T130" s="96"/>
      <x:c r="U130" s="96"/>
      <x:c r="V130" s="88"/>
      <x:c r="W130" s="9"/>
      <x:c r="X130" s="89" t="s">
        <x:v>38</x:v>
      </x:c>
      <x:c r="Y130" s="83">
        <x:v>6</x:v>
      </x:c>
      <x:c r="Z130" s="83" t="s">
        <x:v>100</x:v>
      </x:c>
      <x:c r="AA130" s="84" t="s">
        <x:v>100</x:v>
      </x:c>
      <x:c r="AB130" s="178"/>
      <x:c r="AC130" s="220">
        <x:v>6</x:v>
      </x:c>
      <x:c r="AD130" s="183"/>
      <x:c r="AE130" s="158"/>
      <x:c r="AF130" s="158"/>
      <x:c r="AG130" s="164"/>
      <x:c r="AH130" s="164"/>
      <x:c r="AI130" s="164"/>
      <x:c r="AJ130" s="161"/>
      <x:c r="AK130" s="161"/>
      <x:c r="AL130" s="161"/>
      <x:c r="AM130" s="161"/>
      <x:c r="AN130" s="162"/>
      <x:c r="AO130" s="162"/>
      <x:c r="AP130" s="162"/>
      <x:c r="AQ130" s="162"/>
      <x:c r="AR130" s="163"/>
      <x:c r="AS130" s="90"/>
    </x:row>
    <x:row r="131" s="7" customFormat="1">
      <x:c r="A131" s="101" t="s">
        <x:v>101</x:v>
      </x:c>
      <x:c r="B131" s="101"/>
      <x:c r="C131" s="101"/>
      <x:c r="D131" s="101"/>
      <x:c r="E131" s="101"/>
      <x:c r="F131" s="102" t="n">
        <x:f>MAX(F125:F130)</x:f>
        <x:v>6</x:v>
      </x:c>
      <x:c r="G131" s="103" t="n">
        <x:f t="shared" ref="G131:U131" si="97">MAX(G125:G130)</x:f>
        <x:v>0</x:v>
      </x:c>
      <x:c r="H131" s="104">
        <x:f t="shared" si="97"/>
        <x:v>0</x:v>
      </x:c>
      <x:c r="I131" s="104">
        <x:f t="shared" si="97"/>
        <x:v>0</x:v>
      </x:c>
      <x:c r="J131" s="105">
        <x:f t="shared" si="97"/>
        <x:v>6</x:v>
      </x:c>
      <x:c r="K131" s="105">
        <x:f t="shared" si="97"/>
        <x:v>6</x:v>
      </x:c>
      <x:c r="L131" s="105">
        <x:f t="shared" si="97"/>
        <x:v>6</x:v>
      </x:c>
      <x:c r="M131" s="106">
        <x:f t="shared" si="97"/>
        <x:v>6</x:v>
      </x:c>
      <x:c r="N131" s="106">
        <x:f t="shared" si="97"/>
        <x:v>0</x:v>
      </x:c>
      <x:c r="O131" s="106">
        <x:f t="shared" si="97"/>
        <x:v>6</x:v>
      </x:c>
      <x:c r="P131" s="106">
        <x:f t="shared" si="97"/>
        <x:v>0</x:v>
      </x:c>
      <x:c r="Q131" s="107">
        <x:f t="shared" si="97"/>
        <x:v>6</x:v>
      </x:c>
      <x:c r="R131" s="107">
        <x:f t="shared" si="97"/>
        <x:v>18</x:v>
      </x:c>
      <x:c r="S131" s="107">
        <x:f t="shared" si="97"/>
        <x:v>18</x:v>
      </x:c>
      <x:c r="T131" s="107">
        <x:f t="shared" si="97"/>
        <x:v>18</x:v>
      </x:c>
      <x:c r="U131" s="107">
        <x:f t="shared" si="97"/>
        <x:v>18</x:v>
      </x:c>
      <x:c r="V131" s="230"/>
      <x:c r="W131" s="9"/>
      <x:c r="X131" s="109" t="s">
        <x:v>101</x:v>
      </x:c>
      <x:c r="Y131" s="101"/>
      <x:c r="Z131" s="101"/>
      <x:c r="AA131" s="101"/>
      <x:c r="AB131" s="201"/>
      <x:c r="AC131" s="231" t="n">
        <x:f>MAX(AC125:AC130)</x:f>
        <x:v>6</x:v>
      </x:c>
      <x:c r="AD131" s="231" t="n">
        <x:f>MAX(AD125:AD130)</x:f>
        <x:v>0</x:v>
      </x:c>
      <x:c r="AE131" s="232">
        <x:v>0</x:v>
      </x:c>
      <x:c r="AF131" s="232">
        <x:v>0</x:v>
      </x:c>
      <x:c r="AG131" s="233">
        <x:v>6</x:v>
      </x:c>
      <x:c r="AH131" s="233">
        <x:v>6</x:v>
      </x:c>
      <x:c r="AI131" s="233">
        <x:v>6</x:v>
      </x:c>
      <x:c r="AJ131" s="234">
        <x:v>6</x:v>
      </x:c>
      <x:c r="AK131" s="234">
        <x:v>0</x:v>
      </x:c>
      <x:c r="AL131" s="234">
        <x:v>6</x:v>
      </x:c>
      <x:c r="AM131" s="234">
        <x:v>0</x:v>
      </x:c>
      <x:c r="AN131" s="235">
        <x:v>6</x:v>
      </x:c>
      <x:c r="AO131" s="235">
        <x:v>18</x:v>
      </x:c>
      <x:c r="AP131" s="235">
        <x:v>18</x:v>
      </x:c>
      <x:c r="AQ131" s="235">
        <x:v>18</x:v>
      </x:c>
      <x:c r="AR131" s="236">
        <x:v>18</x:v>
      </x:c>
      <x:c r="AS131" s="90"/>
    </x:row>
    <x:row r="132" s="5" customFormat="1">
      <x:c r="A132" s="57" t="s">
        <x:v>135</x:v>
      </x:c>
      <x:c r="B132" s="58"/>
      <x:c r="C132" s="58"/>
      <x:c r="D132" s="58"/>
      <x:c r="E132" s="58"/>
      <x:c r="F132" s="73" t="s">
        <x:v>4</x:v>
      </x:c>
      <x:c r="G132" s="73"/>
      <x:c r="H132" s="74" t="s">
        <x:v>5</x:v>
      </x:c>
      <x:c r="I132" s="75"/>
      <x:c r="J132" s="124" t="s">
        <x:v>6</x:v>
      </x:c>
      <x:c r="K132" s="124"/>
      <x:c r="L132" s="124"/>
      <x:c r="M132" s="125" t="s">
        <x:v>7</x:v>
      </x:c>
      <x:c r="N132" s="125"/>
      <x:c r="O132" s="125"/>
      <x:c r="P132" s="125"/>
      <x:c r="Q132" s="126" t="s">
        <x:v>49</x:v>
      </x:c>
      <x:c r="R132" s="126"/>
      <x:c r="S132" s="126"/>
      <x:c r="T132" s="126"/>
      <x:c r="U132" s="126"/>
      <x:c r="V132" s="65" t="s">
        <x:v>50</x:v>
      </x:c>
      <x:c r="W132" s="9"/>
      <x:c r="X132" s="237" t="s">
        <x:v>136</x:v>
      </x:c>
      <x:c r="Y132" s="238"/>
      <x:c r="Z132" s="238"/>
      <x:c r="AA132" s="238"/>
      <x:c r="AB132" s="238"/>
      <x:c r="AC132" s="73" t="s">
        <x:v>4</x:v>
      </x:c>
      <x:c r="AD132" s="73"/>
      <x:c r="AE132" s="74" t="s">
        <x:v>5</x:v>
      </x:c>
      <x:c r="AF132" s="75"/>
      <x:c r="AG132" s="124" t="s">
        <x:v>6</x:v>
      </x:c>
      <x:c r="AH132" s="124"/>
      <x:c r="AI132" s="124"/>
      <x:c r="AJ132" s="125" t="s">
        <x:v>7</x:v>
      </x:c>
      <x:c r="AK132" s="125"/>
      <x:c r="AL132" s="125"/>
      <x:c r="AM132" s="125"/>
      <x:c r="AN132" s="126" t="s">
        <x:v>49</x:v>
      </x:c>
      <x:c r="AO132" s="126"/>
      <x:c r="AP132" s="126"/>
      <x:c r="AQ132" s="126"/>
      <x:c r="AR132" s="239"/>
      <x:c r="AS132" s="81" t="s">
        <x:v>50</x:v>
      </x:c>
    </x:row>
    <x:row r="133" s="5" customFormat="1" ht="31">
      <x:c r="A133" s="172" t="s">
        <x:v>51</x:v>
      </x:c>
      <x:c r="B133" s="173" t="s">
        <x:v>52</x:v>
      </x:c>
      <x:c r="C133" s="173" t="s">
        <x:v>53</x:v>
      </x:c>
      <x:c r="D133" s="71" t="s">
        <x:v>54</x:v>
      </x:c>
      <x:c r="E133" s="71"/>
      <x:c r="F133" s="72" t="s">
        <x:v>10</x:v>
      </x:c>
      <x:c r="G133" s="73" t="s">
        <x:v>11</x:v>
      </x:c>
      <x:c r="H133" s="74" t="s">
        <x:v>55</x:v>
      </x:c>
      <x:c r="I133" s="75" t="s">
        <x:v>13</x:v>
      </x:c>
      <x:c r="J133" s="76" t="s">
        <x:v>14</x:v>
      </x:c>
      <x:c r="K133" s="76" t="s">
        <x:v>15</x:v>
      </x:c>
      <x:c r="L133" s="76" t="s">
        <x:v>56</x:v>
      </x:c>
      <x:c r="M133" s="77" t="s">
        <x:v>57</x:v>
      </x:c>
      <x:c r="N133" s="77" t="s">
        <x:v>58</x:v>
      </x:c>
      <x:c r="O133" s="77" t="s">
        <x:v>59</x:v>
      </x:c>
      <x:c r="P133" s="77" t="s">
        <x:v>60</x:v>
      </x:c>
      <x:c r="Q133" s="78" t="s">
        <x:v>21</x:v>
      </x:c>
      <x:c r="R133" s="78" t="s">
        <x:v>22</x:v>
      </x:c>
      <x:c r="S133" s="78" t="s">
        <x:v>61</x:v>
      </x:c>
      <x:c r="T133" s="78" t="s">
        <x:v>62</x:v>
      </x:c>
      <x:c r="U133" s="78" t="s">
        <x:v>63</x:v>
      </x:c>
      <x:c r="V133" s="65"/>
      <x:c r="W133" s="9"/>
      <x:c r="X133" s="240" t="s">
        <x:v>51</x:v>
      </x:c>
      <x:c r="Y133" s="241" t="s">
        <x:v>52</x:v>
      </x:c>
      <x:c r="Z133" s="242" t="s">
        <x:v>53</x:v>
      </x:c>
      <x:c r="AA133" s="243" t="s">
        <x:v>54</x:v>
      </x:c>
      <x:c r="AB133" s="244"/>
      <x:c r="AC133" s="73" t="s">
        <x:v>10</x:v>
      </x:c>
      <x:c r="AD133" s="73" t="s">
        <x:v>11</x:v>
      </x:c>
      <x:c r="AE133" s="74" t="s">
        <x:v>55</x:v>
      </x:c>
      <x:c r="AF133" s="75" t="s">
        <x:v>13</x:v>
      </x:c>
      <x:c r="AG133" s="76" t="s">
        <x:v>14</x:v>
      </x:c>
      <x:c r="AH133" s="76" t="s">
        <x:v>15</x:v>
      </x:c>
      <x:c r="AI133" s="76" t="s">
        <x:v>56</x:v>
      </x:c>
      <x:c r="AJ133" s="77" t="s">
        <x:v>57</x:v>
      </x:c>
      <x:c r="AK133" s="77" t="s">
        <x:v>58</x:v>
      </x:c>
      <x:c r="AL133" s="77" t="s">
        <x:v>59</x:v>
      </x:c>
      <x:c r="AM133" s="77" t="s">
        <x:v>60</x:v>
      </x:c>
      <x:c r="AN133" s="78" t="s">
        <x:v>21</x:v>
      </x:c>
      <x:c r="AO133" s="78" t="s">
        <x:v>22</x:v>
      </x:c>
      <x:c r="AP133" s="78" t="s">
        <x:v>61</x:v>
      </x:c>
      <x:c r="AQ133" s="78" t="s">
        <x:v>62</x:v>
      </x:c>
      <x:c r="AR133" s="80" t="s">
        <x:v>63</x:v>
      </x:c>
      <x:c r="AS133" s="81"/>
    </x:row>
    <x:row r="134">
      <x:c r="A134" s="82" t="s">
        <x:v>39</x:v>
      </x:c>
      <x:c r="B134" s="83">
        <x:v>1</x:v>
      </x:c>
      <x:c r="C134" s="83" t="s">
        <x:v>64</x:v>
      </x:c>
      <x:c r="D134" s="84" t="s">
        <x:v>65</x:v>
      </x:c>
      <x:c r="E134" s="84"/>
      <x:c r="F134" s="85">
        <x:v>6</x:v>
      </x:c>
      <x:c r="G134" s="95"/>
      <x:c r="H134" s="86"/>
      <x:c r="I134" s="87"/>
      <x:c r="J134" s="91"/>
      <x:c r="K134" s="91"/>
      <x:c r="L134" s="91"/>
      <x:c r="M134" s="92"/>
      <x:c r="N134" s="92"/>
      <x:c r="O134" s="92"/>
      <x:c r="P134" s="92"/>
      <x:c r="Q134" s="96"/>
      <x:c r="R134" s="96"/>
      <x:c r="S134" s="96"/>
      <x:c r="T134" s="96"/>
      <x:c r="U134" s="96"/>
      <x:c r="V134" s="88"/>
      <x:c r="W134" s="9"/>
      <x:c r="X134" s="245" t="s">
        <x:v>40</x:v>
      </x:c>
      <x:c r="Y134" s="246">
        <x:v>1</x:v>
      </x:c>
      <x:c r="Z134" s="247" t="s">
        <x:v>64</x:v>
      </x:c>
      <x:c r="AA134" s="29" t="s">
        <x:v>65</x:v>
      </x:c>
      <x:c r="AB134" s="30"/>
      <x:c r="AC134" s="220">
        <x:v>12</x:v>
      </x:c>
      <x:c r="AD134" s="220"/>
      <x:c r="AE134" s="248"/>
      <x:c r="AF134" s="248"/>
      <x:c r="AG134" s="159"/>
      <x:c r="AH134" s="159"/>
      <x:c r="AI134" s="159"/>
      <x:c r="AJ134" s="160"/>
      <x:c r="AK134" s="160"/>
      <x:c r="AL134" s="160"/>
      <x:c r="AM134" s="160"/>
      <x:c r="AN134" s="162"/>
      <x:c r="AO134" s="162"/>
      <x:c r="AP134" s="162"/>
      <x:c r="AQ134" s="162"/>
      <x:c r="AR134" s="163"/>
      <x:c r="AS134" s="90"/>
    </x:row>
    <x:row r="135">
      <x:c r="A135" s="82" t="s">
        <x:v>39</x:v>
      </x:c>
      <x:c r="B135" s="83">
        <x:v>2</x:v>
      </x:c>
      <x:c r="C135" s="83" t="s">
        <x:v>66</x:v>
      </x:c>
      <x:c r="D135" s="84" t="s">
        <x:v>67</x:v>
      </x:c>
      <x:c r="E135" s="84"/>
      <x:c r="F135" s="85">
        <x:v>6</x:v>
      </x:c>
      <x:c r="G135" s="95"/>
      <x:c r="H135" s="86"/>
      <x:c r="I135" s="87"/>
      <x:c r="J135" s="91" t="n">
        <x:f>F135</x:f>
        <x:v>6</x:v>
      </x:c>
      <x:c r="K135" s="91" t="n">
        <x:f>F135</x:f>
        <x:v>6</x:v>
      </x:c>
      <x:c r="L135" s="91" t="n">
        <x:f>F135</x:f>
        <x:v>6</x:v>
      </x:c>
      <x:c r="M135" s="92" t="n">
        <x:f>F135</x:f>
        <x:v>6</x:v>
      </x:c>
      <x:c r="N135" s="92"/>
      <x:c r="O135" s="92" t="n">
        <x:f>F135</x:f>
        <x:v>6</x:v>
      </x:c>
      <x:c r="P135" s="92"/>
      <x:c r="Q135" s="96"/>
      <x:c r="R135" s="96"/>
      <x:c r="S135" s="96"/>
      <x:c r="T135" s="96"/>
      <x:c r="U135" s="96"/>
      <x:c r="V135" s="88"/>
      <x:c r="W135" s="9"/>
      <x:c r="X135" s="245" t="s">
        <x:v>40</x:v>
      </x:c>
      <x:c r="Y135" s="246">
        <x:v>2</x:v>
      </x:c>
      <x:c r="Z135" s="247" t="s">
        <x:v>66</x:v>
      </x:c>
      <x:c r="AA135" s="29" t="s">
        <x:v>67</x:v>
      </x:c>
      <x:c r="AB135" s="30"/>
      <x:c r="AC135" s="220">
        <x:v>12</x:v>
      </x:c>
      <x:c r="AD135" s="220"/>
      <x:c r="AE135" s="248"/>
      <x:c r="AF135" s="248"/>
      <x:c r="AG135" s="159" t="n">
        <x:f>AC135</x:f>
        <x:v>12</x:v>
      </x:c>
      <x:c r="AH135" s="159" t="n">
        <x:f>AC135</x:f>
        <x:v>12</x:v>
      </x:c>
      <x:c r="AI135" s="159" t="n">
        <x:f>AC135</x:f>
        <x:v>12</x:v>
      </x:c>
      <x:c r="AJ135" s="160" t="n">
        <x:f>AC135</x:f>
        <x:v>12</x:v>
      </x:c>
      <x:c r="AK135" s="160"/>
      <x:c r="AL135" s="160" t="n">
        <x:f>AC135</x:f>
        <x:v>12</x:v>
      </x:c>
      <x:c r="AM135" s="160"/>
      <x:c r="AN135" s="162"/>
      <x:c r="AO135" s="162"/>
      <x:c r="AP135" s="162"/>
      <x:c r="AQ135" s="162"/>
      <x:c r="AR135" s="163"/>
      <x:c r="AS135" s="90"/>
    </x:row>
    <x:row r="136">
      <x:c r="A136" s="82" t="s">
        <x:v>39</x:v>
      </x:c>
      <x:c r="B136" s="83">
        <x:v>3</x:v>
      </x:c>
      <x:c r="C136" s="83" t="s">
        <x:v>137</x:v>
      </x:c>
      <x:c r="D136" s="84" t="s">
        <x:v>138</x:v>
      </x:c>
      <x:c r="E136" s="84"/>
      <x:c r="F136" s="85">
        <x:v>6</x:v>
      </x:c>
      <x:c r="G136" s="95"/>
      <x:c r="H136" s="86"/>
      <x:c r="I136" s="87"/>
      <x:c r="J136" s="91" t="n">
        <x:f>F136</x:f>
        <x:v>6</x:v>
      </x:c>
      <x:c r="K136" s="91" t="n">
        <x:f>F136</x:f>
        <x:v>6</x:v>
      </x:c>
      <x:c r="L136" s="91" t="n">
        <x:f>F136</x:f>
        <x:v>6</x:v>
      </x:c>
      <x:c r="M136" s="92" t="n">
        <x:f>F136</x:f>
        <x:v>6</x:v>
      </x:c>
      <x:c r="N136" s="92"/>
      <x:c r="O136" s="92" t="n">
        <x:f>F136</x:f>
        <x:v>6</x:v>
      </x:c>
      <x:c r="P136" s="92"/>
      <x:c r="Q136" s="96" t="n">
        <x:f>F136</x:f>
        <x:v>6</x:v>
      </x:c>
      <x:c r="R136" s="96" t="n">
        <x:f>F136*3</x:f>
        <x:v>18</x:v>
      </x:c>
      <x:c r="S136" s="96" t="n">
        <x:f>F136*3</x:f>
        <x:v>18</x:v>
      </x:c>
      <x:c r="T136" s="96" t="n">
        <x:f>F136*3</x:f>
        <x:v>18</x:v>
      </x:c>
      <x:c r="U136" s="96" t="n">
        <x:f>F136*3</x:f>
        <x:v>18</x:v>
      </x:c>
      <x:c r="V136" s="88"/>
      <x:c r="W136" s="9"/>
      <x:c r="X136" s="245" t="s">
        <x:v>40</x:v>
      </x:c>
      <x:c r="Y136" s="246">
        <x:v>3</x:v>
      </x:c>
      <x:c r="Z136" s="247" t="s">
        <x:v>139</x:v>
      </x:c>
      <x:c r="AA136" s="29" t="s">
        <x:v>140</x:v>
      </x:c>
      <x:c r="AB136" s="30"/>
      <x:c r="AC136" s="220">
        <x:v>3</x:v>
      </x:c>
      <x:c r="AD136" s="220"/>
      <x:c r="AE136" s="248"/>
      <x:c r="AF136" s="248"/>
      <x:c r="AG136" s="159" t="n">
        <x:f>IF(MAX(AC134:AC143)&gt;0,3,0)</x:f>
        <x:v>3</x:v>
      </x:c>
      <x:c r="AH136" s="159" t="n">
        <x:f>IF(MAX(AC134:AC143)&gt;0,3,0)</x:f>
        <x:v>3</x:v>
      </x:c>
      <x:c r="AI136" s="159" t="n">
        <x:f>IF(MAX(AC134:AC143)&gt;0,3,0)</x:f>
        <x:v>3</x:v>
      </x:c>
      <x:c r="AJ136" s="160" t="n">
        <x:f>IF(MAX(AC134:AC143)&gt;0,3,0)</x:f>
        <x:v>3</x:v>
      </x:c>
      <x:c r="AK136" s="160"/>
      <x:c r="AL136" s="160" t="n">
        <x:f>IF(MAX(AC134:AC143)&gt;0,3,0)</x:f>
        <x:v>3</x:v>
      </x:c>
      <x:c r="AM136" s="160"/>
      <x:c r="AN136" s="187"/>
      <x:c r="AO136" s="187"/>
      <x:c r="AP136" s="187"/>
      <x:c r="AQ136" s="187"/>
      <x:c r="AR136" s="188"/>
      <x:c r="AS136" s="90"/>
    </x:row>
    <x:row r="137">
      <x:c r="A137" s="82" t="s">
        <x:v>39</x:v>
      </x:c>
      <x:c r="B137" s="83">
        <x:v>4</x:v>
      </x:c>
      <x:c r="C137" s="83" t="s">
        <x:v>66</x:v>
      </x:c>
      <x:c r="D137" s="84" t="s">
        <x:v>67</x:v>
      </x:c>
      <x:c r="E137" s="84"/>
      <x:c r="F137" s="85">
        <x:v>6</x:v>
      </x:c>
      <x:c r="G137" s="95"/>
      <x:c r="H137" s="86"/>
      <x:c r="I137" s="87"/>
      <x:c r="J137" s="91" t="n">
        <x:f>F137</x:f>
        <x:v>6</x:v>
      </x:c>
      <x:c r="K137" s="91" t="n">
        <x:f>F137</x:f>
        <x:v>6</x:v>
      </x:c>
      <x:c r="L137" s="91" t="n">
        <x:f>F137</x:f>
        <x:v>6</x:v>
      </x:c>
      <x:c r="M137" s="92" t="n">
        <x:f>F137</x:f>
        <x:v>6</x:v>
      </x:c>
      <x:c r="N137" s="92"/>
      <x:c r="O137" s="92" t="n">
        <x:f>F137</x:f>
        <x:v>6</x:v>
      </x:c>
      <x:c r="P137" s="92"/>
      <x:c r="Q137" s="96"/>
      <x:c r="R137" s="96"/>
      <x:c r="S137" s="96"/>
      <x:c r="T137" s="96"/>
      <x:c r="U137" s="96"/>
      <x:c r="V137" s="88"/>
      <x:c r="W137" s="9"/>
      <x:c r="X137" s="245" t="s">
        <x:v>40</x:v>
      </x:c>
      <x:c r="Y137" s="246">
        <x:v>4</x:v>
      </x:c>
      <x:c r="Z137" s="247" t="s">
        <x:v>139</x:v>
      </x:c>
      <x:c r="AA137" s="29" t="s">
        <x:v>141</x:v>
      </x:c>
      <x:c r="AB137" s="30"/>
      <x:c r="AC137" s="220"/>
      <x:c r="AD137" s="220"/>
      <x:c r="AE137" s="248"/>
      <x:c r="AF137" s="248"/>
      <x:c r="AG137" s="159" t="n">
        <x:f>IF(MAX(AC134:AC143)&gt;0,3,0)</x:f>
        <x:v>3</x:v>
      </x:c>
      <x:c r="AH137" s="159" t="n">
        <x:f>IF(MAX(AC134:AC143)&gt;0,3,0)</x:f>
        <x:v>3</x:v>
      </x:c>
      <x:c r="AI137" s="159" t="n">
        <x:f>IF(MAX(AC134:AC143)&gt;0,3,0)</x:f>
        <x:v>3</x:v>
      </x:c>
      <x:c r="AJ137" s="160" t="n">
        <x:f>IF(MAX(AC134:AC143)&gt;0,3,0)</x:f>
        <x:v>3</x:v>
      </x:c>
      <x:c r="AK137" s="160"/>
      <x:c r="AL137" s="160" t="n">
        <x:f>IF(MAX(AC134:AC143)&gt;0,3,0)</x:f>
        <x:v>3</x:v>
      </x:c>
      <x:c r="AM137" s="160"/>
      <x:c r="AN137" s="162"/>
      <x:c r="AO137" s="162"/>
      <x:c r="AP137" s="162"/>
      <x:c r="AQ137" s="162"/>
      <x:c r="AR137" s="163"/>
      <x:c r="AS137" s="90"/>
    </x:row>
    <x:row r="138">
      <x:c r="A138" s="82" t="s">
        <x:v>39</x:v>
      </x:c>
      <x:c r="B138" s="83">
        <x:v>5</x:v>
      </x:c>
      <x:c r="C138" s="83" t="s">
        <x:v>64</x:v>
      </x:c>
      <x:c r="D138" s="84" t="s">
        <x:v>65</x:v>
      </x:c>
      <x:c r="E138" s="84"/>
      <x:c r="F138" s="85">
        <x:v>6</x:v>
      </x:c>
      <x:c r="G138" s="95"/>
      <x:c r="H138" s="86"/>
      <x:c r="I138" s="87"/>
      <x:c r="J138" s="91"/>
      <x:c r="K138" s="91"/>
      <x:c r="L138" s="91"/>
      <x:c r="M138" s="92"/>
      <x:c r="N138" s="92"/>
      <x:c r="O138" s="92"/>
      <x:c r="P138" s="92"/>
      <x:c r="Q138" s="96"/>
      <x:c r="R138" s="96"/>
      <x:c r="S138" s="96"/>
      <x:c r="T138" s="96"/>
      <x:c r="U138" s="96"/>
      <x:c r="V138" s="88"/>
      <x:c r="W138" s="9"/>
      <x:c r="X138" s="245" t="s">
        <x:v>40</x:v>
      </x:c>
      <x:c r="Y138" s="246">
        <x:v>5</x:v>
      </x:c>
      <x:c r="Z138" s="247" t="s">
        <x:v>139</x:v>
      </x:c>
      <x:c r="AA138" s="29" t="s">
        <x:v>142</x:v>
      </x:c>
      <x:c r="AB138" s="30"/>
      <x:c r="AC138" s="220"/>
      <x:c r="AD138" s="220"/>
      <x:c r="AE138" s="248"/>
      <x:c r="AF138" s="248"/>
      <x:c r="AG138" s="159" t="n">
        <x:f>IF(MAX(AC134:AC143)&gt;0,3,0)</x:f>
        <x:v>3</x:v>
      </x:c>
      <x:c r="AH138" s="159" t="n">
        <x:f>IF(MAX(AC134:AC143)&gt;0,3,0)</x:f>
        <x:v>3</x:v>
      </x:c>
      <x:c r="AI138" s="159" t="n">
        <x:f>IF(MAX(AC134:AC143)&gt;0,3,0)</x:f>
        <x:v>3</x:v>
      </x:c>
      <x:c r="AJ138" s="160" t="n">
        <x:f>IF(MAX(AC134:AC143)&gt;0,3,0)</x:f>
        <x:v>3</x:v>
      </x:c>
      <x:c r="AK138" s="160"/>
      <x:c r="AL138" s="160" t="n">
        <x:f>IF(MAX(AC134:AC143)&gt;0,3,0)</x:f>
        <x:v>3</x:v>
      </x:c>
      <x:c r="AM138" s="160"/>
      <x:c r="AN138" s="162"/>
      <x:c r="AO138" s="162"/>
      <x:c r="AP138" s="162"/>
      <x:c r="AQ138" s="162"/>
      <x:c r="AR138" s="163"/>
      <x:c r="AS138" s="90"/>
    </x:row>
    <x:row r="139">
      <x:c r="A139" s="225" t="s">
        <x:v>39</x:v>
      </x:c>
      <x:c r="B139" s="226">
        <x:v>6</x:v>
      </x:c>
      <x:c r="C139" s="226" t="s">
        <x:v>100</x:v>
      </x:c>
      <x:c r="D139" s="182" t="s">
        <x:v>100</x:v>
      </x:c>
      <x:c r="F139" s="95">
        <x:v>6</x:v>
      </x:c>
      <x:c r="G139" s="95"/>
      <x:c r="H139" s="86"/>
      <x:c r="I139" s="87"/>
      <x:c r="J139" s="91"/>
      <x:c r="K139" s="91"/>
      <x:c r="L139" s="91"/>
      <x:c r="M139" s="92"/>
      <x:c r="N139" s="92"/>
      <x:c r="O139" s="92"/>
      <x:c r="P139" s="92"/>
      <x:c r="Q139" s="96"/>
      <x:c r="R139" s="96"/>
      <x:c r="S139" s="96"/>
      <x:c r="T139" s="96"/>
      <x:c r="U139" s="96"/>
      <x:c r="V139" s="88"/>
      <x:c r="W139" s="9"/>
      <x:c r="X139" s="245" t="s">
        <x:v>40</x:v>
      </x:c>
      <x:c r="Y139" s="246">
        <x:v>6</x:v>
      </x:c>
      <x:c r="Z139" s="247" t="s">
        <x:v>139</x:v>
      </x:c>
      <x:c r="AA139" s="29" t="s">
        <x:v>143</x:v>
      </x:c>
      <x:c r="AB139" s="30"/>
      <x:c r="AC139" s="220">
        <x:v>3</x:v>
      </x:c>
      <x:c r="AD139" s="220"/>
      <x:c r="AE139" s="248" t="n">
        <x:f>IF(MAX(AC134:AC143)&gt;0,3,0)</x:f>
        <x:v>3</x:v>
      </x:c>
      <x:c r="AF139" s="248"/>
      <x:c r="AG139" s="159" t="n">
        <x:f>IF(MAX(AC134:AC143)&gt;0,3,0)</x:f>
        <x:v>3</x:v>
      </x:c>
      <x:c r="AH139" s="159" t="n">
        <x:f>IF(MAX(AC134:AC143)&gt;0,3,0)</x:f>
        <x:v>3</x:v>
      </x:c>
      <x:c r="AI139" s="159" t="n">
        <x:f>IF(MAX(AC134:AC143)&gt;0,3,0)</x:f>
        <x:v>3</x:v>
      </x:c>
      <x:c r="AJ139" s="160" t="n">
        <x:f>IF(MAX(AC134:AC143)&gt;0,3,0)</x:f>
        <x:v>3</x:v>
      </x:c>
      <x:c r="AK139" s="160"/>
      <x:c r="AL139" s="160" t="n">
        <x:f>IF(MAX(AC134:AC143)&gt;0,3,0)</x:f>
        <x:v>3</x:v>
      </x:c>
      <x:c r="AM139" s="160"/>
      <x:c r="AN139" s="162"/>
      <x:c r="AO139" s="162"/>
      <x:c r="AP139" s="162"/>
      <x:c r="AQ139" s="162"/>
      <x:c r="AR139" s="163"/>
      <x:c r="AS139" s="90"/>
    </x:row>
    <x:row r="140">
      <x:c r="A140" s="101" t="s">
        <x:v>101</x:v>
      </x:c>
      <x:c r="B140" s="101"/>
      <x:c r="C140" s="101"/>
      <x:c r="D140" s="101"/>
      <x:c r="E140" s="101"/>
      <x:c r="F140" s="102" t="n">
        <x:f t="shared" ref="F140:U140" si="98">MAX(F134:F139)</x:f>
        <x:v>6</x:v>
      </x:c>
      <x:c r="G140" s="103">
        <x:f t="shared" si="98"/>
        <x:v>0</x:v>
      </x:c>
      <x:c r="H140" s="104">
        <x:f t="shared" si="98"/>
        <x:v>0</x:v>
      </x:c>
      <x:c r="I140" s="104">
        <x:f t="shared" si="98"/>
        <x:v>0</x:v>
      </x:c>
      <x:c r="J140" s="105">
        <x:f t="shared" si="98"/>
        <x:v>6</x:v>
      </x:c>
      <x:c r="K140" s="105">
        <x:f t="shared" si="98"/>
        <x:v>6</x:v>
      </x:c>
      <x:c r="L140" s="105">
        <x:f t="shared" si="98"/>
        <x:v>6</x:v>
      </x:c>
      <x:c r="M140" s="106">
        <x:f t="shared" si="98"/>
        <x:v>6</x:v>
      </x:c>
      <x:c r="N140" s="106">
        <x:f t="shared" si="98"/>
        <x:v>0</x:v>
      </x:c>
      <x:c r="O140" s="106">
        <x:f t="shared" si="98"/>
        <x:v>6</x:v>
      </x:c>
      <x:c r="P140" s="106">
        <x:f t="shared" si="98"/>
        <x:v>0</x:v>
      </x:c>
      <x:c r="Q140" s="107">
        <x:f t="shared" si="98"/>
        <x:v>6</x:v>
      </x:c>
      <x:c r="R140" s="107">
        <x:f t="shared" si="98"/>
        <x:v>18</x:v>
      </x:c>
      <x:c r="S140" s="107">
        <x:f t="shared" si="98"/>
        <x:v>18</x:v>
      </x:c>
      <x:c r="T140" s="107">
        <x:f t="shared" si="98"/>
        <x:v>18</x:v>
      </x:c>
      <x:c r="U140" s="107">
        <x:f t="shared" si="98"/>
        <x:v>18</x:v>
      </x:c>
      <x:c r="V140" s="230"/>
      <x:c r="W140" s="9"/>
      <x:c r="X140" s="245" t="s">
        <x:v>40</x:v>
      </x:c>
      <x:c r="Y140" s="249">
        <x:v>7</x:v>
      </x:c>
      <x:c r="Z140" s="83" t="s">
        <x:v>139</x:v>
      </x:c>
      <x:c r="AA140" s="29" t="s">
        <x:v>144</x:v>
      </x:c>
      <x:c r="AB140" s="30"/>
      <x:c r="AC140" s="220">
        <x:v>3</x:v>
      </x:c>
      <x:c r="AD140" s="220"/>
      <x:c r="AE140" s="185" t="n">
        <x:f>IF(MAX(AC134:AC143)&gt;0,3,0)</x:f>
        <x:v>3</x:v>
      </x:c>
      <x:c r="AF140" s="248"/>
      <x:c r="AG140" s="159" t="n">
        <x:f>IF(MAX(AC134:AC143)&gt;0,3,0)</x:f>
        <x:v>3</x:v>
      </x:c>
      <x:c r="AH140" s="159" t="n">
        <x:f>IF(MAX(AC134:AC143)&gt;0,3,0)</x:f>
        <x:v>3</x:v>
      </x:c>
      <x:c r="AI140" s="159" t="n">
        <x:f>IF(MAX(AC134:AC143)&gt;0,3,0)</x:f>
        <x:v>3</x:v>
      </x:c>
      <x:c r="AJ140" s="160" t="n">
        <x:f>IF(MAX(AC134:AC143)&gt;0,3,0)</x:f>
        <x:v>3</x:v>
      </x:c>
      <x:c r="AK140" s="160"/>
      <x:c r="AL140" s="160" t="n">
        <x:f>IF(MAX(AC134:AC143)&gt;0,3,0)</x:f>
        <x:v>3</x:v>
      </x:c>
      <x:c r="AM140" s="160"/>
      <x:c r="AN140" s="187"/>
      <x:c r="AO140" s="162"/>
      <x:c r="AP140" s="162"/>
      <x:c r="AQ140" s="162"/>
      <x:c r="AR140" s="163"/>
      <x:c r="AS140" s="25"/>
    </x:row>
    <x:row r="141" s="5" customFormat="1">
      <x:c r="A141" s="57" t="s">
        <x:v>145</x:v>
      </x:c>
      <x:c r="B141" s="58"/>
      <x:c r="C141" s="58"/>
      <x:c r="D141" s="58"/>
      <x:c r="E141" s="58"/>
      <x:c r="F141" s="73" t="s">
        <x:v>4</x:v>
      </x:c>
      <x:c r="G141" s="73"/>
      <x:c r="H141" s="74" t="s">
        <x:v>5</x:v>
      </x:c>
      <x:c r="I141" s="75"/>
      <x:c r="J141" s="124" t="s">
        <x:v>6</x:v>
      </x:c>
      <x:c r="K141" s="124"/>
      <x:c r="L141" s="124"/>
      <x:c r="M141" s="125" t="s">
        <x:v>7</x:v>
      </x:c>
      <x:c r="N141" s="125"/>
      <x:c r="O141" s="125"/>
      <x:c r="P141" s="125"/>
      <x:c r="Q141" s="126" t="s">
        <x:v>49</x:v>
      </x:c>
      <x:c r="R141" s="126"/>
      <x:c r="S141" s="126"/>
      <x:c r="T141" s="126"/>
      <x:c r="U141" s="126"/>
      <x:c r="V141" s="65" t="s">
        <x:v>50</x:v>
      </x:c>
      <x:c r="W141" s="9"/>
      <x:c r="X141" s="245" t="s">
        <x:v>40</x:v>
      </x:c>
      <x:c r="Y141" s="246">
        <x:v>8</x:v>
      </x:c>
      <x:c r="Z141" s="247" t="s">
        <x:v>66</x:v>
      </x:c>
      <x:c r="AA141" s="29" t="s">
        <x:v>67</x:v>
      </x:c>
      <x:c r="AB141" s="30"/>
      <x:c r="AC141" s="220">
        <x:v>9</x:v>
      </x:c>
      <x:c r="AD141" s="220"/>
      <x:c r="AE141" s="185"/>
      <x:c r="AF141" s="184"/>
      <x:c r="AG141" s="159" t="n">
        <x:f>AC141</x:f>
        <x:v>9</x:v>
      </x:c>
      <x:c r="AH141" s="159" t="n">
        <x:f>AC141</x:f>
        <x:v>9</x:v>
      </x:c>
      <x:c r="AI141" s="159" t="n">
        <x:f>AC141</x:f>
        <x:v>9</x:v>
      </x:c>
      <x:c r="AJ141" s="160" t="n">
        <x:f>AC141</x:f>
        <x:v>9</x:v>
      </x:c>
      <x:c r="AK141" s="160"/>
      <x:c r="AL141" s="160" t="n">
        <x:f>AC141</x:f>
        <x:v>9</x:v>
      </x:c>
      <x:c r="AM141" s="160"/>
      <x:c r="AN141" s="187"/>
      <x:c r="AO141" s="187"/>
      <x:c r="AP141" s="187"/>
      <x:c r="AQ141" s="187"/>
      <x:c r="AR141" s="188"/>
      <x:c r="AS141" s="90"/>
    </x:row>
    <x:row r="142" s="5" customFormat="1" ht="31">
      <x:c r="A142" s="172" t="s">
        <x:v>51</x:v>
      </x:c>
      <x:c r="B142" s="173" t="s">
        <x:v>52</x:v>
      </x:c>
      <x:c r="C142" s="173" t="s">
        <x:v>53</x:v>
      </x:c>
      <x:c r="D142" s="71" t="s">
        <x:v>54</x:v>
      </x:c>
      <x:c r="E142" s="71"/>
      <x:c r="F142" s="72" t="s">
        <x:v>10</x:v>
      </x:c>
      <x:c r="G142" s="73" t="s">
        <x:v>11</x:v>
      </x:c>
      <x:c r="H142" s="74" t="s">
        <x:v>55</x:v>
      </x:c>
      <x:c r="I142" s="75" t="s">
        <x:v>13</x:v>
      </x:c>
      <x:c r="J142" s="76" t="s">
        <x:v>14</x:v>
      </x:c>
      <x:c r="K142" s="76" t="s">
        <x:v>15</x:v>
      </x:c>
      <x:c r="L142" s="76" t="s">
        <x:v>56</x:v>
      </x:c>
      <x:c r="M142" s="77" t="s">
        <x:v>57</x:v>
      </x:c>
      <x:c r="N142" s="77" t="s">
        <x:v>58</x:v>
      </x:c>
      <x:c r="O142" s="77" t="s">
        <x:v>59</x:v>
      </x:c>
      <x:c r="P142" s="77" t="s">
        <x:v>60</x:v>
      </x:c>
      <x:c r="Q142" s="78" t="s">
        <x:v>21</x:v>
      </x:c>
      <x:c r="R142" s="78" t="s">
        <x:v>22</x:v>
      </x:c>
      <x:c r="S142" s="78" t="s">
        <x:v>61</x:v>
      </x:c>
      <x:c r="T142" s="78" t="s">
        <x:v>62</x:v>
      </x:c>
      <x:c r="U142" s="78" t="s">
        <x:v>63</x:v>
      </x:c>
      <x:c r="V142" s="65"/>
      <x:c r="W142" s="9"/>
      <x:c r="X142" s="245" t="s">
        <x:v>40</x:v>
      </x:c>
      <x:c r="Y142" s="246">
        <x:v>9</x:v>
      </x:c>
      <x:c r="Z142" s="247" t="s">
        <x:v>64</x:v>
      </x:c>
      <x:c r="AA142" s="29" t="s">
        <x:v>65</x:v>
      </x:c>
      <x:c r="AB142" s="30"/>
      <x:c r="AC142" s="220">
        <x:v>9</x:v>
      </x:c>
      <x:c r="AD142" s="220"/>
      <x:c r="AE142" s="248"/>
      <x:c r="AF142" s="248"/>
      <x:c r="AG142" s="159"/>
      <x:c r="AH142" s="159"/>
      <x:c r="AI142" s="159"/>
      <x:c r="AJ142" s="160"/>
      <x:c r="AK142" s="160"/>
      <x:c r="AL142" s="160"/>
      <x:c r="AM142" s="160"/>
      <x:c r="AN142" s="162"/>
      <x:c r="AO142" s="162"/>
      <x:c r="AP142" s="162"/>
      <x:c r="AQ142" s="162"/>
      <x:c r="AR142" s="163"/>
      <x:c r="AS142" s="25"/>
    </x:row>
    <x:row r="143" ht="16">
      <x:c r="A143" s="225" t="s">
        <x:v>41</x:v>
      </x:c>
      <x:c r="B143" s="226">
        <x:v>1</x:v>
      </x:c>
      <x:c r="C143" s="226" t="s">
        <x:v>146</x:v>
      </x:c>
      <x:c r="D143" s="182" t="s">
        <x:v>147</x:v>
      </x:c>
      <x:c r="F143" s="95">
        <x:v>1</x:v>
      </x:c>
      <x:c r="G143" s="95"/>
      <x:c r="H143" s="86"/>
      <x:c r="I143" s="87"/>
      <x:c r="J143" s="91"/>
      <x:c r="K143" s="91"/>
      <x:c r="L143" s="91"/>
      <x:c r="M143" s="92"/>
      <x:c r="N143" s="92"/>
      <x:c r="O143" s="92"/>
      <x:c r="P143" s="92"/>
      <x:c r="Q143" s="96"/>
      <x:c r="R143" s="96"/>
      <x:c r="S143" s="96"/>
      <x:c r="T143" s="96"/>
      <x:c r="U143" s="96"/>
      <x:c r="V143" s="88" t="s">
        <x:v>42</x:v>
      </x:c>
      <x:c r="W143" s="9"/>
      <x:c r="X143" s="245" t="s">
        <x:v>40</x:v>
      </x:c>
      <x:c r="Y143" s="249">
        <x:v>10</x:v>
      </x:c>
      <x:c r="Z143" s="83" t="s">
        <x:v>100</x:v>
      </x:c>
      <x:c r="AA143" s="29" t="s">
        <x:v>100</x:v>
      </x:c>
      <x:c r="AB143" s="30"/>
      <x:c r="AC143" s="220">
        <x:v>9</x:v>
      </x:c>
      <x:c r="AD143" s="220"/>
      <x:c r="AE143" s="185"/>
      <x:c r="AF143" s="248"/>
      <x:c r="AG143" s="159"/>
      <x:c r="AH143" s="159"/>
      <x:c r="AI143" s="159"/>
      <x:c r="AJ143" s="160"/>
      <x:c r="AK143" s="160"/>
      <x:c r="AL143" s="160"/>
      <x:c r="AM143" s="160"/>
      <x:c r="AN143" s="187"/>
      <x:c r="AO143" s="162"/>
      <x:c r="AP143" s="162"/>
      <x:c r="AQ143" s="162"/>
      <x:c r="AR143" s="163"/>
      <x:c r="AS143" s="25"/>
    </x:row>
    <x:row r="144" s="5" customFormat="1">
      <x:c r="A144" s="57" t="s">
        <x:v>148</x:v>
      </x:c>
      <x:c r="B144" s="58"/>
      <x:c r="C144" s="58"/>
      <x:c r="D144" s="58"/>
      <x:c r="E144" s="58"/>
      <x:c r="F144" s="73" t="s">
        <x:v>4</x:v>
      </x:c>
      <x:c r="G144" s="73"/>
      <x:c r="H144" s="74" t="s">
        <x:v>5</x:v>
      </x:c>
      <x:c r="I144" s="75"/>
      <x:c r="J144" s="124" t="s">
        <x:v>6</x:v>
      </x:c>
      <x:c r="K144" s="124"/>
      <x:c r="L144" s="124"/>
      <x:c r="M144" s="125" t="s">
        <x:v>7</x:v>
      </x:c>
      <x:c r="N144" s="125"/>
      <x:c r="O144" s="125"/>
      <x:c r="P144" s="125"/>
      <x:c r="Q144" s="126" t="s">
        <x:v>49</x:v>
      </x:c>
      <x:c r="R144" s="126"/>
      <x:c r="S144" s="126"/>
      <x:c r="T144" s="126"/>
      <x:c r="U144" s="126"/>
      <x:c r="V144" s="65" t="s">
        <x:v>50</x:v>
      </x:c>
      <x:c r="W144" s="9"/>
      <x:c r="X144" s="109" t="s">
        <x:v>101</x:v>
      </x:c>
      <x:c r="Y144" s="101"/>
      <x:c r="Z144" s="101"/>
      <x:c r="AA144" s="101"/>
      <x:c r="AB144" s="201"/>
      <x:c r="AC144" s="189" t="n">
        <x:f>MAX(AC134:AC143)</x:f>
        <x:v>12</x:v>
      </x:c>
      <x:c r="AD144" s="189" t="n">
        <x:f>MAX(AD134:AD143)</x:f>
        <x:v>0</x:v>
      </x:c>
      <x:c r="AE144" s="190">
        <x:v>3</x:v>
      </x:c>
      <x:c r="AF144" s="190">
        <x:v>0</x:v>
      </x:c>
      <x:c r="AG144" s="191">
        <x:v>12</x:v>
      </x:c>
      <x:c r="AH144" s="191">
        <x:v>12</x:v>
      </x:c>
      <x:c r="AI144" s="191">
        <x:v>12</x:v>
      </x:c>
      <x:c r="AJ144" s="192">
        <x:v>12</x:v>
      </x:c>
      <x:c r="AK144" s="192">
        <x:v>0</x:v>
      </x:c>
      <x:c r="AL144" s="192">
        <x:v>12</x:v>
      </x:c>
      <x:c r="AM144" s="192">
        <x:v>0</x:v>
      </x:c>
      <x:c r="AN144" s="193">
        <x:v>0</x:v>
      </x:c>
      <x:c r="AO144" s="193">
        <x:v>0</x:v>
      </x:c>
      <x:c r="AP144" s="193">
        <x:v>0</x:v>
      </x:c>
      <x:c r="AQ144" s="193">
        <x:v>0</x:v>
      </x:c>
      <x:c r="AR144" s="194">
        <x:v>0</x:v>
      </x:c>
      <x:c r="AS144" s="123"/>
    </x:row>
    <x:row r="145" s="6" customFormat="1" ht="31">
      <x:c r="A145" s="70" t="s">
        <x:v>51</x:v>
      </x:c>
      <x:c r="B145" s="70" t="s">
        <x:v>52</x:v>
      </x:c>
      <x:c r="C145" s="70" t="s">
        <x:v>53</x:v>
      </x:c>
      <x:c r="D145" s="71" t="s">
        <x:v>54</x:v>
      </x:c>
      <x:c r="E145" s="71"/>
      <x:c r="F145" s="72" t="s">
        <x:v>10</x:v>
      </x:c>
      <x:c r="G145" s="73" t="s">
        <x:v>11</x:v>
      </x:c>
      <x:c r="H145" s="74" t="s">
        <x:v>55</x:v>
      </x:c>
      <x:c r="I145" s="75" t="s">
        <x:v>13</x:v>
      </x:c>
      <x:c r="J145" s="76" t="s">
        <x:v>14</x:v>
      </x:c>
      <x:c r="K145" s="76" t="s">
        <x:v>15</x:v>
      </x:c>
      <x:c r="L145" s="76" t="s">
        <x:v>56</x:v>
      </x:c>
      <x:c r="M145" s="77" t="s">
        <x:v>57</x:v>
      </x:c>
      <x:c r="N145" s="77" t="s">
        <x:v>58</x:v>
      </x:c>
      <x:c r="O145" s="77" t="s">
        <x:v>59</x:v>
      </x:c>
      <x:c r="P145" s="77" t="s">
        <x:v>60</x:v>
      </x:c>
      <x:c r="Q145" s="78" t="s">
        <x:v>21</x:v>
      </x:c>
      <x:c r="R145" s="78" t="s">
        <x:v>22</x:v>
      </x:c>
      <x:c r="S145" s="78" t="s">
        <x:v>61</x:v>
      </x:c>
      <x:c r="T145" s="78" t="s">
        <x:v>62</x:v>
      </x:c>
      <x:c r="U145" s="78" t="s">
        <x:v>63</x:v>
      </x:c>
      <x:c r="V145" s="65"/>
      <x:c r="W145" s="9"/>
      <x:c r="X145" s="127" t="s">
        <x:v>135</x:v>
      </x:c>
      <x:c r="Y145" s="58"/>
      <x:c r="Z145" s="58"/>
      <x:c r="AA145" s="58"/>
      <x:c r="AB145" s="58"/>
      <x:c r="AC145" s="73" t="s">
        <x:v>4</x:v>
      </x:c>
      <x:c r="AD145" s="73"/>
      <x:c r="AE145" s="74" t="s">
        <x:v>5</x:v>
      </x:c>
      <x:c r="AF145" s="75"/>
      <x:c r="AG145" s="124" t="s">
        <x:v>6</x:v>
      </x:c>
      <x:c r="AH145" s="124"/>
      <x:c r="AI145" s="124"/>
      <x:c r="AJ145" s="125" t="s">
        <x:v>7</x:v>
      </x:c>
      <x:c r="AK145" s="125"/>
      <x:c r="AL145" s="125"/>
      <x:c r="AM145" s="125"/>
      <x:c r="AN145" s="126" t="s">
        <x:v>49</x:v>
      </x:c>
      <x:c r="AO145" s="126"/>
      <x:c r="AP145" s="126"/>
      <x:c r="AQ145" s="126"/>
      <x:c r="AR145" s="239"/>
      <x:c r="AS145" s="81" t="s">
        <x:v>50</x:v>
      </x:c>
    </x:row>
    <x:row r="146" ht="31">
      <x:c r="A146" s="83" t="s">
        <x:v>43</x:v>
      </x:c>
      <x:c r="B146" s="83">
        <x:v>1</x:v>
      </x:c>
      <x:c r="C146" s="83" t="s">
        <x:v>149</x:v>
      </x:c>
      <x:c r="D146" s="84" t="s">
        <x:v>150</x:v>
      </x:c>
      <x:c r="E146" s="84"/>
      <x:c r="F146" s="72">
        <x:v>25</x:v>
      </x:c>
      <x:c r="G146" s="73"/>
      <x:c r="H146" s="74"/>
      <x:c r="I146" s="75"/>
      <x:c r="J146" s="124"/>
      <x:c r="K146" s="124"/>
      <x:c r="L146" s="124"/>
      <x:c r="M146" s="125"/>
      <x:c r="N146" s="125"/>
      <x:c r="O146" s="125"/>
      <x:c r="P146" s="125"/>
      <x:c r="Q146" s="126"/>
      <x:c r="R146" s="126"/>
      <x:c r="S146" s="126"/>
      <x:c r="T146" s="126"/>
      <x:c r="U146" s="126"/>
      <x:c r="V146" s="65" t="s">
        <x:v>44</x:v>
      </x:c>
      <x:c r="W146" s="9"/>
      <x:c r="X146" s="250" t="s">
        <x:v>51</x:v>
      </x:c>
      <x:c r="Y146" s="251" t="s">
        <x:v>52</x:v>
      </x:c>
      <x:c r="Z146" s="251" t="s">
        <x:v>53</x:v>
      </x:c>
      <x:c r="AA146" s="84" t="s">
        <x:v>54</x:v>
      </x:c>
      <x:c r="AB146" s="178"/>
      <x:c r="AC146" s="73" t="s">
        <x:v>10</x:v>
      </x:c>
      <x:c r="AD146" s="73" t="s">
        <x:v>11</x:v>
      </x:c>
      <x:c r="AE146" s="74" t="s">
        <x:v>55</x:v>
      </x:c>
      <x:c r="AF146" s="75" t="s">
        <x:v>13</x:v>
      </x:c>
      <x:c r="AG146" s="76" t="s">
        <x:v>14</x:v>
      </x:c>
      <x:c r="AH146" s="76" t="s">
        <x:v>15</x:v>
      </x:c>
      <x:c r="AI146" s="76" t="s">
        <x:v>56</x:v>
      </x:c>
      <x:c r="AJ146" s="77" t="s">
        <x:v>57</x:v>
      </x:c>
      <x:c r="AK146" s="77" t="s">
        <x:v>58</x:v>
      </x:c>
      <x:c r="AL146" s="77" t="s">
        <x:v>59</x:v>
      </x:c>
      <x:c r="AM146" s="77" t="s">
        <x:v>60</x:v>
      </x:c>
      <x:c r="AN146" s="78" t="s">
        <x:v>21</x:v>
      </x:c>
      <x:c r="AO146" s="78" t="s">
        <x:v>22</x:v>
      </x:c>
      <x:c r="AP146" s="78" t="s">
        <x:v>61</x:v>
      </x:c>
      <x:c r="AQ146" s="78" t="s">
        <x:v>62</x:v>
      </x:c>
      <x:c r="AR146" s="80" t="s">
        <x:v>63</x:v>
      </x:c>
      <x:c r="AS146" s="81"/>
    </x:row>
    <x:row r="147" ht="17.600000381469727">
      <x:c r="A147" s="252"/>
      <x:c r="B147" s="252"/>
      <x:c r="C147" s="252"/>
      <x:c r="D147" s="252"/>
      <x:c r="E147" s="252"/>
      <x:c r="F147" s="252"/>
      <x:c r="G147" s="252"/>
      <x:c r="H147" s="252"/>
      <x:c r="I147" s="252"/>
      <x:c r="J147" s="252"/>
      <x:c r="K147" s="252"/>
      <x:c r="L147" s="252"/>
      <x:c r="M147" s="252"/>
      <x:c r="N147" s="252"/>
      <x:c r="O147" s="252"/>
      <x:c r="P147" s="252"/>
      <x:c r="Q147" s="252"/>
      <x:c r="R147" s="252"/>
      <x:c r="S147" s="252"/>
      <x:c r="T147" s="252"/>
      <x:c r="U147" s="252"/>
      <x:c r="V147" s="253"/>
      <x:c r="W147" s="9"/>
      <x:c r="X147" s="89" t="s">
        <x:v>39</x:v>
      </x:c>
      <x:c r="Y147" s="83">
        <x:v>1</x:v>
      </x:c>
      <x:c r="Z147" s="83" t="s">
        <x:v>64</x:v>
      </x:c>
      <x:c r="AA147" s="84" t="s">
        <x:v>65</x:v>
      </x:c>
      <x:c r="AB147" s="178"/>
      <x:c r="AC147" s="95">
        <x:v>6</x:v>
      </x:c>
      <x:c r="AD147" s="95"/>
      <x:c r="AE147" s="86"/>
      <x:c r="AF147" s="87"/>
      <x:c r="AG147" s="91"/>
      <x:c r="AH147" s="91"/>
      <x:c r="AI147" s="91"/>
      <x:c r="AJ147" s="92"/>
      <x:c r="AK147" s="92"/>
      <x:c r="AL147" s="92"/>
      <x:c r="AM147" s="92"/>
      <x:c r="AN147" s="96"/>
      <x:c r="AO147" s="96"/>
      <x:c r="AP147" s="96"/>
      <x:c r="AQ147" s="96"/>
      <x:c r="AR147" s="254"/>
      <x:c r="AS147" s="36"/>
    </x:row>
    <x:row r="148" ht="17.600000381469727">
      <x:c r="A148" s="252"/>
      <x:c r="B148" s="252"/>
      <x:c r="C148" s="252"/>
      <x:c r="D148" s="252"/>
      <x:c r="E148" s="252"/>
      <x:c r="F148" s="252"/>
      <x:c r="G148" s="252"/>
      <x:c r="H148" s="252"/>
      <x:c r="I148" s="252"/>
      <x:c r="J148" s="252"/>
      <x:c r="K148" s="252"/>
      <x:c r="L148" s="252"/>
      <x:c r="M148" s="252"/>
      <x:c r="N148" s="252"/>
      <x:c r="O148" s="252"/>
      <x:c r="P148" s="252"/>
      <x:c r="Q148" s="252"/>
      <x:c r="R148" s="252"/>
      <x:c r="S148" s="252"/>
      <x:c r="T148" s="252"/>
      <x:c r="U148" s="252"/>
      <x:c r="V148" s="253"/>
      <x:c r="W148" s="9"/>
      <x:c r="X148" s="89" t="s">
        <x:v>39</x:v>
      </x:c>
      <x:c r="Y148" s="83">
        <x:v>2</x:v>
      </x:c>
      <x:c r="Z148" s="83" t="s">
        <x:v>66</x:v>
      </x:c>
      <x:c r="AA148" s="84" t="s">
        <x:v>67</x:v>
      </x:c>
      <x:c r="AB148" s="178"/>
      <x:c r="AC148" s="95">
        <x:v>6</x:v>
      </x:c>
      <x:c r="AD148" s="95"/>
      <x:c r="AE148" s="86"/>
      <x:c r="AF148" s="87"/>
      <x:c r="AG148" s="91" t="n">
        <x:f t="shared" ref="AG148:AG150" si="99">AC148</x:f>
        <x:v>6</x:v>
      </x:c>
      <x:c r="AH148" s="91" t="n">
        <x:f t="shared" ref="AH148:AH150" si="100">AC148</x:f>
        <x:v>6</x:v>
      </x:c>
      <x:c r="AI148" s="91" t="n">
        <x:f t="shared" ref="AI148:AI150" si="101">AC148</x:f>
        <x:v>6</x:v>
      </x:c>
      <x:c r="AJ148" s="92" t="n">
        <x:f t="shared" ref="AJ148:AJ150" si="102">AC148</x:f>
        <x:v>6</x:v>
      </x:c>
      <x:c r="AK148" s="92"/>
      <x:c r="AL148" s="92" t="n">
        <x:f t="shared" ref="AL148:AL150" si="103">AC148</x:f>
        <x:v>6</x:v>
      </x:c>
      <x:c r="AM148" s="92"/>
      <x:c r="AN148" s="96"/>
      <x:c r="AO148" s="96"/>
      <x:c r="AP148" s="96"/>
      <x:c r="AQ148" s="96"/>
      <x:c r="AR148" s="254"/>
      <x:c r="AS148" s="36"/>
    </x:row>
    <x:row r="149" ht="17.600000381469727">
      <x:c r="A149" s="252"/>
      <x:c r="B149" s="252"/>
      <x:c r="C149" s="252"/>
      <x:c r="D149" s="252"/>
      <x:c r="E149" s="252"/>
      <x:c r="F149" s="252"/>
      <x:c r="G149" s="252"/>
      <x:c r="H149" s="252"/>
      <x:c r="I149" s="252"/>
      <x:c r="J149" s="252"/>
      <x:c r="K149" s="252"/>
      <x:c r="L149" s="252"/>
      <x:c r="M149" s="252"/>
      <x:c r="N149" s="252"/>
      <x:c r="O149" s="252"/>
      <x:c r="P149" s="252"/>
      <x:c r="Q149" s="252"/>
      <x:c r="R149" s="252"/>
      <x:c r="S149" s="252"/>
      <x:c r="T149" s="252"/>
      <x:c r="U149" s="252"/>
      <x:c r="V149" s="253"/>
      <x:c r="W149" s="9"/>
      <x:c r="X149" s="89" t="s">
        <x:v>39</x:v>
      </x:c>
      <x:c r="Y149" s="83">
        <x:v>3</x:v>
      </x:c>
      <x:c r="Z149" s="83" t="s">
        <x:v>137</x:v>
      </x:c>
      <x:c r="AA149" s="84" t="s">
        <x:v>138</x:v>
      </x:c>
      <x:c r="AB149" s="178"/>
      <x:c r="AC149" s="95">
        <x:v>6</x:v>
      </x:c>
      <x:c r="AD149" s="95"/>
      <x:c r="AE149" s="86"/>
      <x:c r="AF149" s="87"/>
      <x:c r="AG149" s="91">
        <x:f t="shared" si="99"/>
        <x:v>6</x:v>
      </x:c>
      <x:c r="AH149" s="91">
        <x:f t="shared" si="100"/>
        <x:v>6</x:v>
      </x:c>
      <x:c r="AI149" s="91">
        <x:f t="shared" si="101"/>
        <x:v>6</x:v>
      </x:c>
      <x:c r="AJ149" s="92">
        <x:f t="shared" si="102"/>
        <x:v>6</x:v>
      </x:c>
      <x:c r="AK149" s="92"/>
      <x:c r="AL149" s="92">
        <x:f t="shared" si="103"/>
        <x:v>6</x:v>
      </x:c>
      <x:c r="AM149" s="92"/>
      <x:c r="AN149" s="96" t="n">
        <x:f>AC149</x:f>
        <x:v>6</x:v>
      </x:c>
      <x:c r="AO149" s="96" t="n">
        <x:f>AC149*3</x:f>
        <x:v>18</x:v>
      </x:c>
      <x:c r="AP149" s="96" t="n">
        <x:f>AC149*3</x:f>
        <x:v>18</x:v>
      </x:c>
      <x:c r="AQ149" s="96" t="n">
        <x:f>AC149*3</x:f>
        <x:v>18</x:v>
      </x:c>
      <x:c r="AR149" s="254" t="n">
        <x:f>AC149*3</x:f>
        <x:v>18</x:v>
      </x:c>
      <x:c r="AS149" s="36"/>
    </x:row>
    <x:row r="150" ht="17.600000381469727">
      <x:c r="A150" s="252"/>
      <x:c r="B150" s="252"/>
      <x:c r="C150" s="252"/>
      <x:c r="D150" s="252"/>
      <x:c r="E150" s="252"/>
      <x:c r="F150" s="252"/>
      <x:c r="G150" s="252"/>
      <x:c r="H150" s="252"/>
      <x:c r="I150" s="252"/>
      <x:c r="J150" s="252"/>
      <x:c r="K150" s="252"/>
      <x:c r="L150" s="252"/>
      <x:c r="M150" s="252"/>
      <x:c r="N150" s="252"/>
      <x:c r="O150" s="252"/>
      <x:c r="P150" s="252"/>
      <x:c r="Q150" s="252"/>
      <x:c r="R150" s="252"/>
      <x:c r="S150" s="252"/>
      <x:c r="T150" s="252"/>
      <x:c r="U150" s="252"/>
      <x:c r="V150" s="253"/>
      <x:c r="W150" s="9"/>
      <x:c r="X150" s="89" t="s">
        <x:v>39</x:v>
      </x:c>
      <x:c r="Y150" s="83">
        <x:v>4</x:v>
      </x:c>
      <x:c r="Z150" s="83" t="s">
        <x:v>66</x:v>
      </x:c>
      <x:c r="AA150" s="84" t="s">
        <x:v>67</x:v>
      </x:c>
      <x:c r="AB150" s="178"/>
      <x:c r="AC150" s="95">
        <x:v>6</x:v>
      </x:c>
      <x:c r="AD150" s="95"/>
      <x:c r="AE150" s="86"/>
      <x:c r="AF150" s="87"/>
      <x:c r="AG150" s="91">
        <x:f t="shared" si="99"/>
        <x:v>6</x:v>
      </x:c>
      <x:c r="AH150" s="91">
        <x:f t="shared" si="100"/>
        <x:v>6</x:v>
      </x:c>
      <x:c r="AI150" s="91">
        <x:f t="shared" si="101"/>
        <x:v>6</x:v>
      </x:c>
      <x:c r="AJ150" s="92">
        <x:f t="shared" si="102"/>
        <x:v>6</x:v>
      </x:c>
      <x:c r="AK150" s="92"/>
      <x:c r="AL150" s="92">
        <x:f t="shared" si="103"/>
        <x:v>6</x:v>
      </x:c>
      <x:c r="AM150" s="92"/>
      <x:c r="AN150" s="96"/>
      <x:c r="AO150" s="96"/>
      <x:c r="AP150" s="96"/>
      <x:c r="AQ150" s="96"/>
      <x:c r="AR150" s="254"/>
      <x:c r="AS150" s="36"/>
    </x:row>
    <x:row r="151" ht="17.600000381469727">
      <x:c r="A151" s="252"/>
      <x:c r="B151" s="252"/>
      <x:c r="C151" s="252"/>
      <x:c r="D151" s="252"/>
      <x:c r="E151" s="252"/>
      <x:c r="F151" s="252"/>
      <x:c r="G151" s="252"/>
      <x:c r="H151" s="252"/>
      <x:c r="I151" s="252"/>
      <x:c r="J151" s="252"/>
      <x:c r="K151" s="252"/>
      <x:c r="L151" s="252"/>
      <x:c r="M151" s="252"/>
      <x:c r="N151" s="252"/>
      <x:c r="O151" s="252"/>
      <x:c r="P151" s="252"/>
      <x:c r="Q151" s="252"/>
      <x:c r="R151" s="252"/>
      <x:c r="S151" s="252"/>
      <x:c r="T151" s="252"/>
      <x:c r="U151" s="252"/>
      <x:c r="V151" s="253"/>
      <x:c r="W151" s="9"/>
      <x:c r="X151" s="89" t="s">
        <x:v>39</x:v>
      </x:c>
      <x:c r="Y151" s="83">
        <x:v>5</x:v>
      </x:c>
      <x:c r="Z151" s="83" t="s">
        <x:v>64</x:v>
      </x:c>
      <x:c r="AA151" s="84" t="s">
        <x:v>65</x:v>
      </x:c>
      <x:c r="AB151" s="178"/>
      <x:c r="AC151" s="95">
        <x:v>6</x:v>
      </x:c>
      <x:c r="AD151" s="95"/>
      <x:c r="AE151" s="86"/>
      <x:c r="AF151" s="87"/>
      <x:c r="AG151" s="91"/>
      <x:c r="AH151" s="91"/>
      <x:c r="AI151" s="91"/>
      <x:c r="AJ151" s="92"/>
      <x:c r="AK151" s="92"/>
      <x:c r="AL151" s="92"/>
      <x:c r="AM151" s="92"/>
      <x:c r="AN151" s="96"/>
      <x:c r="AO151" s="96"/>
      <x:c r="AP151" s="96"/>
      <x:c r="AQ151" s="96"/>
      <x:c r="AR151" s="254"/>
      <x:c r="AS151" s="36"/>
    </x:row>
    <x:row r="152" ht="17.600000381469727">
      <x:c r="A152" s="252"/>
      <x:c r="B152" s="252"/>
      <x:c r="C152" s="252"/>
      <x:c r="D152" s="252"/>
      <x:c r="E152" s="252"/>
      <x:c r="F152" s="252"/>
      <x:c r="G152" s="252"/>
      <x:c r="H152" s="252"/>
      <x:c r="I152" s="252"/>
      <x:c r="J152" s="252"/>
      <x:c r="K152" s="252"/>
      <x:c r="L152" s="252"/>
      <x:c r="M152" s="252"/>
      <x:c r="N152" s="252"/>
      <x:c r="O152" s="252"/>
      <x:c r="P152" s="252"/>
      <x:c r="Q152" s="252"/>
      <x:c r="R152" s="252"/>
      <x:c r="S152" s="252"/>
      <x:c r="T152" s="252"/>
      <x:c r="U152" s="252"/>
      <x:c r="V152" s="253"/>
      <x:c r="W152" s="9"/>
      <x:c r="X152" s="227" t="s">
        <x:v>39</x:v>
      </x:c>
      <x:c r="Y152" s="226">
        <x:v>6</x:v>
      </x:c>
      <x:c r="Z152" s="226" t="s">
        <x:v>100</x:v>
      </x:c>
      <x:c r="AA152" s="84" t="s">
        <x:v>100</x:v>
      </x:c>
      <x:c r="AB152" s="178"/>
      <x:c r="AC152" s="95">
        <x:v>6</x:v>
      </x:c>
      <x:c r="AD152" s="95"/>
      <x:c r="AE152" s="86"/>
      <x:c r="AF152" s="87"/>
      <x:c r="AG152" s="91"/>
      <x:c r="AH152" s="91"/>
      <x:c r="AI152" s="91"/>
      <x:c r="AJ152" s="92"/>
      <x:c r="AK152" s="92"/>
      <x:c r="AL152" s="92"/>
      <x:c r="AM152" s="92"/>
      <x:c r="AN152" s="96"/>
      <x:c r="AO152" s="96"/>
      <x:c r="AP152" s="96"/>
      <x:c r="AQ152" s="96"/>
      <x:c r="AR152" s="254"/>
      <x:c r="AS152" s="36"/>
    </x:row>
    <x:row r="153" ht="17.600000381469727">
      <x:c r="A153" s="252"/>
      <x:c r="B153" s="252"/>
      <x:c r="C153" s="252"/>
      <x:c r="D153" s="252"/>
      <x:c r="E153" s="252"/>
      <x:c r="F153" s="252"/>
      <x:c r="G153" s="252"/>
      <x:c r="H153" s="252"/>
      <x:c r="I153" s="252"/>
      <x:c r="J153" s="252"/>
      <x:c r="K153" s="252"/>
      <x:c r="L153" s="252"/>
      <x:c r="M153" s="252"/>
      <x:c r="N153" s="252"/>
      <x:c r="O153" s="252"/>
      <x:c r="P153" s="252"/>
      <x:c r="Q153" s="252"/>
      <x:c r="R153" s="252"/>
      <x:c r="S153" s="252"/>
      <x:c r="T153" s="252"/>
      <x:c r="U153" s="252"/>
      <x:c r="V153" s="253"/>
      <x:c r="W153" s="9"/>
      <x:c r="X153" s="109" t="s">
        <x:v>101</x:v>
      </x:c>
      <x:c r="Y153" s="101"/>
      <x:c r="Z153" s="101"/>
      <x:c r="AA153" s="101"/>
      <x:c r="AB153" s="201"/>
      <x:c r="AC153" s="103" t="n">
        <x:f t="shared" ref="AC153:AR153" si="104">MAX(AC147:AC152)</x:f>
        <x:v>6</x:v>
      </x:c>
      <x:c r="AD153" s="103">
        <x:f t="shared" si="104"/>
        <x:v>0</x:v>
      </x:c>
      <x:c r="AE153" s="104">
        <x:f t="shared" si="104"/>
        <x:v>0</x:v>
      </x:c>
      <x:c r="AF153" s="104">
        <x:f t="shared" si="104"/>
        <x:v>0</x:v>
      </x:c>
      <x:c r="AG153" s="105">
        <x:f t="shared" si="104"/>
        <x:v>6</x:v>
      </x:c>
      <x:c r="AH153" s="105">
        <x:f t="shared" si="104"/>
        <x:v>6</x:v>
      </x:c>
      <x:c r="AI153" s="105">
        <x:f t="shared" si="104"/>
        <x:v>6</x:v>
      </x:c>
      <x:c r="AJ153" s="106">
        <x:f t="shared" si="104"/>
        <x:v>6</x:v>
      </x:c>
      <x:c r="AK153" s="106">
        <x:f t="shared" si="104"/>
        <x:v>0</x:v>
      </x:c>
      <x:c r="AL153" s="106">
        <x:f t="shared" si="104"/>
        <x:v>6</x:v>
      </x:c>
      <x:c r="AM153" s="106">
        <x:f t="shared" si="104"/>
        <x:v>0</x:v>
      </x:c>
      <x:c r="AN153" s="107">
        <x:f t="shared" si="104"/>
        <x:v>6</x:v>
      </x:c>
      <x:c r="AO153" s="107">
        <x:f t="shared" si="104"/>
        <x:v>18</x:v>
      </x:c>
      <x:c r="AP153" s="107">
        <x:f t="shared" si="104"/>
        <x:v>18</x:v>
      </x:c>
      <x:c r="AQ153" s="107">
        <x:f t="shared" si="104"/>
        <x:v>18</x:v>
      </x:c>
      <x:c r="AR153" s="255">
        <x:f t="shared" si="104"/>
        <x:v>18</x:v>
      </x:c>
      <x:c r="AS153" s="256"/>
    </x:row>
    <x:row r="154" ht="17.600000381469727">
      <x:c r="A154" s="252"/>
      <x:c r="B154" s="252"/>
      <x:c r="C154" s="252"/>
      <x:c r="D154" s="252"/>
      <x:c r="E154" s="252"/>
      <x:c r="F154" s="252"/>
      <x:c r="G154" s="252"/>
      <x:c r="H154" s="252"/>
      <x:c r="I154" s="252"/>
      <x:c r="J154" s="252"/>
      <x:c r="K154" s="252"/>
      <x:c r="L154" s="252"/>
      <x:c r="M154" s="252"/>
      <x:c r="N154" s="252"/>
      <x:c r="O154" s="252"/>
      <x:c r="P154" s="252"/>
      <x:c r="Q154" s="252"/>
      <x:c r="R154" s="252"/>
      <x:c r="S154" s="252"/>
      <x:c r="T154" s="252"/>
      <x:c r="U154" s="252"/>
      <x:c r="V154" s="253"/>
      <x:c r="W154" s="9"/>
      <x:c r="X154" s="66" t="s">
        <x:v>145</x:v>
      </x:c>
      <x:c r="Y154" s="67"/>
      <x:c r="Z154" s="67"/>
      <x:c r="AA154" s="67"/>
      <x:c r="AB154" s="67"/>
      <x:c r="AC154" s="72" t="s">
        <x:v>4</x:v>
      </x:c>
      <x:c r="AD154" s="73"/>
      <x:c r="AE154" s="74" t="s">
        <x:v>5</x:v>
      </x:c>
      <x:c r="AF154" s="75"/>
      <x:c r="AG154" s="124" t="s">
        <x:v>6</x:v>
      </x:c>
      <x:c r="AH154" s="124"/>
      <x:c r="AI154" s="124"/>
      <x:c r="AJ154" s="125" t="s">
        <x:v>7</x:v>
      </x:c>
      <x:c r="AK154" s="125"/>
      <x:c r="AL154" s="125"/>
      <x:c r="AM154" s="125"/>
      <x:c r="AN154" s="126" t="s">
        <x:v>49</x:v>
      </x:c>
      <x:c r="AO154" s="126"/>
      <x:c r="AP154" s="126"/>
      <x:c r="AQ154" s="126"/>
      <x:c r="AR154" s="239"/>
      <x:c r="AS154" s="81" t="s">
        <x:v>50</x:v>
      </x:c>
    </x:row>
    <x:row r="155" ht="31">
      <x:c r="A155" s="252"/>
      <x:c r="B155" s="252"/>
      <x:c r="C155" s="252"/>
      <x:c r="D155" s="252"/>
      <x:c r="E155" s="252"/>
      <x:c r="F155" s="252"/>
      <x:c r="G155" s="252"/>
      <x:c r="H155" s="252"/>
      <x:c r="I155" s="252"/>
      <x:c r="J155" s="252"/>
      <x:c r="K155" s="252"/>
      <x:c r="L155" s="252"/>
      <x:c r="M155" s="252"/>
      <x:c r="N155" s="252"/>
      <x:c r="O155" s="252"/>
      <x:c r="P155" s="252"/>
      <x:c r="Q155" s="252"/>
      <x:c r="R155" s="252"/>
      <x:c r="S155" s="252"/>
      <x:c r="T155" s="252"/>
      <x:c r="U155" s="252"/>
      <x:c r="V155" s="253"/>
      <x:c r="W155" s="9"/>
      <x:c r="X155" s="89" t="s">
        <x:v>51</x:v>
      </x:c>
      <x:c r="Y155" s="83" t="s">
        <x:v>52</x:v>
      </x:c>
      <x:c r="Z155" s="83" t="s">
        <x:v>53</x:v>
      </x:c>
      <x:c r="AA155" s="84" t="s">
        <x:v>54</x:v>
      </x:c>
      <x:c r="AB155" s="84"/>
      <x:c r="AC155" s="72" t="s">
        <x:v>10</x:v>
      </x:c>
      <x:c r="AD155" s="73" t="s">
        <x:v>11</x:v>
      </x:c>
      <x:c r="AE155" s="74" t="s">
        <x:v>55</x:v>
      </x:c>
      <x:c r="AF155" s="75" t="s">
        <x:v>13</x:v>
      </x:c>
      <x:c r="AG155" s="76" t="s">
        <x:v>14</x:v>
      </x:c>
      <x:c r="AH155" s="76" t="s">
        <x:v>15</x:v>
      </x:c>
      <x:c r="AI155" s="76" t="s">
        <x:v>56</x:v>
      </x:c>
      <x:c r="AJ155" s="77" t="s">
        <x:v>57</x:v>
      </x:c>
      <x:c r="AK155" s="77" t="s">
        <x:v>58</x:v>
      </x:c>
      <x:c r="AL155" s="77" t="s">
        <x:v>59</x:v>
      </x:c>
      <x:c r="AM155" s="77" t="s">
        <x:v>60</x:v>
      </x:c>
      <x:c r="AN155" s="78" t="s">
        <x:v>21</x:v>
      </x:c>
      <x:c r="AO155" s="78" t="s">
        <x:v>22</x:v>
      </x:c>
      <x:c r="AP155" s="78" t="s">
        <x:v>61</x:v>
      </x:c>
      <x:c r="AQ155" s="78" t="s">
        <x:v>62</x:v>
      </x:c>
      <x:c r="AR155" s="80" t="s">
        <x:v>63</x:v>
      </x:c>
      <x:c r="AS155" s="81"/>
    </x:row>
    <x:row r="156" ht="17.600000381469727">
      <x:c r="A156" s="252"/>
      <x:c r="B156" s="252"/>
      <x:c r="C156" s="252"/>
      <x:c r="D156" s="252"/>
      <x:c r="E156" s="252"/>
      <x:c r="F156" s="252"/>
      <x:c r="G156" s="252"/>
      <x:c r="H156" s="252"/>
      <x:c r="I156" s="252"/>
      <x:c r="J156" s="252"/>
      <x:c r="K156" s="252"/>
      <x:c r="L156" s="252"/>
      <x:c r="M156" s="252"/>
      <x:c r="N156" s="252"/>
      <x:c r="O156" s="252"/>
      <x:c r="P156" s="252"/>
      <x:c r="Q156" s="252"/>
      <x:c r="R156" s="252"/>
      <x:c r="S156" s="252"/>
      <x:c r="T156" s="252"/>
      <x:c r="U156" s="252"/>
      <x:c r="V156" s="253"/>
      <x:c r="W156" s="9"/>
      <x:c r="X156" s="89" t="s">
        <x:v>41</x:v>
      </x:c>
      <x:c r="Y156" s="83">
        <x:v>1</x:v>
      </x:c>
      <x:c r="Z156" s="83" t="s">
        <x:v>146</x:v>
      </x:c>
      <x:c r="AA156" s="84" t="s">
        <x:v>147</x:v>
      </x:c>
      <x:c r="AB156" s="84"/>
      <x:c r="AC156" s="85">
        <x:v>1</x:v>
      </x:c>
      <x:c r="AD156" s="95"/>
      <x:c r="AE156" s="86"/>
      <x:c r="AF156" s="87"/>
      <x:c r="AG156" s="91"/>
      <x:c r="AH156" s="91"/>
      <x:c r="AI156" s="91"/>
      <x:c r="AJ156" s="92"/>
      <x:c r="AK156" s="92"/>
      <x:c r="AL156" s="92"/>
      <x:c r="AM156" s="92"/>
      <x:c r="AN156" s="96"/>
      <x:c r="AO156" s="96"/>
      <x:c r="AP156" s="96"/>
      <x:c r="AQ156" s="96"/>
      <x:c r="AR156" s="254"/>
      <x:c r="AS156" s="36" t="s">
        <x:v>42</x:v>
      </x:c>
    </x:row>
    <x:row r="157" ht="17.600000381469727">
      <x:c r="A157" s="252"/>
      <x:c r="B157" s="252"/>
      <x:c r="C157" s="252"/>
      <x:c r="D157" s="252"/>
      <x:c r="E157" s="252"/>
      <x:c r="F157" s="252"/>
      <x:c r="G157" s="252"/>
      <x:c r="H157" s="252"/>
      <x:c r="I157" s="252"/>
      <x:c r="J157" s="252"/>
      <x:c r="K157" s="252"/>
      <x:c r="L157" s="252"/>
      <x:c r="M157" s="252"/>
      <x:c r="N157" s="252"/>
      <x:c r="O157" s="252"/>
      <x:c r="P157" s="252"/>
      <x:c r="Q157" s="252"/>
      <x:c r="R157" s="252"/>
      <x:c r="S157" s="252"/>
      <x:c r="T157" s="252"/>
      <x:c r="U157" s="252"/>
      <x:c r="V157" s="253"/>
      <x:c r="W157" s="9"/>
      <x:c r="X157" s="66" t="s">
        <x:v>148</x:v>
      </x:c>
      <x:c r="Y157" s="67"/>
      <x:c r="Z157" s="67"/>
      <x:c r="AA157" s="67"/>
      <x:c r="AB157" s="67"/>
      <x:c r="AC157" s="72" t="s">
        <x:v>4</x:v>
      </x:c>
      <x:c r="AD157" s="73"/>
      <x:c r="AE157" s="74" t="s">
        <x:v>5</x:v>
      </x:c>
      <x:c r="AF157" s="75"/>
      <x:c r="AG157" s="124" t="s">
        <x:v>6</x:v>
      </x:c>
      <x:c r="AH157" s="124"/>
      <x:c r="AI157" s="124"/>
      <x:c r="AJ157" s="125" t="s">
        <x:v>7</x:v>
      </x:c>
      <x:c r="AK157" s="125"/>
      <x:c r="AL157" s="125"/>
      <x:c r="AM157" s="125"/>
      <x:c r="AN157" s="126" t="s">
        <x:v>49</x:v>
      </x:c>
      <x:c r="AO157" s="126"/>
      <x:c r="AP157" s="126"/>
      <x:c r="AQ157" s="126"/>
      <x:c r="AR157" s="239"/>
      <x:c r="AS157" s="81" t="s">
        <x:v>50</x:v>
      </x:c>
    </x:row>
    <x:row r="158" ht="31">
      <x:c r="A158" s="252"/>
      <x:c r="B158" s="252"/>
      <x:c r="C158" s="252"/>
      <x:c r="D158" s="252"/>
      <x:c r="E158" s="252"/>
      <x:c r="F158" s="252"/>
      <x:c r="G158" s="252"/>
      <x:c r="H158" s="252"/>
      <x:c r="I158" s="252"/>
      <x:c r="J158" s="252"/>
      <x:c r="K158" s="252"/>
      <x:c r="L158" s="252"/>
      <x:c r="M158" s="252"/>
      <x:c r="N158" s="252"/>
      <x:c r="O158" s="252"/>
      <x:c r="P158" s="252"/>
      <x:c r="Q158" s="252"/>
      <x:c r="R158" s="252"/>
      <x:c r="S158" s="252"/>
      <x:c r="T158" s="252"/>
      <x:c r="U158" s="252"/>
      <x:c r="V158" s="253"/>
      <x:c r="W158" s="9"/>
      <x:c r="X158" s="89" t="s">
        <x:v>51</x:v>
      </x:c>
      <x:c r="Y158" s="83" t="s">
        <x:v>52</x:v>
      </x:c>
      <x:c r="Z158" s="83" t="s">
        <x:v>53</x:v>
      </x:c>
      <x:c r="AA158" s="84" t="s">
        <x:v>54</x:v>
      </x:c>
      <x:c r="AB158" s="84"/>
      <x:c r="AC158" s="72" t="s">
        <x:v>10</x:v>
      </x:c>
      <x:c r="AD158" s="73" t="s">
        <x:v>11</x:v>
      </x:c>
      <x:c r="AE158" s="74" t="s">
        <x:v>55</x:v>
      </x:c>
      <x:c r="AF158" s="75" t="s">
        <x:v>13</x:v>
      </x:c>
      <x:c r="AG158" s="76" t="s">
        <x:v>14</x:v>
      </x:c>
      <x:c r="AH158" s="76" t="s">
        <x:v>15</x:v>
      </x:c>
      <x:c r="AI158" s="76" t="s">
        <x:v>56</x:v>
      </x:c>
      <x:c r="AJ158" s="77" t="s">
        <x:v>57</x:v>
      </x:c>
      <x:c r="AK158" s="77" t="s">
        <x:v>58</x:v>
      </x:c>
      <x:c r="AL158" s="77" t="s">
        <x:v>59</x:v>
      </x:c>
      <x:c r="AM158" s="77" t="s">
        <x:v>60</x:v>
      </x:c>
      <x:c r="AN158" s="78" t="s">
        <x:v>21</x:v>
      </x:c>
      <x:c r="AO158" s="78" t="s">
        <x:v>22</x:v>
      </x:c>
      <x:c r="AP158" s="78" t="s">
        <x:v>61</x:v>
      </x:c>
      <x:c r="AQ158" s="78" t="s">
        <x:v>62</x:v>
      </x:c>
      <x:c r="AR158" s="80" t="s">
        <x:v>63</x:v>
      </x:c>
      <x:c r="AS158" s="81"/>
    </x:row>
    <x:row r="159" s="1" customFormat="1" ht="17.600000381469727">
      <x:c r="A159" s="252"/>
      <x:c r="B159" s="252"/>
      <x:c r="C159" s="252"/>
      <x:c r="D159" s="252"/>
      <x:c r="E159" s="252"/>
      <x:c r="F159" s="252"/>
      <x:c r="G159" s="252"/>
      <x:c r="H159" s="252"/>
      <x:c r="I159" s="252"/>
      <x:c r="J159" s="252"/>
      <x:c r="K159" s="252"/>
      <x:c r="L159" s="252"/>
      <x:c r="M159" s="252"/>
      <x:c r="N159" s="252"/>
      <x:c r="O159" s="252"/>
      <x:c r="P159" s="252"/>
      <x:c r="Q159" s="252"/>
      <x:c r="R159" s="252"/>
      <x:c r="S159" s="252"/>
      <x:c r="T159" s="252"/>
      <x:c r="U159" s="252"/>
      <x:c r="V159" s="253"/>
      <x:c r="W159" s="9"/>
      <x:c r="X159" s="89" t="s">
        <x:v>43</x:v>
      </x:c>
      <x:c r="Y159" s="83">
        <x:v>1</x:v>
      </x:c>
      <x:c r="Z159" s="83" t="s">
        <x:v>149</x:v>
      </x:c>
      <x:c r="AA159" s="84" t="s">
        <x:v>150</x:v>
      </x:c>
      <x:c r="AB159" s="84"/>
      <x:c r="AC159" s="72">
        <x:v>25</x:v>
      </x:c>
      <x:c r="AD159" s="73"/>
      <x:c r="AE159" s="74"/>
      <x:c r="AF159" s="75"/>
      <x:c r="AG159" s="124"/>
      <x:c r="AH159" s="124"/>
      <x:c r="AI159" s="124"/>
      <x:c r="AJ159" s="125"/>
      <x:c r="AK159" s="125"/>
      <x:c r="AL159" s="125"/>
      <x:c r="AM159" s="125"/>
      <x:c r="AN159" s="126"/>
      <x:c r="AO159" s="126"/>
      <x:c r="AP159" s="126"/>
      <x:c r="AQ159" s="126"/>
      <x:c r="AR159" s="239"/>
      <x:c r="AS159" s="36" t="s">
        <x:v>44</x:v>
      </x:c>
    </x:row>
  </x:sheetData>
  <x:mergeCells>
    <x:mergeCell ref="A1:V1"/>
    <x:mergeCell ref="X1:AS1"/>
    <x:mergeCell ref="A2:V2"/>
    <x:mergeCell ref="X2:AS2"/>
    <x:mergeCell ref="A3:S3"/>
    <x:mergeCell ref="X3:AP3"/>
    <x:mergeCell ref="B4:C4"/>
    <x:mergeCell ref="D4:E4"/>
    <x:mergeCell ref="F4:H4"/>
    <x:mergeCell ref="I4:L4"/>
    <x:mergeCell ref="M4:Q4"/>
    <x:mergeCell ref="R4:V4"/>
    <x:mergeCell ref="Y4:Z4"/>
    <x:mergeCell ref="AA4:AB4"/>
    <x:mergeCell ref="AC4:AE4"/>
    <x:mergeCell ref="AF4:AI4"/>
    <x:mergeCell ref="AJ4:AN4"/>
    <x:mergeCell ref="AO4:AS4"/>
    <x:mergeCell ref="R5:V5"/>
    <x:mergeCell ref="AO5:AS5"/>
    <x:mergeCell ref="R6:V6"/>
    <x:mergeCell ref="AO6:AS6"/>
    <x:mergeCell ref="R7:V7"/>
    <x:mergeCell ref="AO7:AS7"/>
    <x:mergeCell ref="R8:V8"/>
    <x:mergeCell ref="AO8:AS8"/>
    <x:mergeCell ref="R9:V9"/>
    <x:mergeCell ref="AO9:AS9"/>
    <x:mergeCell ref="R10:V10"/>
    <x:mergeCell ref="AO10:AS10"/>
    <x:mergeCell ref="R11:V11"/>
    <x:mergeCell ref="AO11:AS11"/>
    <x:mergeCell ref="R12:V12"/>
    <x:mergeCell ref="AO12:AS12"/>
    <x:mergeCell ref="R13:V13"/>
    <x:mergeCell ref="AO13:AS13"/>
    <x:mergeCell ref="R14:V14"/>
    <x:mergeCell ref="AO14:AS14"/>
    <x:mergeCell ref="R15:V15"/>
    <x:mergeCell ref="AO15:AS15"/>
    <x:mergeCell ref="R16:V16"/>
    <x:mergeCell ref="AO16:AS16"/>
    <x:mergeCell ref="R17:V17"/>
    <x:mergeCell ref="AO17:AS17"/>
    <x:mergeCell ref="R18:V18"/>
    <x:mergeCell ref="AO18:AS18"/>
    <x:mergeCell ref="R19:V19"/>
    <x:mergeCell ref="AO19:AS19"/>
    <x:mergeCell ref="R20:V20"/>
    <x:mergeCell ref="AO20:AS20"/>
    <x:mergeCell ref="AO21:AS21"/>
    <x:mergeCell ref="A23:V23"/>
    <x:mergeCell ref="X23:AS23"/>
    <x:mergeCell ref="A24:E24"/>
    <x:mergeCell ref="F24:G24"/>
    <x:mergeCell ref="H24:I24"/>
    <x:mergeCell ref="J24:L24"/>
    <x:mergeCell ref="M24:P24"/>
    <x:mergeCell ref="Q24:U24"/>
    <x:mergeCell ref="X24:AB24"/>
    <x:mergeCell ref="AC24:AD24"/>
    <x:mergeCell ref="AE24:AF24"/>
    <x:mergeCell ref="AG24:AI24"/>
    <x:mergeCell ref="AJ24:AM24"/>
    <x:mergeCell ref="AN24:AR24"/>
    <x:mergeCell ref="D25:E25"/>
    <x:mergeCell ref="AA25:AB25"/>
    <x:mergeCell ref="D26:E26"/>
    <x:mergeCell ref="AA26:AB26"/>
    <x:mergeCell ref="D27:E27"/>
    <x:mergeCell ref="AA27:AB27"/>
    <x:mergeCell ref="D28:E28"/>
    <x:mergeCell ref="AA28:AB28"/>
    <x:mergeCell ref="D29:E29"/>
    <x:mergeCell ref="AA29:AB29"/>
    <x:mergeCell ref="D30:E30"/>
    <x:mergeCell ref="AA30:AB30"/>
    <x:mergeCell ref="D31:E31"/>
    <x:mergeCell ref="AA31:AB31"/>
    <x:mergeCell ref="D32:E32"/>
    <x:mergeCell ref="AA32:AB32"/>
    <x:mergeCell ref="D33:E33"/>
    <x:mergeCell ref="AA33:AB33"/>
    <x:mergeCell ref="D34:E34"/>
    <x:mergeCell ref="AA34:AB34"/>
    <x:mergeCell ref="D35:E35"/>
    <x:mergeCell ref="AA35:AB35"/>
    <x:mergeCell ref="D36:E36"/>
    <x:mergeCell ref="AA36:AB36"/>
    <x:mergeCell ref="D37:E37"/>
    <x:mergeCell ref="AA37:AB37"/>
    <x:mergeCell ref="D38:E38"/>
    <x:mergeCell ref="AA38:AB38"/>
    <x:mergeCell ref="D39:E39"/>
    <x:mergeCell ref="AA39:AB39"/>
    <x:mergeCell ref="D40:E40"/>
    <x:mergeCell ref="AA40:AB40"/>
    <x:mergeCell ref="D41:E41"/>
    <x:mergeCell ref="AA41:AB41"/>
    <x:mergeCell ref="D42:E42"/>
    <x:mergeCell ref="AA42:AB42"/>
    <x:mergeCell ref="D43:E43"/>
    <x:mergeCell ref="AA43:AB43"/>
    <x:mergeCell ref="D44:E44"/>
    <x:mergeCell ref="AA44:AB44"/>
    <x:mergeCell ref="D45:E45"/>
    <x:mergeCell ref="AA45:AB45"/>
    <x:mergeCell ref="D46:E46"/>
    <x:mergeCell ref="AA46:AB46"/>
    <x:mergeCell ref="D47:E47"/>
    <x:mergeCell ref="AA47:AB47"/>
    <x:mergeCell ref="A48:E48"/>
    <x:mergeCell ref="X48:AB48"/>
    <x:mergeCell ref="A49:E49"/>
    <x:mergeCell ref="F49:G49"/>
    <x:mergeCell ref="H49:I49"/>
    <x:mergeCell ref="J49:L49"/>
    <x:mergeCell ref="M49:P49"/>
    <x:mergeCell ref="Q49:U49"/>
    <x:mergeCell ref="X49:AB49"/>
    <x:mergeCell ref="AC49:AD49"/>
    <x:mergeCell ref="AE49:AF49"/>
    <x:mergeCell ref="AG49:AI49"/>
    <x:mergeCell ref="AJ49:AM49"/>
    <x:mergeCell ref="AN49:AR49"/>
    <x:mergeCell ref="D50:E50"/>
    <x:mergeCell ref="AA50:AB50"/>
    <x:mergeCell ref="D51:E51"/>
    <x:mergeCell ref="AA51:AB51"/>
    <x:mergeCell ref="D52:E52"/>
    <x:mergeCell ref="AA52:AB52"/>
    <x:mergeCell ref="D53:E53"/>
    <x:mergeCell ref="AA53:AB53"/>
    <x:mergeCell ref="D54:E54"/>
    <x:mergeCell ref="AA54:AB54"/>
    <x:mergeCell ref="D55:E55"/>
    <x:mergeCell ref="AA55:AB55"/>
    <x:mergeCell ref="D56:E56"/>
    <x:mergeCell ref="AA56:AB56"/>
    <x:mergeCell ref="D57:E57"/>
    <x:mergeCell ref="AA57:AB57"/>
    <x:mergeCell ref="A58:E58"/>
    <x:mergeCell ref="X58:AB58"/>
    <x:mergeCell ref="A59:E59"/>
    <x:mergeCell ref="F59:G59"/>
    <x:mergeCell ref="H59:I59"/>
    <x:mergeCell ref="J59:L59"/>
    <x:mergeCell ref="M59:P59"/>
    <x:mergeCell ref="Q59:U59"/>
    <x:mergeCell ref="X59:AB59"/>
    <x:mergeCell ref="AC59:AD59"/>
    <x:mergeCell ref="AE59:AF59"/>
    <x:mergeCell ref="AG59:AI59"/>
    <x:mergeCell ref="AJ59:AM59"/>
    <x:mergeCell ref="AN59:AR59"/>
    <x:mergeCell ref="D60:E60"/>
    <x:mergeCell ref="AA60:AB60"/>
    <x:mergeCell ref="D61:E61"/>
    <x:mergeCell ref="AA61:AB61"/>
    <x:mergeCell ref="D62:E62"/>
    <x:mergeCell ref="AA62:AB62"/>
    <x:mergeCell ref="D63:E63"/>
    <x:mergeCell ref="AA63:AB63"/>
    <x:mergeCell ref="D64:E64"/>
    <x:mergeCell ref="AA64:AB64"/>
    <x:mergeCell ref="D65:E65"/>
    <x:mergeCell ref="AA65:AB65"/>
    <x:mergeCell ref="D66:E66"/>
    <x:mergeCell ref="AA66:AB66"/>
    <x:mergeCell ref="D67:E67"/>
    <x:mergeCell ref="AA67:AB67"/>
    <x:mergeCell ref="D68:E68"/>
    <x:mergeCell ref="AA68:AB68"/>
    <x:mergeCell ref="D69:E69"/>
    <x:mergeCell ref="AA69:AB69"/>
    <x:mergeCell ref="D70:E70"/>
    <x:mergeCell ref="AA70:AB70"/>
    <x:mergeCell ref="D71:E71"/>
    <x:mergeCell ref="AA71:AB71"/>
    <x:mergeCell ref="A72:E72"/>
    <x:mergeCell ref="X72:AB72"/>
    <x:mergeCell ref="A73:E73"/>
    <x:mergeCell ref="F73:G73"/>
    <x:mergeCell ref="H73:I73"/>
    <x:mergeCell ref="J73:L73"/>
    <x:mergeCell ref="M73:P73"/>
    <x:mergeCell ref="Q73:U73"/>
    <x:mergeCell ref="X73:AB73"/>
    <x:mergeCell ref="AC73:AD73"/>
    <x:mergeCell ref="AE73:AF73"/>
    <x:mergeCell ref="AG73:AI73"/>
    <x:mergeCell ref="AJ73:AM73"/>
    <x:mergeCell ref="AN73:AR73"/>
    <x:mergeCell ref="D74:E74"/>
    <x:mergeCell ref="AA74:AB74"/>
    <x:mergeCell ref="D75:E75"/>
    <x:mergeCell ref="AA75:AB75"/>
    <x:mergeCell ref="D76:E76"/>
    <x:mergeCell ref="AA76:AB76"/>
    <x:mergeCell ref="D77:E77"/>
    <x:mergeCell ref="AA77:AB77"/>
    <x:mergeCell ref="D78:E78"/>
    <x:mergeCell ref="AA78:AB78"/>
    <x:mergeCell ref="D79:E79"/>
    <x:mergeCell ref="AA79:AB79"/>
    <x:mergeCell ref="D80:E80"/>
    <x:mergeCell ref="AA80:AB80"/>
    <x:mergeCell ref="A81:E81"/>
    <x:mergeCell ref="X81:AB81"/>
    <x:mergeCell ref="A82:E82"/>
    <x:mergeCell ref="F82:G82"/>
    <x:mergeCell ref="H82:I82"/>
    <x:mergeCell ref="J82:L82"/>
    <x:mergeCell ref="M82:P82"/>
    <x:mergeCell ref="Q82:U82"/>
    <x:mergeCell ref="X82:AB82"/>
    <x:mergeCell ref="AC82:AD82"/>
    <x:mergeCell ref="AE82:AF82"/>
    <x:mergeCell ref="AG82:AI82"/>
    <x:mergeCell ref="AJ82:AM82"/>
    <x:mergeCell ref="AN82:AR82"/>
    <x:mergeCell ref="D83:E83"/>
    <x:mergeCell ref="AA83:AB83"/>
    <x:mergeCell ref="D84:E84"/>
    <x:mergeCell ref="AA84:AB84"/>
    <x:mergeCell ref="D85:E85"/>
    <x:mergeCell ref="AA85:AB85"/>
    <x:mergeCell ref="D86:E86"/>
    <x:mergeCell ref="AA86:AB86"/>
    <x:mergeCell ref="D87:E87"/>
    <x:mergeCell ref="AA87:AB87"/>
    <x:mergeCell ref="D88:E88"/>
    <x:mergeCell ref="AA88:AB88"/>
    <x:mergeCell ref="D89:E89"/>
    <x:mergeCell ref="AA89:AB89"/>
    <x:mergeCell ref="A90:E90"/>
    <x:mergeCell ref="X90:AB90"/>
    <x:mergeCell ref="A91:E91"/>
    <x:mergeCell ref="F91:G91"/>
    <x:mergeCell ref="H91:I91"/>
    <x:mergeCell ref="J91:L91"/>
    <x:mergeCell ref="M91:P91"/>
    <x:mergeCell ref="Q91:U91"/>
    <x:mergeCell ref="X91:AB91"/>
    <x:mergeCell ref="AC91:AD91"/>
    <x:mergeCell ref="AE91:AF91"/>
    <x:mergeCell ref="AG91:AI91"/>
    <x:mergeCell ref="AJ91:AM91"/>
    <x:mergeCell ref="AN91:AR91"/>
    <x:mergeCell ref="D92:E92"/>
    <x:mergeCell ref="AA92:AB92"/>
    <x:mergeCell ref="D93:E93"/>
    <x:mergeCell ref="AA93:AB93"/>
    <x:mergeCell ref="D94:E94"/>
    <x:mergeCell ref="AA94:AB94"/>
    <x:mergeCell ref="D95:E95"/>
    <x:mergeCell ref="AA95:AB95"/>
    <x:mergeCell ref="D96:E96"/>
    <x:mergeCell ref="AA96:AB96"/>
    <x:mergeCell ref="D97:E97"/>
    <x:mergeCell ref="AA97:AB97"/>
    <x:mergeCell ref="A98:E98"/>
    <x:mergeCell ref="X98:AB98"/>
    <x:mergeCell ref="A99:E99"/>
    <x:mergeCell ref="F99:G99"/>
    <x:mergeCell ref="H99:I99"/>
    <x:mergeCell ref="J99:L99"/>
    <x:mergeCell ref="M99:P99"/>
    <x:mergeCell ref="Q99:U99"/>
    <x:mergeCell ref="X99:AB99"/>
    <x:mergeCell ref="AC99:AD99"/>
    <x:mergeCell ref="AE99:AF99"/>
    <x:mergeCell ref="AG99:AI99"/>
    <x:mergeCell ref="AJ99:AM99"/>
    <x:mergeCell ref="AN99:AR99"/>
    <x:mergeCell ref="D100:E100"/>
    <x:mergeCell ref="AA100:AB100"/>
    <x:mergeCell ref="D101:E101"/>
    <x:mergeCell ref="AA101:AB101"/>
    <x:mergeCell ref="D102:E102"/>
    <x:mergeCell ref="AA102:AB102"/>
    <x:mergeCell ref="D103:E103"/>
    <x:mergeCell ref="AA103:AB103"/>
    <x:mergeCell ref="D104:E104"/>
    <x:mergeCell ref="AA104:AB104"/>
    <x:mergeCell ref="A105:E105"/>
    <x:mergeCell ref="X105:AB105"/>
    <x:mergeCell ref="A106:E106"/>
    <x:mergeCell ref="F106:G106"/>
    <x:mergeCell ref="H106:I106"/>
    <x:mergeCell ref="J106:L106"/>
    <x:mergeCell ref="M106:P106"/>
    <x:mergeCell ref="Q106:U106"/>
    <x:mergeCell ref="X106:AB106"/>
    <x:mergeCell ref="AC106:AD106"/>
    <x:mergeCell ref="AE106:AF106"/>
    <x:mergeCell ref="AG106:AI106"/>
    <x:mergeCell ref="AJ106:AM106"/>
    <x:mergeCell ref="AN106:AR106"/>
    <x:mergeCell ref="D107:E107"/>
    <x:mergeCell ref="AA107:AB107"/>
    <x:mergeCell ref="D108:E108"/>
    <x:mergeCell ref="AA108:AB108"/>
    <x:mergeCell ref="D109:E109"/>
    <x:mergeCell ref="AA109:AB109"/>
    <x:mergeCell ref="D110:E110"/>
    <x:mergeCell ref="AA110:AB110"/>
    <x:mergeCell ref="D111:E111"/>
    <x:mergeCell ref="AA111:AB111"/>
    <x:mergeCell ref="D112:E112"/>
    <x:mergeCell ref="AA112:AB112"/>
    <x:mergeCell ref="D113:E113"/>
    <x:mergeCell ref="AA113:AB113"/>
    <x:mergeCell ref="A114:E114"/>
    <x:mergeCell ref="X114:AB114"/>
    <x:mergeCell ref="A115:E115"/>
    <x:mergeCell ref="F115:G115"/>
    <x:mergeCell ref="H115:I115"/>
    <x:mergeCell ref="J115:L115"/>
    <x:mergeCell ref="M115:P115"/>
    <x:mergeCell ref="Q115:U115"/>
    <x:mergeCell ref="X115:AB115"/>
    <x:mergeCell ref="AC115:AD115"/>
    <x:mergeCell ref="AE115:AF115"/>
    <x:mergeCell ref="AG115:AI115"/>
    <x:mergeCell ref="AJ115:AM115"/>
    <x:mergeCell ref="AN115:AR115"/>
    <x:mergeCell ref="D116:E116"/>
    <x:mergeCell ref="AA116:AB116"/>
    <x:mergeCell ref="D117:E117"/>
    <x:mergeCell ref="AA117:AB117"/>
    <x:mergeCell ref="D118:E118"/>
    <x:mergeCell ref="AA118:AB118"/>
    <x:mergeCell ref="D119:E119"/>
    <x:mergeCell ref="AA119:AB119"/>
    <x:mergeCell ref="D120:E120"/>
    <x:mergeCell ref="AA120:AB120"/>
    <x:mergeCell ref="D121:E121"/>
    <x:mergeCell ref="AA121:AB121"/>
    <x:mergeCell ref="A122:E122"/>
    <x:mergeCell ref="X122:AB122"/>
    <x:mergeCell ref="A123:E123"/>
    <x:mergeCell ref="F123:G123"/>
    <x:mergeCell ref="H123:I123"/>
    <x:mergeCell ref="J123:L123"/>
    <x:mergeCell ref="M123:P123"/>
    <x:mergeCell ref="Q123:U123"/>
    <x:mergeCell ref="X123:AB123"/>
    <x:mergeCell ref="AC123:AD123"/>
    <x:mergeCell ref="AE123:AF123"/>
    <x:mergeCell ref="AG123:AI123"/>
    <x:mergeCell ref="AJ123:AM123"/>
    <x:mergeCell ref="AN123:AR123"/>
    <x:mergeCell ref="D124:E124"/>
    <x:mergeCell ref="AA124:AB124"/>
    <x:mergeCell ref="D125:E125"/>
    <x:mergeCell ref="AA125:AB125"/>
    <x:mergeCell ref="D126:E126"/>
    <x:mergeCell ref="AA126:AB126"/>
    <x:mergeCell ref="D127:E127"/>
    <x:mergeCell ref="AA127:AB127"/>
    <x:mergeCell ref="D128:E128"/>
    <x:mergeCell ref="AA128:AB128"/>
    <x:mergeCell ref="D129:E129"/>
    <x:mergeCell ref="AA129:AB129"/>
    <x:mergeCell ref="D130:E130"/>
    <x:mergeCell ref="AA130:AB130"/>
    <x:mergeCell ref="A131:E131"/>
    <x:mergeCell ref="X131:AB131"/>
    <x:mergeCell ref="A132:E132"/>
    <x:mergeCell ref="F132:G132"/>
    <x:mergeCell ref="H132:I132"/>
    <x:mergeCell ref="J132:L132"/>
    <x:mergeCell ref="M132:P132"/>
    <x:mergeCell ref="Q132:U132"/>
    <x:mergeCell ref="X132:AB132"/>
    <x:mergeCell ref="AC132:AD132"/>
    <x:mergeCell ref="AE132:AF132"/>
    <x:mergeCell ref="AG132:AI132"/>
    <x:mergeCell ref="AJ132:AM132"/>
    <x:mergeCell ref="AN132:AR132"/>
    <x:mergeCell ref="D133:E133"/>
    <x:mergeCell ref="AA133:AB133"/>
    <x:mergeCell ref="D134:E134"/>
    <x:mergeCell ref="AA134:AB134"/>
    <x:mergeCell ref="D135:E135"/>
    <x:mergeCell ref="AA135:AB135"/>
    <x:mergeCell ref="D136:E136"/>
    <x:mergeCell ref="AA136:AB136"/>
    <x:mergeCell ref="D137:E137"/>
    <x:mergeCell ref="AA137:AB137"/>
    <x:mergeCell ref="D138:E138"/>
    <x:mergeCell ref="AA138:AB138"/>
    <x:mergeCell ref="D139:E139"/>
    <x:mergeCell ref="AA139:AB139"/>
    <x:mergeCell ref="A140:E140"/>
    <x:mergeCell ref="AA140:AB140"/>
    <x:mergeCell ref="A141:E141"/>
    <x:mergeCell ref="F141:G141"/>
    <x:mergeCell ref="H141:I141"/>
    <x:mergeCell ref="J141:L141"/>
    <x:mergeCell ref="M141:P141"/>
    <x:mergeCell ref="Q141:U141"/>
    <x:mergeCell ref="AA141:AB141"/>
    <x:mergeCell ref="D142:E142"/>
    <x:mergeCell ref="AA142:AB142"/>
    <x:mergeCell ref="D143:E143"/>
    <x:mergeCell ref="AA143:AB143"/>
    <x:mergeCell ref="A144:E144"/>
    <x:mergeCell ref="F144:G144"/>
    <x:mergeCell ref="H144:I144"/>
    <x:mergeCell ref="J144:L144"/>
    <x:mergeCell ref="M144:P144"/>
    <x:mergeCell ref="Q144:U144"/>
    <x:mergeCell ref="X144:AB144"/>
    <x:mergeCell ref="D145:E145"/>
    <x:mergeCell ref="X145:AB145"/>
    <x:mergeCell ref="AC145:AD145"/>
    <x:mergeCell ref="AE145:AF145"/>
    <x:mergeCell ref="AG145:AI145"/>
    <x:mergeCell ref="AJ145:AM145"/>
    <x:mergeCell ref="AN145:AR145"/>
    <x:mergeCell ref="D146:E146"/>
    <x:mergeCell ref="AA146:AB146"/>
    <x:mergeCell ref="AA147:AB147"/>
    <x:mergeCell ref="AA148:AB148"/>
    <x:mergeCell ref="AA149:AB149"/>
    <x:mergeCell ref="AA150:AB150"/>
    <x:mergeCell ref="AA151:AB151"/>
    <x:mergeCell ref="AA152:AB152"/>
    <x:mergeCell ref="X153:AB153"/>
    <x:mergeCell ref="X154:AB154"/>
    <x:mergeCell ref="AC154:AD154"/>
    <x:mergeCell ref="AE154:AF154"/>
    <x:mergeCell ref="AG154:AI154"/>
    <x:mergeCell ref="AJ154:AM154"/>
    <x:mergeCell ref="AN154:AR154"/>
    <x:mergeCell ref="AA155:AB155"/>
    <x:mergeCell ref="AA156:AB156"/>
    <x:mergeCell ref="X157:AB157"/>
    <x:mergeCell ref="AC157:AD157"/>
    <x:mergeCell ref="AE157:AF157"/>
    <x:mergeCell ref="AG157:AI157"/>
    <x:mergeCell ref="AJ157:AM157"/>
    <x:mergeCell ref="AN157:AR157"/>
    <x:mergeCell ref="AA158:AB158"/>
    <x:mergeCell ref="AA159:AB159"/>
    <x:mergeCell ref="V24:V25"/>
    <x:mergeCell ref="V49:V50"/>
    <x:mergeCell ref="V59:V60"/>
    <x:mergeCell ref="V73:V74"/>
    <x:mergeCell ref="V82:V83"/>
    <x:mergeCell ref="V91:V92"/>
    <x:mergeCell ref="V99:V100"/>
    <x:mergeCell ref="V106:V107"/>
    <x:mergeCell ref="V115:V116"/>
    <x:mergeCell ref="V123:V124"/>
    <x:mergeCell ref="V132:V133"/>
    <x:mergeCell ref="V141:V142"/>
    <x:mergeCell ref="V144:V145"/>
    <x:mergeCell ref="W1:W159"/>
    <x:mergeCell ref="AC136:AC138"/>
    <x:mergeCell ref="AS24:AS25"/>
    <x:mergeCell ref="AS49:AS50"/>
    <x:mergeCell ref="AS59:AS60"/>
    <x:mergeCell ref="AS73:AS74"/>
    <x:mergeCell ref="AS82:AS83"/>
    <x:mergeCell ref="AS91:AS92"/>
    <x:mergeCell ref="AS99:AS100"/>
    <x:mergeCell ref="AS106:AS107"/>
    <x:mergeCell ref="AS115:AS116"/>
    <x:mergeCell ref="AS123:AS124"/>
    <x:mergeCell ref="AS132:AS133"/>
    <x:mergeCell ref="AS145:AS146"/>
    <x:mergeCell ref="AS154:AS155"/>
    <x:mergeCell ref="AS157:AS158"/>
  </x:mergeCells>
  <x:pageMargins left="0.7" right="0.7" top="0.75" bottom="0.75" header="0.3" footer="0.3"/>
</x:worksheet>
</file>